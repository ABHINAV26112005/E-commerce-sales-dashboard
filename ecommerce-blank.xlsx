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3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4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1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1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E:\PROJECT analysis\Excel Dashboards\Ecommerce\"/>
    </mc:Choice>
  </mc:AlternateContent>
  <xr:revisionPtr revIDLastSave="0" documentId="13_ncr:1_{8CE99353-2534-4682-8095-C957925B3AC2}" xr6:coauthVersionLast="47" xr6:coauthVersionMax="47" xr10:uidLastSave="{00000000-0000-0000-0000-000000000000}"/>
  <bookViews>
    <workbookView xWindow="-108" yWindow="-108" windowWidth="23256" windowHeight="13176" firstSheet="2" activeTab="8" xr2:uid="{346724B3-1C49-40AE-AA36-C77CF5D6DD09}"/>
  </bookViews>
  <sheets>
    <sheet name="Sheet2" sheetId="6" r:id="rId1"/>
    <sheet name="Sheet3" sheetId="7" r:id="rId2"/>
    <sheet name="Sheet4" sheetId="8" r:id="rId3"/>
    <sheet name="Sheet5" sheetId="9" r:id="rId4"/>
    <sheet name="Sheet6" sheetId="10" r:id="rId5"/>
    <sheet name="Data" sheetId="1" r:id="rId6"/>
    <sheet name="Questions &amp; KPIs" sheetId="2" r:id="rId7"/>
    <sheet name="Sheet1" sheetId="5" r:id="rId8"/>
    <sheet name="Dashboard" sheetId="3" r:id="rId9"/>
    <sheet name="Logo &amp; Colors" sheetId="4" r:id="rId10"/>
  </sheets>
  <definedNames>
    <definedName name="_xlchart.v5.0" hidden="1">Sheet5!$J$3:$K$3</definedName>
    <definedName name="_xlchart.v5.1" hidden="1">Sheet5!$J$4:$K$61</definedName>
    <definedName name="_xlchart.v5.10" hidden="1">Sheet5!$F$3:$G$3</definedName>
    <definedName name="_xlchart.v5.11" hidden="1">Sheet5!$F$4:$G$61</definedName>
    <definedName name="_xlchart.v5.12" hidden="1">Sheet5!$H$2</definedName>
    <definedName name="_xlchart.v5.13" hidden="1">Sheet5!$H$3</definedName>
    <definedName name="_xlchart.v5.14" hidden="1">Sheet5!$H$4:$H$61</definedName>
    <definedName name="_xlchart.v5.15" hidden="1">Sheet5!$F$3:$G$3</definedName>
    <definedName name="_xlchart.v5.16" hidden="1">Sheet5!$F$4:$G$61</definedName>
    <definedName name="_xlchart.v5.17" hidden="1">Sheet5!$H$3</definedName>
    <definedName name="_xlchart.v5.18" hidden="1">Sheet5!$H$4:$H$61</definedName>
    <definedName name="_xlchart.v5.19" hidden="1">Sheet5!$J$3:$K$3</definedName>
    <definedName name="_xlchart.v5.2" hidden="1">Sheet5!$L$2</definedName>
    <definedName name="_xlchart.v5.20" hidden="1">Sheet5!$J$4:$K$61</definedName>
    <definedName name="_xlchart.v5.21" hidden="1">Sheet5!$L$3</definedName>
    <definedName name="_xlchart.v5.22" hidden="1">Sheet5!$L$4:$L$61</definedName>
    <definedName name="_xlchart.v5.23" hidden="1">Sheet5!$J$3:$K$3</definedName>
    <definedName name="_xlchart.v5.24" hidden="1">Sheet5!$J$4:$K$61</definedName>
    <definedName name="_xlchart.v5.25" hidden="1">Sheet5!$L$3</definedName>
    <definedName name="_xlchart.v5.26" hidden="1">Sheet5!$L$4:$L$61</definedName>
    <definedName name="_xlchart.v5.3" hidden="1">Sheet5!$L$3</definedName>
    <definedName name="_xlchart.v5.4" hidden="1">Sheet5!$L$4:$L$61</definedName>
    <definedName name="_xlchart.v5.5" hidden="1">Sheet5!$J$3:$K$3</definedName>
    <definedName name="_xlchart.v5.6" hidden="1">Sheet5!$J$4:$K$61</definedName>
    <definedName name="_xlchart.v5.7" hidden="1">Sheet5!$L$2</definedName>
    <definedName name="_xlchart.v5.8" hidden="1">Sheet5!$L$3</definedName>
    <definedName name="_xlchart.v5.9" hidden="1">Sheet5!$L$4:$L$61</definedName>
  </definedNames>
  <calcPr calcId="191029"/>
  <pivotCaches>
    <pivotCache cacheId="2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3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4" i="9"/>
  <c r="G3" i="9"/>
  <c r="H3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3" i="9"/>
  <c r="F4" i="9"/>
  <c r="L4" i="6"/>
  <c r="J4" i="6"/>
  <c r="K4" i="6"/>
  <c r="I4" i="6"/>
  <c r="I5" i="6"/>
  <c r="J5" i="6"/>
  <c r="K5" i="6"/>
  <c r="L5" i="6"/>
  <c r="I6" i="6"/>
  <c r="J6" i="6"/>
  <c r="K6" i="6"/>
  <c r="L6" i="6"/>
  <c r="I7" i="6"/>
  <c r="J7" i="6"/>
  <c r="K7" i="6"/>
  <c r="L7" i="6"/>
  <c r="I8" i="6"/>
  <c r="J8" i="6"/>
  <c r="K8" i="6"/>
  <c r="L8" i="6"/>
  <c r="I9" i="6"/>
  <c r="J9" i="6"/>
  <c r="K9" i="6"/>
  <c r="L9" i="6"/>
  <c r="H6" i="6"/>
  <c r="H7" i="6"/>
  <c r="H8" i="6"/>
  <c r="H9" i="6"/>
  <c r="H5" i="6"/>
  <c r="O2401" i="1" a="1"/>
  <c r="O2401" i="1" s="1"/>
  <c r="N2401" i="1"/>
  <c r="M2401" i="1"/>
  <c r="O2400" i="1" a="1"/>
  <c r="O2400" i="1" s="1"/>
  <c r="N2400" i="1"/>
  <c r="M2400" i="1"/>
  <c r="O2399" i="1" a="1"/>
  <c r="O2399" i="1" s="1"/>
  <c r="N2399" i="1"/>
  <c r="M2399" i="1"/>
  <c r="O2398" i="1"/>
  <c r="O2398" i="1" a="1"/>
  <c r="N2398" i="1"/>
  <c r="M2398" i="1"/>
  <c r="O2397" i="1"/>
  <c r="O2397" i="1" a="1"/>
  <c r="N2397" i="1"/>
  <c r="M2397" i="1"/>
  <c r="O2396" i="1" a="1"/>
  <c r="O2396" i="1" s="1"/>
  <c r="N2396" i="1"/>
  <c r="M2396" i="1"/>
  <c r="O2395" i="1" a="1"/>
  <c r="O2395" i="1" s="1"/>
  <c r="N2395" i="1"/>
  <c r="M2395" i="1"/>
  <c r="O2394" i="1" a="1"/>
  <c r="O2394" i="1" s="1"/>
  <c r="N2394" i="1"/>
  <c r="M2394" i="1"/>
  <c r="O2393" i="1" a="1"/>
  <c r="O2393" i="1" s="1"/>
  <c r="N2393" i="1"/>
  <c r="M2393" i="1"/>
  <c r="O2392" i="1"/>
  <c r="O2392" i="1" a="1"/>
  <c r="N2392" i="1"/>
  <c r="M2392" i="1"/>
  <c r="O2391" i="1" a="1"/>
  <c r="O2391" i="1" s="1"/>
  <c r="N2391" i="1"/>
  <c r="M2391" i="1"/>
  <c r="O2390" i="1"/>
  <c r="O2390" i="1" a="1"/>
  <c r="N2390" i="1"/>
  <c r="M2390" i="1"/>
  <c r="O2389" i="1" a="1"/>
  <c r="O2389" i="1" s="1"/>
  <c r="N2389" i="1"/>
  <c r="M2389" i="1"/>
  <c r="O2388" i="1"/>
  <c r="O2388" i="1" a="1"/>
  <c r="N2388" i="1"/>
  <c r="M2388" i="1"/>
  <c r="O2387" i="1" a="1"/>
  <c r="O2387" i="1" s="1"/>
  <c r="N2387" i="1"/>
  <c r="M2387" i="1"/>
  <c r="O2386" i="1" a="1"/>
  <c r="O2386" i="1" s="1"/>
  <c r="N2386" i="1"/>
  <c r="M2386" i="1"/>
  <c r="O2385" i="1"/>
  <c r="O2385" i="1" a="1"/>
  <c r="N2385" i="1"/>
  <c r="M2385" i="1"/>
  <c r="O2384" i="1"/>
  <c r="O2384" i="1" a="1"/>
  <c r="N2384" i="1"/>
  <c r="M2384" i="1"/>
  <c r="O2383" i="1" a="1"/>
  <c r="O2383" i="1" s="1"/>
  <c r="N2383" i="1"/>
  <c r="M2383" i="1"/>
  <c r="O2382" i="1" a="1"/>
  <c r="O2382" i="1" s="1"/>
  <c r="N2382" i="1"/>
  <c r="M2382" i="1"/>
  <c r="O2381" i="1" a="1"/>
  <c r="O2381" i="1" s="1"/>
  <c r="N2381" i="1"/>
  <c r="M2381" i="1"/>
  <c r="O2380" i="1" a="1"/>
  <c r="O2380" i="1" s="1"/>
  <c r="N2380" i="1"/>
  <c r="M2380" i="1"/>
  <c r="O2379" i="1" a="1"/>
  <c r="O2379" i="1" s="1"/>
  <c r="N2379" i="1"/>
  <c r="M2379" i="1"/>
  <c r="O2378" i="1" a="1"/>
  <c r="O2378" i="1" s="1"/>
  <c r="N2378" i="1"/>
  <c r="M2378" i="1"/>
  <c r="O2377" i="1"/>
  <c r="O2377" i="1" a="1"/>
  <c r="N2377" i="1"/>
  <c r="M2377" i="1"/>
  <c r="O2376" i="1" a="1"/>
  <c r="O2376" i="1" s="1"/>
  <c r="N2376" i="1"/>
  <c r="M2376" i="1"/>
  <c r="O2375" i="1"/>
  <c r="O2375" i="1" a="1"/>
  <c r="N2375" i="1"/>
  <c r="M2375" i="1"/>
  <c r="O2374" i="1" a="1"/>
  <c r="O2374" i="1" s="1"/>
  <c r="N2374" i="1"/>
  <c r="M2374" i="1"/>
  <c r="O2373" i="1" a="1"/>
  <c r="O2373" i="1" s="1"/>
  <c r="N2373" i="1"/>
  <c r="M2373" i="1"/>
  <c r="O2372" i="1"/>
  <c r="O2372" i="1" a="1"/>
  <c r="N2372" i="1"/>
  <c r="M2372" i="1"/>
  <c r="O2371" i="1" a="1"/>
  <c r="O2371" i="1" s="1"/>
  <c r="N2371" i="1"/>
  <c r="M2371" i="1"/>
  <c r="O2370" i="1" a="1"/>
  <c r="O2370" i="1" s="1"/>
  <c r="N2370" i="1"/>
  <c r="M2370" i="1"/>
  <c r="O2369" i="1" a="1"/>
  <c r="O2369" i="1" s="1"/>
  <c r="N2369" i="1"/>
  <c r="M2369" i="1"/>
  <c r="O2368" i="1"/>
  <c r="O2368" i="1" a="1"/>
  <c r="N2368" i="1"/>
  <c r="M2368" i="1"/>
  <c r="O2367" i="1"/>
  <c r="O2367" i="1" a="1"/>
  <c r="N2367" i="1"/>
  <c r="M2367" i="1"/>
  <c r="O2366" i="1" a="1"/>
  <c r="O2366" i="1" s="1"/>
  <c r="N2366" i="1"/>
  <c r="M2366" i="1"/>
  <c r="O2365" i="1" a="1"/>
  <c r="O2365" i="1" s="1"/>
  <c r="N2365" i="1"/>
  <c r="M2365" i="1"/>
  <c r="O2364" i="1"/>
  <c r="O2364" i="1" a="1"/>
  <c r="N2364" i="1"/>
  <c r="M2364" i="1"/>
  <c r="O2363" i="1" a="1"/>
  <c r="O2363" i="1" s="1"/>
  <c r="N2363" i="1"/>
  <c r="M2363" i="1"/>
  <c r="O2362" i="1" a="1"/>
  <c r="O2362" i="1" s="1"/>
  <c r="N2362" i="1"/>
  <c r="M2362" i="1"/>
  <c r="O2361" i="1" a="1"/>
  <c r="O2361" i="1" s="1"/>
  <c r="N2361" i="1"/>
  <c r="M2361" i="1"/>
  <c r="O2360" i="1" a="1"/>
  <c r="O2360" i="1" s="1"/>
  <c r="N2360" i="1"/>
  <c r="M2360" i="1"/>
  <c r="O2359" i="1" a="1"/>
  <c r="O2359" i="1" s="1"/>
  <c r="N2359" i="1"/>
  <c r="M2359" i="1"/>
  <c r="O2358" i="1"/>
  <c r="O2358" i="1" a="1"/>
  <c r="N2358" i="1"/>
  <c r="M2358" i="1"/>
  <c r="O2357" i="1" a="1"/>
  <c r="O2357" i="1" s="1"/>
  <c r="N2357" i="1"/>
  <c r="M2357" i="1"/>
  <c r="O2356" i="1"/>
  <c r="O2356" i="1" a="1"/>
  <c r="N2356" i="1"/>
  <c r="M2356" i="1"/>
  <c r="O2355" i="1"/>
  <c r="O2355" i="1" a="1"/>
  <c r="N2355" i="1"/>
  <c r="M2355" i="1"/>
  <c r="O2354" i="1" a="1"/>
  <c r="O2354" i="1" s="1"/>
  <c r="N2354" i="1"/>
  <c r="M2354" i="1"/>
  <c r="O2353" i="1" a="1"/>
  <c r="O2353" i="1" s="1"/>
  <c r="N2353" i="1"/>
  <c r="M2353" i="1"/>
  <c r="O2352" i="1" a="1"/>
  <c r="O2352" i="1" s="1"/>
  <c r="N2352" i="1"/>
  <c r="M2352" i="1"/>
  <c r="O2351" i="1" a="1"/>
  <c r="O2351" i="1" s="1"/>
  <c r="N2351" i="1"/>
  <c r="M2351" i="1"/>
  <c r="O2350" i="1"/>
  <c r="O2350" i="1" a="1"/>
  <c r="N2350" i="1"/>
  <c r="M2350" i="1"/>
  <c r="O2349" i="1"/>
  <c r="O2349" i="1" a="1"/>
  <c r="N2349" i="1"/>
  <c r="M2349" i="1"/>
  <c r="O2348" i="1" a="1"/>
  <c r="O2348" i="1" s="1"/>
  <c r="N2348" i="1"/>
  <c r="M2348" i="1"/>
  <c r="O2347" i="1" a="1"/>
  <c r="O2347" i="1" s="1"/>
  <c r="N2347" i="1"/>
  <c r="M2347" i="1"/>
  <c r="O2346" i="1"/>
  <c r="O2346" i="1" a="1"/>
  <c r="N2346" i="1"/>
  <c r="M2346" i="1"/>
  <c r="O2345" i="1" a="1"/>
  <c r="O2345" i="1" s="1"/>
  <c r="N2345" i="1"/>
  <c r="M2345" i="1"/>
  <c r="O2344" i="1" a="1"/>
  <c r="O2344" i="1" s="1"/>
  <c r="N2344" i="1"/>
  <c r="M2344" i="1"/>
  <c r="O2343" i="1"/>
  <c r="O2343" i="1" a="1"/>
  <c r="N2343" i="1"/>
  <c r="M2343" i="1"/>
  <c r="O2342" i="1" a="1"/>
  <c r="O2342" i="1" s="1"/>
  <c r="N2342" i="1"/>
  <c r="M2342" i="1"/>
  <c r="O2341" i="1" a="1"/>
  <c r="O2341" i="1" s="1"/>
  <c r="N2341" i="1"/>
  <c r="M2341" i="1"/>
  <c r="O2340" i="1" a="1"/>
  <c r="O2340" i="1" s="1"/>
  <c r="N2340" i="1"/>
  <c r="M2340" i="1"/>
  <c r="O2339" i="1"/>
  <c r="O2339" i="1" a="1"/>
  <c r="N2339" i="1"/>
  <c r="M2339" i="1"/>
  <c r="O2338" i="1" a="1"/>
  <c r="O2338" i="1" s="1"/>
  <c r="N2338" i="1"/>
  <c r="M2338" i="1"/>
  <c r="O2337" i="1" a="1"/>
  <c r="O2337" i="1" s="1"/>
  <c r="N2337" i="1"/>
  <c r="M2337" i="1"/>
  <c r="O2336" i="1" a="1"/>
  <c r="O2336" i="1" s="1"/>
  <c r="N2336" i="1"/>
  <c r="M2336" i="1"/>
  <c r="O2335" i="1"/>
  <c r="O2335" i="1" a="1"/>
  <c r="N2335" i="1"/>
  <c r="M2335" i="1"/>
  <c r="O2334" i="1" a="1"/>
  <c r="O2334" i="1" s="1"/>
  <c r="N2334" i="1"/>
  <c r="M2334" i="1"/>
  <c r="O2333" i="1" a="1"/>
  <c r="O2333" i="1" s="1"/>
  <c r="N2333" i="1"/>
  <c r="M2333" i="1"/>
  <c r="O2332" i="1"/>
  <c r="O2332" i="1" a="1"/>
  <c r="N2332" i="1"/>
  <c r="M2332" i="1"/>
  <c r="O2331" i="1" a="1"/>
  <c r="O2331" i="1" s="1"/>
  <c r="N2331" i="1"/>
  <c r="M2331" i="1"/>
  <c r="O2330" i="1" a="1"/>
  <c r="O2330" i="1" s="1"/>
  <c r="N2330" i="1"/>
  <c r="M2330" i="1"/>
  <c r="O2329" i="1"/>
  <c r="O2329" i="1" a="1"/>
  <c r="N2329" i="1"/>
  <c r="M2329" i="1"/>
  <c r="O2328" i="1" a="1"/>
  <c r="O2328" i="1" s="1"/>
  <c r="N2328" i="1"/>
  <c r="M2328" i="1"/>
  <c r="O2327" i="1"/>
  <c r="O2327" i="1" a="1"/>
  <c r="N2327" i="1"/>
  <c r="M2327" i="1"/>
  <c r="O2326" i="1"/>
  <c r="O2326" i="1" a="1"/>
  <c r="N2326" i="1"/>
  <c r="M2326" i="1"/>
  <c r="O2325" i="1" a="1"/>
  <c r="O2325" i="1" s="1"/>
  <c r="N2325" i="1"/>
  <c r="M2325" i="1"/>
  <c r="O2324" i="1" a="1"/>
  <c r="O2324" i="1" s="1"/>
  <c r="N2324" i="1"/>
  <c r="M2324" i="1"/>
  <c r="O2323" i="1"/>
  <c r="O2323" i="1" a="1"/>
  <c r="N2323" i="1"/>
  <c r="M2323" i="1"/>
  <c r="O2322" i="1" a="1"/>
  <c r="O2322" i="1" s="1"/>
  <c r="N2322" i="1"/>
  <c r="M2322" i="1"/>
  <c r="O2321" i="1"/>
  <c r="O2321" i="1" a="1"/>
  <c r="N2321" i="1"/>
  <c r="M2321" i="1"/>
  <c r="O2320" i="1" a="1"/>
  <c r="O2320" i="1" s="1"/>
  <c r="N2320" i="1"/>
  <c r="M2320" i="1"/>
  <c r="O2319" i="1"/>
  <c r="O2319" i="1" a="1"/>
  <c r="N2319" i="1"/>
  <c r="M2319" i="1"/>
  <c r="O2318" i="1" a="1"/>
  <c r="O2318" i="1" s="1"/>
  <c r="N2318" i="1"/>
  <c r="M2318" i="1"/>
  <c r="O2317" i="1" a="1"/>
  <c r="O2317" i="1" s="1"/>
  <c r="N2317" i="1"/>
  <c r="M2317" i="1"/>
  <c r="O2316" i="1"/>
  <c r="O2316" i="1" a="1"/>
  <c r="N2316" i="1"/>
  <c r="M2316" i="1"/>
  <c r="O2315" i="1" a="1"/>
  <c r="O2315" i="1" s="1"/>
  <c r="N2315" i="1"/>
  <c r="M2315" i="1"/>
  <c r="O2314" i="1"/>
  <c r="O2314" i="1" a="1"/>
  <c r="N2314" i="1"/>
  <c r="M2314" i="1"/>
  <c r="O2313" i="1" a="1"/>
  <c r="O2313" i="1" s="1"/>
  <c r="N2313" i="1"/>
  <c r="M2313" i="1"/>
  <c r="O2312" i="1" a="1"/>
  <c r="O2312" i="1" s="1"/>
  <c r="N2312" i="1"/>
  <c r="M2312" i="1"/>
  <c r="O2311" i="1" a="1"/>
  <c r="O2311" i="1" s="1"/>
  <c r="N2311" i="1"/>
  <c r="M2311" i="1"/>
  <c r="O2310" i="1" a="1"/>
  <c r="O2310" i="1" s="1"/>
  <c r="N2310" i="1"/>
  <c r="M2310" i="1"/>
  <c r="O2309" i="1" a="1"/>
  <c r="O2309" i="1" s="1"/>
  <c r="N2309" i="1"/>
  <c r="M2309" i="1"/>
  <c r="O2308" i="1"/>
  <c r="O2308" i="1" a="1"/>
  <c r="N2308" i="1"/>
  <c r="M2308" i="1"/>
  <c r="O2307" i="1" a="1"/>
  <c r="O2307" i="1" s="1"/>
  <c r="N2307" i="1"/>
  <c r="M2307" i="1"/>
  <c r="O2306" i="1"/>
  <c r="O2306" i="1" a="1"/>
  <c r="N2306" i="1"/>
  <c r="M2306" i="1"/>
  <c r="O2305" i="1" a="1"/>
  <c r="O2305" i="1" s="1"/>
  <c r="N2305" i="1"/>
  <c r="M2305" i="1"/>
  <c r="O2304" i="1" a="1"/>
  <c r="O2304" i="1" s="1"/>
  <c r="N2304" i="1"/>
  <c r="M2304" i="1"/>
  <c r="O2303" i="1" a="1"/>
  <c r="O2303" i="1" s="1"/>
  <c r="N2303" i="1"/>
  <c r="M2303" i="1"/>
  <c r="O2302" i="1" a="1"/>
  <c r="O2302" i="1" s="1"/>
  <c r="N2302" i="1"/>
  <c r="M2302" i="1"/>
  <c r="O2301" i="1" a="1"/>
  <c r="O2301" i="1" s="1"/>
  <c r="N2301" i="1"/>
  <c r="M2301" i="1"/>
  <c r="O2300" i="1"/>
  <c r="O2300" i="1" a="1"/>
  <c r="N2300" i="1"/>
  <c r="M2300" i="1"/>
  <c r="O2299" i="1" a="1"/>
  <c r="O2299" i="1" s="1"/>
  <c r="N2299" i="1"/>
  <c r="M2299" i="1"/>
  <c r="O2298" i="1"/>
  <c r="O2298" i="1" a="1"/>
  <c r="N2298" i="1"/>
  <c r="M2298" i="1"/>
  <c r="O2297" i="1"/>
  <c r="O2297" i="1" a="1"/>
  <c r="N2297" i="1"/>
  <c r="M2297" i="1"/>
  <c r="O2296" i="1" a="1"/>
  <c r="O2296" i="1" s="1"/>
  <c r="N2296" i="1"/>
  <c r="M2296" i="1"/>
  <c r="O2295" i="1"/>
  <c r="O2295" i="1" a="1"/>
  <c r="N2295" i="1"/>
  <c r="M2295" i="1"/>
  <c r="O2294" i="1"/>
  <c r="O2294" i="1" a="1"/>
  <c r="N2294" i="1"/>
  <c r="M2294" i="1"/>
  <c r="O2293" i="1" a="1"/>
  <c r="O2293" i="1" s="1"/>
  <c r="N2293" i="1"/>
  <c r="M2293" i="1"/>
  <c r="O2292" i="1"/>
  <c r="O2292" i="1" a="1"/>
  <c r="N2292" i="1"/>
  <c r="M2292" i="1"/>
  <c r="O2291" i="1"/>
  <c r="O2291" i="1" a="1"/>
  <c r="N2291" i="1"/>
  <c r="M2291" i="1"/>
  <c r="O2290" i="1"/>
  <c r="O2290" i="1" a="1"/>
  <c r="N2290" i="1"/>
  <c r="M2290" i="1"/>
  <c r="O2289" i="1" a="1"/>
  <c r="O2289" i="1" s="1"/>
  <c r="N2289" i="1"/>
  <c r="M2289" i="1"/>
  <c r="O2288" i="1"/>
  <c r="O2288" i="1" a="1"/>
  <c r="N2288" i="1"/>
  <c r="M2288" i="1"/>
  <c r="O2287" i="1"/>
  <c r="O2287" i="1" a="1"/>
  <c r="N2287" i="1"/>
  <c r="M2287" i="1"/>
  <c r="O2286" i="1"/>
  <c r="O2286" i="1" a="1"/>
  <c r="N2286" i="1"/>
  <c r="M2286" i="1"/>
  <c r="O2285" i="1"/>
  <c r="O2285" i="1" a="1"/>
  <c r="N2285" i="1"/>
  <c r="M2285" i="1"/>
  <c r="O2284" i="1" a="1"/>
  <c r="O2284" i="1" s="1"/>
  <c r="N2284" i="1"/>
  <c r="M2284" i="1"/>
  <c r="O2283" i="1" a="1"/>
  <c r="O2283" i="1" s="1"/>
  <c r="N2283" i="1"/>
  <c r="M2283" i="1"/>
  <c r="O2282" i="1" a="1"/>
  <c r="O2282" i="1" s="1"/>
  <c r="N2282" i="1"/>
  <c r="M2282" i="1"/>
  <c r="O2281" i="1" a="1"/>
  <c r="O2281" i="1" s="1"/>
  <c r="N2281" i="1"/>
  <c r="M2281" i="1"/>
  <c r="O2280" i="1" a="1"/>
  <c r="O2280" i="1" s="1"/>
  <c r="N2280" i="1"/>
  <c r="M2280" i="1"/>
  <c r="O2279" i="1"/>
  <c r="O2279" i="1" a="1"/>
  <c r="N2279" i="1"/>
  <c r="M2279" i="1"/>
  <c r="O2278" i="1" a="1"/>
  <c r="O2278" i="1" s="1"/>
  <c r="N2278" i="1"/>
  <c r="M2278" i="1"/>
  <c r="O2277" i="1"/>
  <c r="O2277" i="1" a="1"/>
  <c r="N2277" i="1"/>
  <c r="M2277" i="1"/>
  <c r="O2276" i="1" a="1"/>
  <c r="O2276" i="1" s="1"/>
  <c r="N2276" i="1"/>
  <c r="M2276" i="1"/>
  <c r="O2275" i="1" a="1"/>
  <c r="O2275" i="1" s="1"/>
  <c r="N2275" i="1"/>
  <c r="M2275" i="1"/>
  <c r="O2274" i="1" a="1"/>
  <c r="O2274" i="1" s="1"/>
  <c r="N2274" i="1"/>
  <c r="M2274" i="1"/>
  <c r="O2273" i="1" a="1"/>
  <c r="O2273" i="1" s="1"/>
  <c r="N2273" i="1"/>
  <c r="M2273" i="1"/>
  <c r="O2272" i="1" a="1"/>
  <c r="O2272" i="1" s="1"/>
  <c r="N2272" i="1"/>
  <c r="M2272" i="1"/>
  <c r="O2271" i="1"/>
  <c r="O2271" i="1" a="1"/>
  <c r="N2271" i="1"/>
  <c r="M2271" i="1"/>
  <c r="O2270" i="1" a="1"/>
  <c r="O2270" i="1" s="1"/>
  <c r="N2270" i="1"/>
  <c r="M2270" i="1"/>
  <c r="O2269" i="1"/>
  <c r="O2269" i="1" a="1"/>
  <c r="N2269" i="1"/>
  <c r="M2269" i="1"/>
  <c r="O2268" i="1" a="1"/>
  <c r="O2268" i="1" s="1"/>
  <c r="N2268" i="1"/>
  <c r="M2268" i="1"/>
  <c r="O2267" i="1" a="1"/>
  <c r="O2267" i="1" s="1"/>
  <c r="N2267" i="1"/>
  <c r="M2267" i="1"/>
  <c r="O2266" i="1"/>
  <c r="O2266" i="1" a="1"/>
  <c r="N2266" i="1"/>
  <c r="M2266" i="1"/>
  <c r="O2265" i="1"/>
  <c r="O2265" i="1" a="1"/>
  <c r="N2265" i="1"/>
  <c r="M2265" i="1"/>
  <c r="O2264" i="1" a="1"/>
  <c r="O2264" i="1" s="1"/>
  <c r="N2264" i="1"/>
  <c r="M2264" i="1"/>
  <c r="O2263" i="1"/>
  <c r="O2263" i="1" a="1"/>
  <c r="N2263" i="1"/>
  <c r="M2263" i="1"/>
  <c r="O2262" i="1" a="1"/>
  <c r="O2262" i="1" s="1"/>
  <c r="N2262" i="1"/>
  <c r="M2262" i="1"/>
  <c r="O2261" i="1" a="1"/>
  <c r="O2261" i="1" s="1"/>
  <c r="N2261" i="1"/>
  <c r="M2261" i="1"/>
  <c r="O2260" i="1" a="1"/>
  <c r="O2260" i="1" s="1"/>
  <c r="N2260" i="1"/>
  <c r="M2260" i="1"/>
  <c r="O2259" i="1" a="1"/>
  <c r="O2259" i="1" s="1"/>
  <c r="N2259" i="1"/>
  <c r="M2259" i="1"/>
  <c r="O2258" i="1"/>
  <c r="O2258" i="1" a="1"/>
  <c r="N2258" i="1"/>
  <c r="M2258" i="1"/>
  <c r="O2257" i="1" a="1"/>
  <c r="O2257" i="1" s="1"/>
  <c r="N2257" i="1"/>
  <c r="M2257" i="1"/>
  <c r="O2256" i="1"/>
  <c r="O2256" i="1" a="1"/>
  <c r="N2256" i="1"/>
  <c r="M2256" i="1"/>
  <c r="O2255" i="1" a="1"/>
  <c r="O2255" i="1" s="1"/>
  <c r="N2255" i="1"/>
  <c r="M2255" i="1"/>
  <c r="O2254" i="1" a="1"/>
  <c r="O2254" i="1" s="1"/>
  <c r="N2254" i="1"/>
  <c r="M2254" i="1"/>
  <c r="O2253" i="1" a="1"/>
  <c r="O2253" i="1" s="1"/>
  <c r="N2253" i="1"/>
  <c r="M2253" i="1"/>
  <c r="O2252" i="1"/>
  <c r="O2252" i="1" a="1"/>
  <c r="N2252" i="1"/>
  <c r="M2252" i="1"/>
  <c r="O2251" i="1" a="1"/>
  <c r="O2251" i="1" s="1"/>
  <c r="N2251" i="1"/>
  <c r="M2251" i="1"/>
  <c r="O2250" i="1"/>
  <c r="O2250" i="1" a="1"/>
  <c r="N2250" i="1"/>
  <c r="M2250" i="1"/>
  <c r="O2249" i="1" a="1"/>
  <c r="O2249" i="1" s="1"/>
  <c r="N2249" i="1"/>
  <c r="M2249" i="1"/>
  <c r="O2248" i="1"/>
  <c r="O2248" i="1" a="1"/>
  <c r="N2248" i="1"/>
  <c r="M2248" i="1"/>
  <c r="O2247" i="1" a="1"/>
  <c r="O2247" i="1" s="1"/>
  <c r="N2247" i="1"/>
  <c r="M2247" i="1"/>
  <c r="O2246" i="1"/>
  <c r="O2246" i="1" a="1"/>
  <c r="N2246" i="1"/>
  <c r="M2246" i="1"/>
  <c r="O2245" i="1" a="1"/>
  <c r="O2245" i="1" s="1"/>
  <c r="N2245" i="1"/>
  <c r="M2245" i="1"/>
  <c r="O2244" i="1" a="1"/>
  <c r="O2244" i="1" s="1"/>
  <c r="N2244" i="1"/>
  <c r="M2244" i="1"/>
  <c r="O2243" i="1" a="1"/>
  <c r="O2243" i="1" s="1"/>
  <c r="N2243" i="1"/>
  <c r="M2243" i="1"/>
  <c r="O2242" i="1" a="1"/>
  <c r="O2242" i="1" s="1"/>
  <c r="N2242" i="1"/>
  <c r="M2242" i="1"/>
  <c r="O2241" i="1" a="1"/>
  <c r="O2241" i="1" s="1"/>
  <c r="N2241" i="1"/>
  <c r="M2241" i="1"/>
  <c r="O2240" i="1" a="1"/>
  <c r="O2240" i="1" s="1"/>
  <c r="N2240" i="1"/>
  <c r="M2240" i="1"/>
  <c r="O2239" i="1"/>
  <c r="O2239" i="1" a="1"/>
  <c r="N2239" i="1"/>
  <c r="M2239" i="1"/>
  <c r="O2238" i="1" a="1"/>
  <c r="O2238" i="1" s="1"/>
  <c r="N2238" i="1"/>
  <c r="M2238" i="1"/>
  <c r="O2237" i="1"/>
  <c r="O2237" i="1" a="1"/>
  <c r="N2237" i="1"/>
  <c r="M2237" i="1"/>
  <c r="O2236" i="1" a="1"/>
  <c r="O2236" i="1" s="1"/>
  <c r="N2236" i="1"/>
  <c r="M2236" i="1"/>
  <c r="O2235" i="1"/>
  <c r="O2235" i="1" a="1"/>
  <c r="N2235" i="1"/>
  <c r="M2235" i="1"/>
  <c r="O2234" i="1"/>
  <c r="O2234" i="1" a="1"/>
  <c r="N2234" i="1"/>
  <c r="M2234" i="1"/>
  <c r="O2233" i="1" a="1"/>
  <c r="O2233" i="1" s="1"/>
  <c r="N2233" i="1"/>
  <c r="M2233" i="1"/>
  <c r="O2232" i="1"/>
  <c r="O2232" i="1" a="1"/>
  <c r="N2232" i="1"/>
  <c r="M2232" i="1"/>
  <c r="O2231" i="1" a="1"/>
  <c r="O2231" i="1" s="1"/>
  <c r="N2231" i="1"/>
  <c r="M2231" i="1"/>
  <c r="O2230" i="1" a="1"/>
  <c r="O2230" i="1" s="1"/>
  <c r="N2230" i="1"/>
  <c r="M2230" i="1"/>
  <c r="O2229" i="1" a="1"/>
  <c r="O2229" i="1" s="1"/>
  <c r="N2229" i="1"/>
  <c r="M2229" i="1"/>
  <c r="O2228" i="1" a="1"/>
  <c r="O2228" i="1" s="1"/>
  <c r="N2228" i="1"/>
  <c r="M2228" i="1"/>
  <c r="O2227" i="1"/>
  <c r="O2227" i="1" a="1"/>
  <c r="N2227" i="1"/>
  <c r="M2227" i="1"/>
  <c r="O2226" i="1" a="1"/>
  <c r="O2226" i="1" s="1"/>
  <c r="N2226" i="1"/>
  <c r="M2226" i="1"/>
  <c r="O2225" i="1" a="1"/>
  <c r="O2225" i="1" s="1"/>
  <c r="N2225" i="1"/>
  <c r="M2225" i="1"/>
  <c r="O2224" i="1" a="1"/>
  <c r="O2224" i="1" s="1"/>
  <c r="N2224" i="1"/>
  <c r="M2224" i="1"/>
  <c r="O2223" i="1" a="1"/>
  <c r="O2223" i="1" s="1"/>
  <c r="N2223" i="1"/>
  <c r="M2223" i="1"/>
  <c r="O2222" i="1" a="1"/>
  <c r="O2222" i="1" s="1"/>
  <c r="N2222" i="1"/>
  <c r="M2222" i="1"/>
  <c r="O2221" i="1" a="1"/>
  <c r="O2221" i="1" s="1"/>
  <c r="N2221" i="1"/>
  <c r="M2221" i="1"/>
  <c r="O2220" i="1"/>
  <c r="O2220" i="1" a="1"/>
  <c r="N2220" i="1"/>
  <c r="M2220" i="1"/>
  <c r="O2219" i="1" a="1"/>
  <c r="O2219" i="1" s="1"/>
  <c r="N2219" i="1"/>
  <c r="M2219" i="1"/>
  <c r="O2218" i="1"/>
  <c r="O2218" i="1" a="1"/>
  <c r="N2218" i="1"/>
  <c r="M2218" i="1"/>
  <c r="O2217" i="1"/>
  <c r="O2217" i="1" a="1"/>
  <c r="N2217" i="1"/>
  <c r="M2217" i="1"/>
  <c r="O2216" i="1" a="1"/>
  <c r="O2216" i="1" s="1"/>
  <c r="N2216" i="1"/>
  <c r="M2216" i="1"/>
  <c r="O2215" i="1" a="1"/>
  <c r="O2215" i="1" s="1"/>
  <c r="N2215" i="1"/>
  <c r="M2215" i="1"/>
  <c r="O2214" i="1" a="1"/>
  <c r="O2214" i="1" s="1"/>
  <c r="N2214" i="1"/>
  <c r="M2214" i="1"/>
  <c r="O2213" i="1"/>
  <c r="O2213" i="1" a="1"/>
  <c r="N2213" i="1"/>
  <c r="M2213" i="1"/>
  <c r="O2212" i="1" a="1"/>
  <c r="O2212" i="1" s="1"/>
  <c r="N2212" i="1"/>
  <c r="M2212" i="1"/>
  <c r="O2211" i="1" a="1"/>
  <c r="O2211" i="1" s="1"/>
  <c r="N2211" i="1"/>
  <c r="M2211" i="1"/>
  <c r="O2210" i="1" a="1"/>
  <c r="O2210" i="1" s="1"/>
  <c r="N2210" i="1"/>
  <c r="M2210" i="1"/>
  <c r="O2209" i="1"/>
  <c r="O2209" i="1" a="1"/>
  <c r="N2209" i="1"/>
  <c r="M2209" i="1"/>
  <c r="O2208" i="1"/>
  <c r="O2208" i="1" a="1"/>
  <c r="N2208" i="1"/>
  <c r="M2208" i="1"/>
  <c r="O2207" i="1" a="1"/>
  <c r="O2207" i="1" s="1"/>
  <c r="N2207" i="1"/>
  <c r="M2207" i="1"/>
  <c r="O2206" i="1" a="1"/>
  <c r="O2206" i="1" s="1"/>
  <c r="N2206" i="1"/>
  <c r="M2206" i="1"/>
  <c r="O2205" i="1" a="1"/>
  <c r="O2205" i="1" s="1"/>
  <c r="N2205" i="1"/>
  <c r="M2205" i="1"/>
  <c r="O2204" i="1" a="1"/>
  <c r="O2204" i="1" s="1"/>
  <c r="N2204" i="1"/>
  <c r="M2204" i="1"/>
  <c r="O2203" i="1" a="1"/>
  <c r="O2203" i="1" s="1"/>
  <c r="N2203" i="1"/>
  <c r="M2203" i="1"/>
  <c r="O2202" i="1" a="1"/>
  <c r="O2202" i="1" s="1"/>
  <c r="N2202" i="1"/>
  <c r="M2202" i="1"/>
  <c r="O2201" i="1" a="1"/>
  <c r="O2201" i="1" s="1"/>
  <c r="N2201" i="1"/>
  <c r="M2201" i="1"/>
  <c r="O2200" i="1"/>
  <c r="O2200" i="1" a="1"/>
  <c r="N2200" i="1"/>
  <c r="M2200" i="1"/>
  <c r="O2199" i="1"/>
  <c r="O2199" i="1" a="1"/>
  <c r="N2199" i="1"/>
  <c r="M2199" i="1"/>
  <c r="O2198" i="1" a="1"/>
  <c r="O2198" i="1" s="1"/>
  <c r="N2198" i="1"/>
  <c r="M2198" i="1"/>
  <c r="O2197" i="1"/>
  <c r="O2197" i="1" a="1"/>
  <c r="N2197" i="1"/>
  <c r="M2197" i="1"/>
  <c r="O2196" i="1" a="1"/>
  <c r="O2196" i="1" s="1"/>
  <c r="N2196" i="1"/>
  <c r="M2196" i="1"/>
  <c r="O2195" i="1" a="1"/>
  <c r="O2195" i="1" s="1"/>
  <c r="N2195" i="1"/>
  <c r="M2195" i="1"/>
  <c r="O2194" i="1"/>
  <c r="O2194" i="1" a="1"/>
  <c r="N2194" i="1"/>
  <c r="M2194" i="1"/>
  <c r="O2193" i="1" a="1"/>
  <c r="O2193" i="1" s="1"/>
  <c r="N2193" i="1"/>
  <c r="M2193" i="1"/>
  <c r="O2192" i="1"/>
  <c r="O2192" i="1" a="1"/>
  <c r="N2192" i="1"/>
  <c r="M2192" i="1"/>
  <c r="O2191" i="1" a="1"/>
  <c r="O2191" i="1" s="1"/>
  <c r="N2191" i="1"/>
  <c r="M2191" i="1"/>
  <c r="O2190" i="1" a="1"/>
  <c r="O2190" i="1" s="1"/>
  <c r="N2190" i="1"/>
  <c r="M2190" i="1"/>
  <c r="O2189" i="1"/>
  <c r="O2189" i="1" a="1"/>
  <c r="N2189" i="1"/>
  <c r="M2189" i="1"/>
  <c r="O2188" i="1"/>
  <c r="O2188" i="1" a="1"/>
  <c r="N2188" i="1"/>
  <c r="M2188" i="1"/>
  <c r="O2187" i="1" a="1"/>
  <c r="O2187" i="1" s="1"/>
  <c r="N2187" i="1"/>
  <c r="M2187" i="1"/>
  <c r="O2186" i="1" a="1"/>
  <c r="O2186" i="1" s="1"/>
  <c r="N2186" i="1"/>
  <c r="M2186" i="1"/>
  <c r="O2185" i="1" a="1"/>
  <c r="O2185" i="1" s="1"/>
  <c r="N2185" i="1"/>
  <c r="M2185" i="1"/>
  <c r="O2184" i="1" a="1"/>
  <c r="O2184" i="1" s="1"/>
  <c r="N2184" i="1"/>
  <c r="M2184" i="1"/>
  <c r="O2183" i="1"/>
  <c r="O2183" i="1" a="1"/>
  <c r="N2183" i="1"/>
  <c r="M2183" i="1"/>
  <c r="O2182" i="1" a="1"/>
  <c r="O2182" i="1" s="1"/>
  <c r="N2182" i="1"/>
  <c r="M2182" i="1"/>
  <c r="O2181" i="1" a="1"/>
  <c r="O2181" i="1" s="1"/>
  <c r="N2181" i="1"/>
  <c r="M2181" i="1"/>
  <c r="O2180" i="1" a="1"/>
  <c r="O2180" i="1" s="1"/>
  <c r="N2180" i="1"/>
  <c r="M2180" i="1"/>
  <c r="O2179" i="1"/>
  <c r="O2179" i="1" a="1"/>
  <c r="N2179" i="1"/>
  <c r="M2179" i="1"/>
  <c r="O2178" i="1" a="1"/>
  <c r="O2178" i="1" s="1"/>
  <c r="N2178" i="1"/>
  <c r="M2178" i="1"/>
  <c r="O2177" i="1" a="1"/>
  <c r="O2177" i="1" s="1"/>
  <c r="N2177" i="1"/>
  <c r="M2177" i="1"/>
  <c r="O2176" i="1"/>
  <c r="O2176" i="1" a="1"/>
  <c r="N2176" i="1"/>
  <c r="M2176" i="1"/>
  <c r="O2175" i="1" a="1"/>
  <c r="O2175" i="1" s="1"/>
  <c r="N2175" i="1"/>
  <c r="M2175" i="1"/>
  <c r="O2174" i="1"/>
  <c r="O2174" i="1" a="1"/>
  <c r="N2174" i="1"/>
  <c r="M2174" i="1"/>
  <c r="O2173" i="1" a="1"/>
  <c r="O2173" i="1" s="1"/>
  <c r="N2173" i="1"/>
  <c r="M2173" i="1"/>
  <c r="O2172" i="1" a="1"/>
  <c r="O2172" i="1" s="1"/>
  <c r="N2172" i="1"/>
  <c r="M2172" i="1"/>
  <c r="O2171" i="1"/>
  <c r="O2171" i="1" a="1"/>
  <c r="N2171" i="1"/>
  <c r="M2171" i="1"/>
  <c r="O2170" i="1" a="1"/>
  <c r="O2170" i="1" s="1"/>
  <c r="N2170" i="1"/>
  <c r="M2170" i="1"/>
  <c r="O2169" i="1" a="1"/>
  <c r="O2169" i="1" s="1"/>
  <c r="N2169" i="1"/>
  <c r="M2169" i="1"/>
  <c r="O2168" i="1"/>
  <c r="O2168" i="1" a="1"/>
  <c r="N2168" i="1"/>
  <c r="M2168" i="1"/>
  <c r="O2167" i="1" a="1"/>
  <c r="O2167" i="1" s="1"/>
  <c r="N2167" i="1"/>
  <c r="M2167" i="1"/>
  <c r="O2166" i="1" a="1"/>
  <c r="O2166" i="1" s="1"/>
  <c r="N2166" i="1"/>
  <c r="M2166" i="1"/>
  <c r="O2165" i="1" a="1"/>
  <c r="O2165" i="1" s="1"/>
  <c r="N2165" i="1"/>
  <c r="M2165" i="1"/>
  <c r="O2164" i="1" a="1"/>
  <c r="O2164" i="1" s="1"/>
  <c r="N2164" i="1"/>
  <c r="M2164" i="1"/>
  <c r="O2163" i="1" a="1"/>
  <c r="O2163" i="1" s="1"/>
  <c r="N2163" i="1"/>
  <c r="M2163" i="1"/>
  <c r="O2162" i="1" a="1"/>
  <c r="O2162" i="1" s="1"/>
  <c r="N2162" i="1"/>
  <c r="M2162" i="1"/>
  <c r="O2161" i="1" a="1"/>
  <c r="O2161" i="1" s="1"/>
  <c r="N2161" i="1"/>
  <c r="M2161" i="1"/>
  <c r="O2160" i="1" a="1"/>
  <c r="O2160" i="1" s="1"/>
  <c r="N2160" i="1"/>
  <c r="M2160" i="1"/>
  <c r="O2159" i="1"/>
  <c r="O2159" i="1" a="1"/>
  <c r="N2159" i="1"/>
  <c r="M2159" i="1"/>
  <c r="O2158" i="1" a="1"/>
  <c r="O2158" i="1" s="1"/>
  <c r="N2158" i="1"/>
  <c r="M2158" i="1"/>
  <c r="O2157" i="1" a="1"/>
  <c r="O2157" i="1" s="1"/>
  <c r="N2157" i="1"/>
  <c r="M2157" i="1"/>
  <c r="O2156" i="1" a="1"/>
  <c r="O2156" i="1" s="1"/>
  <c r="N2156" i="1"/>
  <c r="M2156" i="1"/>
  <c r="O2155" i="1"/>
  <c r="O2155" i="1" a="1"/>
  <c r="N2155" i="1"/>
  <c r="M2155" i="1"/>
  <c r="O2154" i="1"/>
  <c r="O2154" i="1" a="1"/>
  <c r="N2154" i="1"/>
  <c r="M2154" i="1"/>
  <c r="O2153" i="1" a="1"/>
  <c r="O2153" i="1" s="1"/>
  <c r="N2153" i="1"/>
  <c r="M2153" i="1"/>
  <c r="O2152" i="1"/>
  <c r="O2152" i="1" a="1"/>
  <c r="N2152" i="1"/>
  <c r="M2152" i="1"/>
  <c r="O2151" i="1"/>
  <c r="O2151" i="1" a="1"/>
  <c r="N2151" i="1"/>
  <c r="M2151" i="1"/>
  <c r="O2150" i="1"/>
  <c r="O2150" i="1" a="1"/>
  <c r="N2150" i="1"/>
  <c r="M2150" i="1"/>
  <c r="O2149" i="1" a="1"/>
  <c r="O2149" i="1" s="1"/>
  <c r="N2149" i="1"/>
  <c r="M2149" i="1"/>
  <c r="O2148" i="1"/>
  <c r="O2148" i="1" a="1"/>
  <c r="N2148" i="1"/>
  <c r="M2148" i="1"/>
  <c r="O2147" i="1"/>
  <c r="O2147" i="1" a="1"/>
  <c r="N2147" i="1"/>
  <c r="M2147" i="1"/>
  <c r="O2146" i="1" a="1"/>
  <c r="O2146" i="1" s="1"/>
  <c r="N2146" i="1"/>
  <c r="M2146" i="1"/>
  <c r="O2145" i="1" a="1"/>
  <c r="O2145" i="1" s="1"/>
  <c r="N2145" i="1"/>
  <c r="M2145" i="1"/>
  <c r="O2144" i="1"/>
  <c r="O2144" i="1" a="1"/>
  <c r="N2144" i="1"/>
  <c r="M2144" i="1"/>
  <c r="O2143" i="1" a="1"/>
  <c r="O2143" i="1" s="1"/>
  <c r="N2143" i="1"/>
  <c r="M2143" i="1"/>
  <c r="O2142" i="1" a="1"/>
  <c r="O2142" i="1" s="1"/>
  <c r="N2142" i="1"/>
  <c r="M2142" i="1"/>
  <c r="O2141" i="1" a="1"/>
  <c r="O2141" i="1" s="1"/>
  <c r="N2141" i="1"/>
  <c r="M2141" i="1"/>
  <c r="O2140" i="1" a="1"/>
  <c r="O2140" i="1" s="1"/>
  <c r="N2140" i="1"/>
  <c r="M2140" i="1"/>
  <c r="O2139" i="1"/>
  <c r="O2139" i="1" a="1"/>
  <c r="N2139" i="1"/>
  <c r="M2139" i="1"/>
  <c r="O2138" i="1"/>
  <c r="O2138" i="1" a="1"/>
  <c r="N2138" i="1"/>
  <c r="M2138" i="1"/>
  <c r="O2137" i="1" a="1"/>
  <c r="O2137" i="1" s="1"/>
  <c r="N2137" i="1"/>
  <c r="M2137" i="1"/>
  <c r="O2136" i="1"/>
  <c r="O2136" i="1" a="1"/>
  <c r="N2136" i="1"/>
  <c r="M2136" i="1"/>
  <c r="O2135" i="1" a="1"/>
  <c r="O2135" i="1" s="1"/>
  <c r="N2135" i="1"/>
  <c r="M2135" i="1"/>
  <c r="O2134" i="1" a="1"/>
  <c r="O2134" i="1" s="1"/>
  <c r="N2134" i="1"/>
  <c r="M2134" i="1"/>
  <c r="O2133" i="1"/>
  <c r="O2133" i="1" a="1"/>
  <c r="N2133" i="1"/>
  <c r="M2133" i="1"/>
  <c r="O2132" i="1" a="1"/>
  <c r="O2132" i="1" s="1"/>
  <c r="N2132" i="1"/>
  <c r="M2132" i="1"/>
  <c r="O2131" i="1" a="1"/>
  <c r="O2131" i="1" s="1"/>
  <c r="N2131" i="1"/>
  <c r="M2131" i="1"/>
  <c r="O2130" i="1"/>
  <c r="O2130" i="1" a="1"/>
  <c r="N2130" i="1"/>
  <c r="M2130" i="1"/>
  <c r="O2129" i="1" a="1"/>
  <c r="O2129" i="1" s="1"/>
  <c r="N2129" i="1"/>
  <c r="M2129" i="1"/>
  <c r="O2128" i="1" a="1"/>
  <c r="O2128" i="1" s="1"/>
  <c r="N2128" i="1"/>
  <c r="M2128" i="1"/>
  <c r="O2127" i="1" a="1"/>
  <c r="O2127" i="1" s="1"/>
  <c r="N2127" i="1"/>
  <c r="M2127" i="1"/>
  <c r="O2126" i="1" a="1"/>
  <c r="O2126" i="1" s="1"/>
  <c r="N2126" i="1"/>
  <c r="M2126" i="1"/>
  <c r="O2125" i="1"/>
  <c r="O2125" i="1" a="1"/>
  <c r="N2125" i="1"/>
  <c r="M2125" i="1"/>
  <c r="O2124" i="1"/>
  <c r="O2124" i="1" a="1"/>
  <c r="N2124" i="1"/>
  <c r="M2124" i="1"/>
  <c r="O2123" i="1"/>
  <c r="O2123" i="1" a="1"/>
  <c r="N2123" i="1"/>
  <c r="M2123" i="1"/>
  <c r="O2122" i="1" a="1"/>
  <c r="O2122" i="1" s="1"/>
  <c r="N2122" i="1"/>
  <c r="M2122" i="1"/>
  <c r="O2121" i="1" a="1"/>
  <c r="O2121" i="1" s="1"/>
  <c r="N2121" i="1"/>
  <c r="M2121" i="1"/>
  <c r="O2120" i="1"/>
  <c r="O2120" i="1" a="1"/>
  <c r="N2120" i="1"/>
  <c r="M2120" i="1"/>
  <c r="O2119" i="1"/>
  <c r="O2119" i="1" a="1"/>
  <c r="N2119" i="1"/>
  <c r="M2119" i="1"/>
  <c r="O2118" i="1"/>
  <c r="O2118" i="1" a="1"/>
  <c r="N2118" i="1"/>
  <c r="M2118" i="1"/>
  <c r="O2117" i="1" a="1"/>
  <c r="O2117" i="1" s="1"/>
  <c r="N2117" i="1"/>
  <c r="M2117" i="1"/>
  <c r="O2116" i="1" a="1"/>
  <c r="O2116" i="1" s="1"/>
  <c r="N2116" i="1"/>
  <c r="M2116" i="1"/>
  <c r="O2115" i="1" a="1"/>
  <c r="O2115" i="1" s="1"/>
  <c r="N2115" i="1"/>
  <c r="M2115" i="1"/>
  <c r="O2114" i="1" a="1"/>
  <c r="O2114" i="1" s="1"/>
  <c r="N2114" i="1"/>
  <c r="M2114" i="1"/>
  <c r="O2113" i="1" a="1"/>
  <c r="O2113" i="1" s="1"/>
  <c r="N2113" i="1"/>
  <c r="M2113" i="1"/>
  <c r="O2112" i="1"/>
  <c r="O2112" i="1" a="1"/>
  <c r="N2112" i="1"/>
  <c r="M2112" i="1"/>
  <c r="O2111" i="1" a="1"/>
  <c r="O2111" i="1" s="1"/>
  <c r="N2111" i="1"/>
  <c r="M2111" i="1"/>
  <c r="O2110" i="1"/>
  <c r="O2110" i="1" a="1"/>
  <c r="N2110" i="1"/>
  <c r="M2110" i="1"/>
  <c r="O2109" i="1"/>
  <c r="O2109" i="1" a="1"/>
  <c r="N2109" i="1"/>
  <c r="M2109" i="1"/>
  <c r="O2108" i="1" a="1"/>
  <c r="O2108" i="1" s="1"/>
  <c r="N2108" i="1"/>
  <c r="M2108" i="1"/>
  <c r="O2107" i="1" a="1"/>
  <c r="O2107" i="1" s="1"/>
  <c r="N2107" i="1"/>
  <c r="M2107" i="1"/>
  <c r="O2106" i="1" a="1"/>
  <c r="O2106" i="1" s="1"/>
  <c r="N2106" i="1"/>
  <c r="M2106" i="1"/>
  <c r="O2105" i="1" a="1"/>
  <c r="O2105" i="1" s="1"/>
  <c r="N2105" i="1"/>
  <c r="M2105" i="1"/>
  <c r="O2104" i="1"/>
  <c r="O2104" i="1" a="1"/>
  <c r="N2104" i="1"/>
  <c r="M2104" i="1"/>
  <c r="O2103" i="1" a="1"/>
  <c r="O2103" i="1" s="1"/>
  <c r="N2103" i="1"/>
  <c r="M2103" i="1"/>
  <c r="O2102" i="1" a="1"/>
  <c r="O2102" i="1" s="1"/>
  <c r="N2102" i="1"/>
  <c r="M2102" i="1"/>
  <c r="O2101" i="1"/>
  <c r="O2101" i="1" a="1"/>
  <c r="N2101" i="1"/>
  <c r="M2101" i="1"/>
  <c r="O2100" i="1" a="1"/>
  <c r="O2100" i="1" s="1"/>
  <c r="N2100" i="1"/>
  <c r="M2100" i="1"/>
  <c r="O2099" i="1"/>
  <c r="O2099" i="1" a="1"/>
  <c r="N2099" i="1"/>
  <c r="M2099" i="1"/>
  <c r="O2098" i="1"/>
  <c r="O2098" i="1" a="1"/>
  <c r="N2098" i="1"/>
  <c r="M2098" i="1"/>
  <c r="O2097" i="1" a="1"/>
  <c r="O2097" i="1" s="1"/>
  <c r="N2097" i="1"/>
  <c r="M2097" i="1"/>
  <c r="O2096" i="1"/>
  <c r="O2096" i="1" a="1"/>
  <c r="N2096" i="1"/>
  <c r="M2096" i="1"/>
  <c r="O2095" i="1"/>
  <c r="O2095" i="1" a="1"/>
  <c r="N2095" i="1"/>
  <c r="M2095" i="1"/>
  <c r="O2094" i="1" a="1"/>
  <c r="O2094" i="1" s="1"/>
  <c r="N2094" i="1"/>
  <c r="M2094" i="1"/>
  <c r="O2093" i="1" a="1"/>
  <c r="O2093" i="1" s="1"/>
  <c r="N2093" i="1"/>
  <c r="M2093" i="1"/>
  <c r="O2092" i="1"/>
  <c r="O2092" i="1" a="1"/>
  <c r="N2092" i="1"/>
  <c r="M2092" i="1"/>
  <c r="O2091" i="1"/>
  <c r="O2091" i="1" a="1"/>
  <c r="N2091" i="1"/>
  <c r="M2091" i="1"/>
  <c r="O2090" i="1"/>
  <c r="O2090" i="1" a="1"/>
  <c r="N2090" i="1"/>
  <c r="M2090" i="1"/>
  <c r="O2089" i="1"/>
  <c r="O2089" i="1" a="1"/>
  <c r="N2089" i="1"/>
  <c r="M2089" i="1"/>
  <c r="O2088" i="1" a="1"/>
  <c r="O2088" i="1" s="1"/>
  <c r="N2088" i="1"/>
  <c r="M2088" i="1"/>
  <c r="O2087" i="1" a="1"/>
  <c r="O2087" i="1" s="1"/>
  <c r="N2087" i="1"/>
  <c r="M2087" i="1"/>
  <c r="O2086" i="1" a="1"/>
  <c r="O2086" i="1" s="1"/>
  <c r="N2086" i="1"/>
  <c r="M2086" i="1"/>
  <c r="O2085" i="1"/>
  <c r="O2085" i="1" a="1"/>
  <c r="N2085" i="1"/>
  <c r="M2085" i="1"/>
  <c r="O2084" i="1" a="1"/>
  <c r="O2084" i="1" s="1"/>
  <c r="N2084" i="1"/>
  <c r="M2084" i="1"/>
  <c r="O2083" i="1"/>
  <c r="O2083" i="1" a="1"/>
  <c r="N2083" i="1"/>
  <c r="M2083" i="1"/>
  <c r="O2082" i="1"/>
  <c r="O2082" i="1" a="1"/>
  <c r="N2082" i="1"/>
  <c r="M2082" i="1"/>
  <c r="O2081" i="1"/>
  <c r="O2081" i="1" a="1"/>
  <c r="N2081" i="1"/>
  <c r="M2081" i="1"/>
  <c r="O2080" i="1"/>
  <c r="O2080" i="1" a="1"/>
  <c r="N2080" i="1"/>
  <c r="M2080" i="1"/>
  <c r="O2079" i="1" a="1"/>
  <c r="O2079" i="1" s="1"/>
  <c r="N2079" i="1"/>
  <c r="M2079" i="1"/>
  <c r="O2078" i="1" a="1"/>
  <c r="O2078" i="1" s="1"/>
  <c r="N2078" i="1"/>
  <c r="M2078" i="1"/>
  <c r="O2077" i="1" a="1"/>
  <c r="O2077" i="1" s="1"/>
  <c r="N2077" i="1"/>
  <c r="M2077" i="1"/>
  <c r="O2076" i="1" a="1"/>
  <c r="O2076" i="1" s="1"/>
  <c r="N2076" i="1"/>
  <c r="M2076" i="1"/>
  <c r="O2075" i="1" a="1"/>
  <c r="O2075" i="1" s="1"/>
  <c r="N2075" i="1"/>
  <c r="M2075" i="1"/>
  <c r="O2074" i="1" a="1"/>
  <c r="O2074" i="1" s="1"/>
  <c r="N2074" i="1"/>
  <c r="M2074" i="1"/>
  <c r="O2073" i="1" a="1"/>
  <c r="O2073" i="1" s="1"/>
  <c r="N2073" i="1"/>
  <c r="M2073" i="1"/>
  <c r="O2072" i="1" a="1"/>
  <c r="O2072" i="1" s="1"/>
  <c r="N2072" i="1"/>
  <c r="M2072" i="1"/>
  <c r="O2071" i="1"/>
  <c r="O2071" i="1" a="1"/>
  <c r="N2071" i="1"/>
  <c r="M2071" i="1"/>
  <c r="O2070" i="1"/>
  <c r="O2070" i="1" a="1"/>
  <c r="N2070" i="1"/>
  <c r="M2070" i="1"/>
  <c r="O2069" i="1"/>
  <c r="O2069" i="1" a="1"/>
  <c r="N2069" i="1"/>
  <c r="M2069" i="1"/>
  <c r="O2068" i="1"/>
  <c r="O2068" i="1" a="1"/>
  <c r="N2068" i="1"/>
  <c r="M2068" i="1"/>
  <c r="O2067" i="1"/>
  <c r="O2067" i="1" a="1"/>
  <c r="N2067" i="1"/>
  <c r="M2067" i="1"/>
  <c r="O2066" i="1"/>
  <c r="O2066" i="1" a="1"/>
  <c r="N2066" i="1"/>
  <c r="M2066" i="1"/>
  <c r="O2065" i="1" a="1"/>
  <c r="O2065" i="1" s="1"/>
  <c r="N2065" i="1"/>
  <c r="M2065" i="1"/>
  <c r="O2064" i="1" a="1"/>
  <c r="O2064" i="1" s="1"/>
  <c r="N2064" i="1"/>
  <c r="M2064" i="1"/>
  <c r="O2063" i="1" a="1"/>
  <c r="O2063" i="1" s="1"/>
  <c r="N2063" i="1"/>
  <c r="M2063" i="1"/>
  <c r="O2062" i="1" a="1"/>
  <c r="O2062" i="1" s="1"/>
  <c r="N2062" i="1"/>
  <c r="M2062" i="1"/>
  <c r="O2061" i="1"/>
  <c r="O2061" i="1" a="1"/>
  <c r="N2061" i="1"/>
  <c r="M2061" i="1"/>
  <c r="O2060" i="1"/>
  <c r="O2060" i="1" a="1"/>
  <c r="N2060" i="1"/>
  <c r="M2060" i="1"/>
  <c r="O2059" i="1" a="1"/>
  <c r="O2059" i="1" s="1"/>
  <c r="N2059" i="1"/>
  <c r="M2059" i="1"/>
  <c r="O2058" i="1" a="1"/>
  <c r="O2058" i="1" s="1"/>
  <c r="N2058" i="1"/>
  <c r="M2058" i="1"/>
  <c r="O2057" i="1" a="1"/>
  <c r="O2057" i="1" s="1"/>
  <c r="N2057" i="1"/>
  <c r="M2057" i="1"/>
  <c r="O2056" i="1" a="1"/>
  <c r="O2056" i="1" s="1"/>
  <c r="N2056" i="1"/>
  <c r="M2056" i="1"/>
  <c r="O2055" i="1" a="1"/>
  <c r="O2055" i="1" s="1"/>
  <c r="N2055" i="1"/>
  <c r="M2055" i="1"/>
  <c r="O2054" i="1" a="1"/>
  <c r="O2054" i="1" s="1"/>
  <c r="N2054" i="1"/>
  <c r="M2054" i="1"/>
  <c r="O2053" i="1"/>
  <c r="O2053" i="1" a="1"/>
  <c r="N2053" i="1"/>
  <c r="M2053" i="1"/>
  <c r="O2052" i="1"/>
  <c r="O2052" i="1" a="1"/>
  <c r="N2052" i="1"/>
  <c r="M2052" i="1"/>
  <c r="O2051" i="1" a="1"/>
  <c r="O2051" i="1" s="1"/>
  <c r="N2051" i="1"/>
  <c r="M2051" i="1"/>
  <c r="O2050" i="1"/>
  <c r="O2050" i="1" a="1"/>
  <c r="N2050" i="1"/>
  <c r="M2050" i="1"/>
  <c r="O2049" i="1" a="1"/>
  <c r="O2049" i="1" s="1"/>
  <c r="N2049" i="1"/>
  <c r="M2049" i="1"/>
  <c r="O2048" i="1" a="1"/>
  <c r="O2048" i="1" s="1"/>
  <c r="N2048" i="1"/>
  <c r="M2048" i="1"/>
  <c r="O2047" i="1"/>
  <c r="O2047" i="1" a="1"/>
  <c r="N2047" i="1"/>
  <c r="M2047" i="1"/>
  <c r="O2046" i="1" a="1"/>
  <c r="O2046" i="1" s="1"/>
  <c r="N2046" i="1"/>
  <c r="M2046" i="1"/>
  <c r="O2045" i="1" a="1"/>
  <c r="O2045" i="1" s="1"/>
  <c r="N2045" i="1"/>
  <c r="M2045" i="1"/>
  <c r="O2044" i="1" a="1"/>
  <c r="O2044" i="1" s="1"/>
  <c r="N2044" i="1"/>
  <c r="M2044" i="1"/>
  <c r="O2043" i="1"/>
  <c r="O2043" i="1" a="1"/>
  <c r="N2043" i="1"/>
  <c r="M2043" i="1"/>
  <c r="O2042" i="1"/>
  <c r="O2042" i="1" a="1"/>
  <c r="N2042" i="1"/>
  <c r="M2042" i="1"/>
  <c r="O2041" i="1"/>
  <c r="O2041" i="1" a="1"/>
  <c r="N2041" i="1"/>
  <c r="M2041" i="1"/>
  <c r="O2040" i="1" a="1"/>
  <c r="O2040" i="1" s="1"/>
  <c r="N2040" i="1"/>
  <c r="M2040" i="1"/>
  <c r="O2039" i="1" a="1"/>
  <c r="O2039" i="1" s="1"/>
  <c r="N2039" i="1"/>
  <c r="M2039" i="1"/>
  <c r="O2038" i="1"/>
  <c r="O2038" i="1" a="1"/>
  <c r="N2038" i="1"/>
  <c r="M2038" i="1"/>
  <c r="O2037" i="1" a="1"/>
  <c r="O2037" i="1" s="1"/>
  <c r="N2037" i="1"/>
  <c r="M2037" i="1"/>
  <c r="O2036" i="1"/>
  <c r="O2036" i="1" a="1"/>
  <c r="N2036" i="1"/>
  <c r="M2036" i="1"/>
  <c r="O2035" i="1" a="1"/>
  <c r="O2035" i="1" s="1"/>
  <c r="N2035" i="1"/>
  <c r="M2035" i="1"/>
  <c r="O2034" i="1" a="1"/>
  <c r="O2034" i="1" s="1"/>
  <c r="N2034" i="1"/>
  <c r="M2034" i="1"/>
  <c r="O2033" i="1" a="1"/>
  <c r="O2033" i="1" s="1"/>
  <c r="N2033" i="1"/>
  <c r="M2033" i="1"/>
  <c r="O2032" i="1" a="1"/>
  <c r="O2032" i="1" s="1"/>
  <c r="N2032" i="1"/>
  <c r="M2032" i="1"/>
  <c r="O2031" i="1"/>
  <c r="O2031" i="1" a="1"/>
  <c r="N2031" i="1"/>
  <c r="M2031" i="1"/>
  <c r="O2030" i="1" a="1"/>
  <c r="O2030" i="1" s="1"/>
  <c r="N2030" i="1"/>
  <c r="M2030" i="1"/>
  <c r="O2029" i="1"/>
  <c r="O2029" i="1" a="1"/>
  <c r="N2029" i="1"/>
  <c r="M2029" i="1"/>
  <c r="O2028" i="1" a="1"/>
  <c r="O2028" i="1" s="1"/>
  <c r="N2028" i="1"/>
  <c r="M2028" i="1"/>
  <c r="O2027" i="1"/>
  <c r="O2027" i="1" a="1"/>
  <c r="N2027" i="1"/>
  <c r="M2027" i="1"/>
  <c r="O2026" i="1" a="1"/>
  <c r="O2026" i="1" s="1"/>
  <c r="N2026" i="1"/>
  <c r="M2026" i="1"/>
  <c r="O2025" i="1" a="1"/>
  <c r="O2025" i="1" s="1"/>
  <c r="N2025" i="1"/>
  <c r="M2025" i="1"/>
  <c r="O2024" i="1" a="1"/>
  <c r="O2024" i="1" s="1"/>
  <c r="N2024" i="1"/>
  <c r="M2024" i="1"/>
  <c r="O2023" i="1" a="1"/>
  <c r="O2023" i="1" s="1"/>
  <c r="N2023" i="1"/>
  <c r="M2023" i="1"/>
  <c r="O2022" i="1" a="1"/>
  <c r="O2022" i="1" s="1"/>
  <c r="N2022" i="1"/>
  <c r="M2022" i="1"/>
  <c r="O2021" i="1"/>
  <c r="O2021" i="1" a="1"/>
  <c r="N2021" i="1"/>
  <c r="M2021" i="1"/>
  <c r="O2020" i="1" a="1"/>
  <c r="O2020" i="1" s="1"/>
  <c r="N2020" i="1"/>
  <c r="M2020" i="1"/>
  <c r="O2019" i="1" a="1"/>
  <c r="O2019" i="1" s="1"/>
  <c r="N2019" i="1"/>
  <c r="M2019" i="1"/>
  <c r="O2018" i="1"/>
  <c r="O2018" i="1" a="1"/>
  <c r="N2018" i="1"/>
  <c r="M2018" i="1"/>
  <c r="O2017" i="1"/>
  <c r="O2017" i="1" a="1"/>
  <c r="N2017" i="1"/>
  <c r="M2017" i="1"/>
  <c r="O2016" i="1" a="1"/>
  <c r="O2016" i="1" s="1"/>
  <c r="N2016" i="1"/>
  <c r="M2016" i="1"/>
  <c r="O2015" i="1"/>
  <c r="O2015" i="1" a="1"/>
  <c r="N2015" i="1"/>
  <c r="M2015" i="1"/>
  <c r="O2014" i="1"/>
  <c r="O2014" i="1" a="1"/>
  <c r="N2014" i="1"/>
  <c r="M2014" i="1"/>
  <c r="O2013" i="1"/>
  <c r="O2013" i="1" a="1"/>
  <c r="N2013" i="1"/>
  <c r="M2013" i="1"/>
  <c r="O2012" i="1"/>
  <c r="O2012" i="1" a="1"/>
  <c r="N2012" i="1"/>
  <c r="M2012" i="1"/>
  <c r="O2011" i="1" a="1"/>
  <c r="O2011" i="1" s="1"/>
  <c r="N2011" i="1"/>
  <c r="M2011" i="1"/>
  <c r="O2010" i="1" a="1"/>
  <c r="O2010" i="1" s="1"/>
  <c r="N2010" i="1"/>
  <c r="M2010" i="1"/>
  <c r="O2009" i="1" a="1"/>
  <c r="O2009" i="1" s="1"/>
  <c r="N2009" i="1"/>
  <c r="M2009" i="1"/>
  <c r="O2008" i="1" a="1"/>
  <c r="O2008" i="1" s="1"/>
  <c r="N2008" i="1"/>
  <c r="M2008" i="1"/>
  <c r="O2007" i="1" a="1"/>
  <c r="O2007" i="1" s="1"/>
  <c r="N2007" i="1"/>
  <c r="M2007" i="1"/>
  <c r="O2006" i="1" a="1"/>
  <c r="O2006" i="1" s="1"/>
  <c r="N2006" i="1"/>
  <c r="M2006" i="1"/>
  <c r="O2005" i="1"/>
  <c r="O2005" i="1" a="1"/>
  <c r="N2005" i="1"/>
  <c r="M2005" i="1"/>
  <c r="O2004" i="1" a="1"/>
  <c r="O2004" i="1" s="1"/>
  <c r="N2004" i="1"/>
  <c r="M2004" i="1"/>
  <c r="O2003" i="1" a="1"/>
  <c r="O2003" i="1" s="1"/>
  <c r="N2003" i="1"/>
  <c r="M2003" i="1"/>
  <c r="O2002" i="1" a="1"/>
  <c r="O2002" i="1" s="1"/>
  <c r="N2002" i="1"/>
  <c r="M2002" i="1"/>
  <c r="O2001" i="1"/>
  <c r="O2001" i="1" a="1"/>
  <c r="N2001" i="1"/>
  <c r="M2001" i="1"/>
  <c r="O2000" i="1"/>
  <c r="O2000" i="1" a="1"/>
  <c r="N2000" i="1"/>
  <c r="M2000" i="1"/>
  <c r="O1999" i="1" a="1"/>
  <c r="O1999" i="1" s="1"/>
  <c r="N1999" i="1"/>
  <c r="M1999" i="1"/>
  <c r="O1998" i="1"/>
  <c r="O1998" i="1" a="1"/>
  <c r="N1998" i="1"/>
  <c r="M1998" i="1"/>
  <c r="O1997" i="1" a="1"/>
  <c r="O1997" i="1" s="1"/>
  <c r="N1997" i="1"/>
  <c r="M1997" i="1"/>
  <c r="O1996" i="1" a="1"/>
  <c r="O1996" i="1" s="1"/>
  <c r="N1996" i="1"/>
  <c r="M1996" i="1"/>
  <c r="O1995" i="1" a="1"/>
  <c r="O1995" i="1" s="1"/>
  <c r="N1995" i="1"/>
  <c r="M1995" i="1"/>
  <c r="O1994" i="1" a="1"/>
  <c r="O1994" i="1" s="1"/>
  <c r="N1994" i="1"/>
  <c r="M1994" i="1"/>
  <c r="O1993" i="1" a="1"/>
  <c r="O1993" i="1" s="1"/>
  <c r="N1993" i="1"/>
  <c r="M1993" i="1"/>
  <c r="O1992" i="1"/>
  <c r="O1992" i="1" a="1"/>
  <c r="N1992" i="1"/>
  <c r="M1992" i="1"/>
  <c r="O1991" i="1"/>
  <c r="O1991" i="1" a="1"/>
  <c r="N1991" i="1"/>
  <c r="M1991" i="1"/>
  <c r="O1990" i="1" a="1"/>
  <c r="O1990" i="1" s="1"/>
  <c r="N1990" i="1"/>
  <c r="M1990" i="1"/>
  <c r="O1989" i="1" a="1"/>
  <c r="O1989" i="1" s="1"/>
  <c r="N1989" i="1"/>
  <c r="M1989" i="1"/>
  <c r="O1988" i="1" a="1"/>
  <c r="O1988" i="1" s="1"/>
  <c r="N1988" i="1"/>
  <c r="M1988" i="1"/>
  <c r="O1987" i="1"/>
  <c r="O1987" i="1" a="1"/>
  <c r="N1987" i="1"/>
  <c r="M1987" i="1"/>
  <c r="O1986" i="1"/>
  <c r="O1986" i="1" a="1"/>
  <c r="N1986" i="1"/>
  <c r="M1986" i="1"/>
  <c r="O1985" i="1"/>
  <c r="O1985" i="1" a="1"/>
  <c r="N1985" i="1"/>
  <c r="M1985" i="1"/>
  <c r="O1984" i="1" a="1"/>
  <c r="O1984" i="1" s="1"/>
  <c r="N1984" i="1"/>
  <c r="M1984" i="1"/>
  <c r="O1983" i="1"/>
  <c r="O1983" i="1" a="1"/>
  <c r="N1983" i="1"/>
  <c r="M1983" i="1"/>
  <c r="O1982" i="1"/>
  <c r="O1982" i="1" a="1"/>
  <c r="N1982" i="1"/>
  <c r="M1982" i="1"/>
  <c r="O1981" i="1" a="1"/>
  <c r="O1981" i="1" s="1"/>
  <c r="N1981" i="1"/>
  <c r="M1981" i="1"/>
  <c r="O1980" i="1"/>
  <c r="O1980" i="1" a="1"/>
  <c r="N1980" i="1"/>
  <c r="M1980" i="1"/>
  <c r="O1979" i="1" a="1"/>
  <c r="O1979" i="1" s="1"/>
  <c r="N1979" i="1"/>
  <c r="M1979" i="1"/>
  <c r="O1978" i="1" a="1"/>
  <c r="O1978" i="1" s="1"/>
  <c r="N1978" i="1"/>
  <c r="M1978" i="1"/>
  <c r="O1977" i="1" a="1"/>
  <c r="O1977" i="1" s="1"/>
  <c r="N1977" i="1"/>
  <c r="M1977" i="1"/>
  <c r="O1976" i="1" a="1"/>
  <c r="O1976" i="1" s="1"/>
  <c r="N1976" i="1"/>
  <c r="M1976" i="1"/>
  <c r="O1975" i="1" a="1"/>
  <c r="O1975" i="1" s="1"/>
  <c r="N1975" i="1"/>
  <c r="M1975" i="1"/>
  <c r="O1974" i="1" a="1"/>
  <c r="O1974" i="1" s="1"/>
  <c r="N1974" i="1"/>
  <c r="M1974" i="1"/>
  <c r="O1973" i="1"/>
  <c r="O1973" i="1" a="1"/>
  <c r="N1973" i="1"/>
  <c r="M1973" i="1"/>
  <c r="O1972" i="1"/>
  <c r="O1972" i="1" a="1"/>
  <c r="N1972" i="1"/>
  <c r="M1972" i="1"/>
  <c r="O1971" i="1"/>
  <c r="O1971" i="1" a="1"/>
  <c r="N1971" i="1"/>
  <c r="M1971" i="1"/>
  <c r="O1970" i="1" a="1"/>
  <c r="O1970" i="1" s="1"/>
  <c r="N1970" i="1"/>
  <c r="M1970" i="1"/>
  <c r="O1969" i="1"/>
  <c r="O1969" i="1" a="1"/>
  <c r="N1969" i="1"/>
  <c r="M1969" i="1"/>
  <c r="O1968" i="1" a="1"/>
  <c r="O1968" i="1" s="1"/>
  <c r="N1968" i="1"/>
  <c r="M1968" i="1"/>
  <c r="O1967" i="1" a="1"/>
  <c r="O1967" i="1" s="1"/>
  <c r="N1967" i="1"/>
  <c r="M1967" i="1"/>
  <c r="O1966" i="1" a="1"/>
  <c r="O1966" i="1" s="1"/>
  <c r="N1966" i="1"/>
  <c r="M1966" i="1"/>
  <c r="O1965" i="1" a="1"/>
  <c r="O1965" i="1" s="1"/>
  <c r="N1965" i="1"/>
  <c r="M1965" i="1"/>
  <c r="O1964" i="1"/>
  <c r="O1964" i="1" a="1"/>
  <c r="N1964" i="1"/>
  <c r="M1964" i="1"/>
  <c r="O1963" i="1"/>
  <c r="O1963" i="1" a="1"/>
  <c r="N1963" i="1"/>
  <c r="M1963" i="1"/>
  <c r="O1962" i="1"/>
  <c r="O1962" i="1" a="1"/>
  <c r="N1962" i="1"/>
  <c r="M1962" i="1"/>
  <c r="O1961" i="1" a="1"/>
  <c r="O1961" i="1" s="1"/>
  <c r="N1961" i="1"/>
  <c r="M1961" i="1"/>
  <c r="O1960" i="1" a="1"/>
  <c r="O1960" i="1" s="1"/>
  <c r="N1960" i="1"/>
  <c r="M1960" i="1"/>
  <c r="O1959" i="1" a="1"/>
  <c r="O1959" i="1" s="1"/>
  <c r="N1959" i="1"/>
  <c r="M1959" i="1"/>
  <c r="O1958" i="1" a="1"/>
  <c r="O1958" i="1" s="1"/>
  <c r="N1958" i="1"/>
  <c r="M1958" i="1"/>
  <c r="O1957" i="1"/>
  <c r="O1957" i="1" a="1"/>
  <c r="N1957" i="1"/>
  <c r="M1957" i="1"/>
  <c r="O1956" i="1"/>
  <c r="O1956" i="1" a="1"/>
  <c r="N1956" i="1"/>
  <c r="M1956" i="1"/>
  <c r="O1955" i="1" a="1"/>
  <c r="O1955" i="1" s="1"/>
  <c r="N1955" i="1"/>
  <c r="M1955" i="1"/>
  <c r="O1954" i="1"/>
  <c r="O1954" i="1" a="1"/>
  <c r="N1954" i="1"/>
  <c r="M1954" i="1"/>
  <c r="O1953" i="1" a="1"/>
  <c r="O1953" i="1" s="1"/>
  <c r="N1953" i="1"/>
  <c r="M1953" i="1"/>
  <c r="O1952" i="1"/>
  <c r="O1952" i="1" a="1"/>
  <c r="N1952" i="1"/>
  <c r="M1952" i="1"/>
  <c r="O1951" i="1"/>
  <c r="O1951" i="1" a="1"/>
  <c r="N1951" i="1"/>
  <c r="M1951" i="1"/>
  <c r="O1950" i="1" a="1"/>
  <c r="O1950" i="1" s="1"/>
  <c r="N1950" i="1"/>
  <c r="M1950" i="1"/>
  <c r="O1949" i="1" a="1"/>
  <c r="O1949" i="1" s="1"/>
  <c r="N1949" i="1"/>
  <c r="M1949" i="1"/>
  <c r="O1948" i="1"/>
  <c r="O1948" i="1" a="1"/>
  <c r="N1948" i="1"/>
  <c r="M1948" i="1"/>
  <c r="O1947" i="1"/>
  <c r="O1947" i="1" a="1"/>
  <c r="N1947" i="1"/>
  <c r="M1947" i="1"/>
  <c r="O1946" i="1" a="1"/>
  <c r="O1946" i="1" s="1"/>
  <c r="N1946" i="1"/>
  <c r="M1946" i="1"/>
  <c r="O1945" i="1"/>
  <c r="O1945" i="1" a="1"/>
  <c r="N1945" i="1"/>
  <c r="M1945" i="1"/>
  <c r="O1944" i="1"/>
  <c r="O1944" i="1" a="1"/>
  <c r="N1944" i="1"/>
  <c r="M1944" i="1"/>
  <c r="O1943" i="1"/>
  <c r="O1943" i="1" a="1"/>
  <c r="N1943" i="1"/>
  <c r="M1943" i="1"/>
  <c r="O1942" i="1" a="1"/>
  <c r="O1942" i="1" s="1"/>
  <c r="N1942" i="1"/>
  <c r="M1942" i="1"/>
  <c r="O1941" i="1" a="1"/>
  <c r="O1941" i="1" s="1"/>
  <c r="N1941" i="1"/>
  <c r="M1941" i="1"/>
  <c r="O1940" i="1" a="1"/>
  <c r="O1940" i="1" s="1"/>
  <c r="N1940" i="1"/>
  <c r="M1940" i="1"/>
  <c r="O1939" i="1" a="1"/>
  <c r="O1939" i="1" s="1"/>
  <c r="N1939" i="1"/>
  <c r="M1939" i="1"/>
  <c r="O1938" i="1"/>
  <c r="O1938" i="1" a="1"/>
  <c r="N1938" i="1"/>
  <c r="M1938" i="1"/>
  <c r="O1937" i="1"/>
  <c r="O1937" i="1" a="1"/>
  <c r="N1937" i="1"/>
  <c r="M1937" i="1"/>
  <c r="O1936" i="1" a="1"/>
  <c r="O1936" i="1" s="1"/>
  <c r="N1936" i="1"/>
  <c r="M1936" i="1"/>
  <c r="O1935" i="1" a="1"/>
  <c r="O1935" i="1" s="1"/>
  <c r="N1935" i="1"/>
  <c r="M1935" i="1"/>
  <c r="O1934" i="1"/>
  <c r="O1934" i="1" a="1"/>
  <c r="N1934" i="1"/>
  <c r="M1934" i="1"/>
  <c r="O1933" i="1" a="1"/>
  <c r="O1933" i="1" s="1"/>
  <c r="N1933" i="1"/>
  <c r="M1933" i="1"/>
  <c r="O1932" i="1" a="1"/>
  <c r="O1932" i="1" s="1"/>
  <c r="N1932" i="1"/>
  <c r="M1932" i="1"/>
  <c r="O1931" i="1" a="1"/>
  <c r="O1931" i="1" s="1"/>
  <c r="N1931" i="1"/>
  <c r="M1931" i="1"/>
  <c r="O1930" i="1"/>
  <c r="O1930" i="1" a="1"/>
  <c r="N1930" i="1"/>
  <c r="M1930" i="1"/>
  <c r="O1929" i="1"/>
  <c r="O1929" i="1" a="1"/>
  <c r="N1929" i="1"/>
  <c r="M1929" i="1"/>
  <c r="O1928" i="1" a="1"/>
  <c r="O1928" i="1" s="1"/>
  <c r="N1928" i="1"/>
  <c r="M1928" i="1"/>
  <c r="O1927" i="1" a="1"/>
  <c r="O1927" i="1" s="1"/>
  <c r="N1927" i="1"/>
  <c r="M1927" i="1"/>
  <c r="O1926" i="1" a="1"/>
  <c r="O1926" i="1" s="1"/>
  <c r="N1926" i="1"/>
  <c r="M1926" i="1"/>
  <c r="O1925" i="1" a="1"/>
  <c r="O1925" i="1" s="1"/>
  <c r="N1925" i="1"/>
  <c r="M1925" i="1"/>
  <c r="O1924" i="1" a="1"/>
  <c r="O1924" i="1" s="1"/>
  <c r="N1924" i="1"/>
  <c r="M1924" i="1"/>
  <c r="O1923" i="1" a="1"/>
  <c r="O1923" i="1" s="1"/>
  <c r="N1923" i="1"/>
  <c r="M1923" i="1"/>
  <c r="O1922" i="1"/>
  <c r="O1922" i="1" a="1"/>
  <c r="N1922" i="1"/>
  <c r="M1922" i="1"/>
  <c r="O1921" i="1" a="1"/>
  <c r="O1921" i="1" s="1"/>
  <c r="N1921" i="1"/>
  <c r="M1921" i="1"/>
  <c r="O1920" i="1" a="1"/>
  <c r="O1920" i="1" s="1"/>
  <c r="N1920" i="1"/>
  <c r="M1920" i="1"/>
  <c r="O1919" i="1" a="1"/>
  <c r="O1919" i="1" s="1"/>
  <c r="N1919" i="1"/>
  <c r="M1919" i="1"/>
  <c r="O1918" i="1" a="1"/>
  <c r="O1918" i="1" s="1"/>
  <c r="N1918" i="1"/>
  <c r="M1918" i="1"/>
  <c r="O1917" i="1" a="1"/>
  <c r="O1917" i="1" s="1"/>
  <c r="N1917" i="1"/>
  <c r="M1917" i="1"/>
  <c r="O1916" i="1" a="1"/>
  <c r="O1916" i="1" s="1"/>
  <c r="N1916" i="1"/>
  <c r="M1916" i="1"/>
  <c r="O1915" i="1" a="1"/>
  <c r="O1915" i="1" s="1"/>
  <c r="N1915" i="1"/>
  <c r="M1915" i="1"/>
  <c r="O1914" i="1"/>
  <c r="O1914" i="1" a="1"/>
  <c r="N1914" i="1"/>
  <c r="M1914" i="1"/>
  <c r="O1913" i="1" a="1"/>
  <c r="O1913" i="1" s="1"/>
  <c r="N1913" i="1"/>
  <c r="M1913" i="1"/>
  <c r="O1912" i="1" a="1"/>
  <c r="O1912" i="1" s="1"/>
  <c r="N1912" i="1"/>
  <c r="M1912" i="1"/>
  <c r="O1911" i="1" a="1"/>
  <c r="O1911" i="1" s="1"/>
  <c r="N1911" i="1"/>
  <c r="M1911" i="1"/>
  <c r="O1910" i="1" a="1"/>
  <c r="O1910" i="1" s="1"/>
  <c r="N1910" i="1"/>
  <c r="M1910" i="1"/>
  <c r="O1909" i="1"/>
  <c r="O1909" i="1" a="1"/>
  <c r="N1909" i="1"/>
  <c r="M1909" i="1"/>
  <c r="O1908" i="1"/>
  <c r="O1908" i="1" a="1"/>
  <c r="N1908" i="1"/>
  <c r="M1908" i="1"/>
  <c r="O1907" i="1" a="1"/>
  <c r="O1907" i="1" s="1"/>
  <c r="N1907" i="1"/>
  <c r="M1907" i="1"/>
  <c r="O1906" i="1" a="1"/>
  <c r="O1906" i="1" s="1"/>
  <c r="N1906" i="1"/>
  <c r="M1906" i="1"/>
  <c r="O1905" i="1"/>
  <c r="O1905" i="1" a="1"/>
  <c r="N1905" i="1"/>
  <c r="M1905" i="1"/>
  <c r="O1904" i="1" a="1"/>
  <c r="O1904" i="1" s="1"/>
  <c r="N1904" i="1"/>
  <c r="M1904" i="1"/>
  <c r="O1903" i="1"/>
  <c r="O1903" i="1" a="1"/>
  <c r="N1903" i="1"/>
  <c r="M1903" i="1"/>
  <c r="O1902" i="1"/>
  <c r="O1902" i="1" a="1"/>
  <c r="N1902" i="1"/>
  <c r="M1902" i="1"/>
  <c r="O1901" i="1" a="1"/>
  <c r="O1901" i="1" s="1"/>
  <c r="N1901" i="1"/>
  <c r="M1901" i="1"/>
  <c r="O1900" i="1" a="1"/>
  <c r="O1900" i="1" s="1"/>
  <c r="N1900" i="1"/>
  <c r="M1900" i="1"/>
  <c r="O1899" i="1"/>
  <c r="O1899" i="1" a="1"/>
  <c r="N1899" i="1"/>
  <c r="M1899" i="1"/>
  <c r="O1898" i="1" a="1"/>
  <c r="O1898" i="1" s="1"/>
  <c r="N1898" i="1"/>
  <c r="M1898" i="1"/>
  <c r="O1897" i="1" a="1"/>
  <c r="O1897" i="1" s="1"/>
  <c r="N1897" i="1"/>
  <c r="M1897" i="1"/>
  <c r="O1896" i="1" a="1"/>
  <c r="O1896" i="1" s="1"/>
  <c r="N1896" i="1"/>
  <c r="M1896" i="1"/>
  <c r="O1895" i="1" a="1"/>
  <c r="O1895" i="1" s="1"/>
  <c r="N1895" i="1"/>
  <c r="M1895" i="1"/>
  <c r="O1894" i="1"/>
  <c r="O1894" i="1" a="1"/>
  <c r="N1894" i="1"/>
  <c r="M1894" i="1"/>
  <c r="O1893" i="1"/>
  <c r="O1893" i="1" a="1"/>
  <c r="N1893" i="1"/>
  <c r="M1893" i="1"/>
  <c r="O1892" i="1" a="1"/>
  <c r="O1892" i="1" s="1"/>
  <c r="N1892" i="1"/>
  <c r="M1892" i="1"/>
  <c r="O1891" i="1" a="1"/>
  <c r="O1891" i="1" s="1"/>
  <c r="N1891" i="1"/>
  <c r="M1891" i="1"/>
  <c r="O1890" i="1" a="1"/>
  <c r="O1890" i="1" s="1"/>
  <c r="N1890" i="1"/>
  <c r="M1890" i="1"/>
  <c r="O1889" i="1"/>
  <c r="O1889" i="1" a="1"/>
  <c r="N1889" i="1"/>
  <c r="M1889" i="1"/>
  <c r="O1888" i="1" a="1"/>
  <c r="O1888" i="1" s="1"/>
  <c r="N1888" i="1"/>
  <c r="M1888" i="1"/>
  <c r="O1887" i="1" a="1"/>
  <c r="O1887" i="1" s="1"/>
  <c r="N1887" i="1"/>
  <c r="M1887" i="1"/>
  <c r="O1886" i="1"/>
  <c r="O1886" i="1" a="1"/>
  <c r="N1886" i="1"/>
  <c r="M1886" i="1"/>
  <c r="O1885" i="1"/>
  <c r="O1885" i="1" a="1"/>
  <c r="N1885" i="1"/>
  <c r="M1885" i="1"/>
  <c r="O1884" i="1"/>
  <c r="O1884" i="1" a="1"/>
  <c r="N1884" i="1"/>
  <c r="M1884" i="1"/>
  <c r="O1883" i="1" a="1"/>
  <c r="O1883" i="1" s="1"/>
  <c r="N1883" i="1"/>
  <c r="M1883" i="1"/>
  <c r="O1882" i="1" a="1"/>
  <c r="O1882" i="1" s="1"/>
  <c r="N1882" i="1"/>
  <c r="M1882" i="1"/>
  <c r="O1881" i="1" a="1"/>
  <c r="O1881" i="1" s="1"/>
  <c r="N1881" i="1"/>
  <c r="M1881" i="1"/>
  <c r="O1880" i="1" a="1"/>
  <c r="O1880" i="1" s="1"/>
  <c r="N1880" i="1"/>
  <c r="M1880" i="1"/>
  <c r="O1879" i="1" a="1"/>
  <c r="O1879" i="1" s="1"/>
  <c r="N1879" i="1"/>
  <c r="M1879" i="1"/>
  <c r="O1878" i="1" a="1"/>
  <c r="O1878" i="1" s="1"/>
  <c r="N1878" i="1"/>
  <c r="M1878" i="1"/>
  <c r="O1877" i="1"/>
  <c r="O1877" i="1" a="1"/>
  <c r="N1877" i="1"/>
  <c r="M1877" i="1"/>
  <c r="O1876" i="1" a="1"/>
  <c r="O1876" i="1" s="1"/>
  <c r="N1876" i="1"/>
  <c r="M1876" i="1"/>
  <c r="O1875" i="1" a="1"/>
  <c r="O1875" i="1" s="1"/>
  <c r="N1875" i="1"/>
  <c r="M1875" i="1"/>
  <c r="O1874" i="1"/>
  <c r="O1874" i="1" a="1"/>
  <c r="N1874" i="1"/>
  <c r="M1874" i="1"/>
  <c r="O1873" i="1"/>
  <c r="O1873" i="1" a="1"/>
  <c r="N1873" i="1"/>
  <c r="M1873" i="1"/>
  <c r="O1872" i="1" a="1"/>
  <c r="O1872" i="1" s="1"/>
  <c r="N1872" i="1"/>
  <c r="M1872" i="1"/>
  <c r="O1871" i="1" a="1"/>
  <c r="O1871" i="1" s="1"/>
  <c r="N1871" i="1"/>
  <c r="M1871" i="1"/>
  <c r="O1870" i="1" a="1"/>
  <c r="O1870" i="1" s="1"/>
  <c r="N1870" i="1"/>
  <c r="M1870" i="1"/>
  <c r="O1869" i="1" a="1"/>
  <c r="O1869" i="1" s="1"/>
  <c r="N1869" i="1"/>
  <c r="M1869" i="1"/>
  <c r="O1868" i="1"/>
  <c r="O1868" i="1" a="1"/>
  <c r="N1868" i="1"/>
  <c r="M1868" i="1"/>
  <c r="O1867" i="1" a="1"/>
  <c r="O1867" i="1" s="1"/>
  <c r="N1867" i="1"/>
  <c r="M1867" i="1"/>
  <c r="O1866" i="1" a="1"/>
  <c r="O1866" i="1" s="1"/>
  <c r="N1866" i="1"/>
  <c r="M1866" i="1"/>
  <c r="O1865" i="1" a="1"/>
  <c r="O1865" i="1" s="1"/>
  <c r="N1865" i="1"/>
  <c r="M1865" i="1"/>
  <c r="O1864" i="1"/>
  <c r="O1864" i="1" a="1"/>
  <c r="N1864" i="1"/>
  <c r="M1864" i="1"/>
  <c r="O1863" i="1" a="1"/>
  <c r="O1863" i="1" s="1"/>
  <c r="N1863" i="1"/>
  <c r="M1863" i="1"/>
  <c r="O1862" i="1" a="1"/>
  <c r="O1862" i="1" s="1"/>
  <c r="N1862" i="1"/>
  <c r="M1862" i="1"/>
  <c r="O1861" i="1" a="1"/>
  <c r="O1861" i="1" s="1"/>
  <c r="N1861" i="1"/>
  <c r="M1861" i="1"/>
  <c r="O1860" i="1"/>
  <c r="O1860" i="1" a="1"/>
  <c r="N1860" i="1"/>
  <c r="M1860" i="1"/>
  <c r="O1859" i="1" a="1"/>
  <c r="O1859" i="1" s="1"/>
  <c r="N1859" i="1"/>
  <c r="M1859" i="1"/>
  <c r="O1858" i="1" a="1"/>
  <c r="O1858" i="1" s="1"/>
  <c r="N1858" i="1"/>
  <c r="M1858" i="1"/>
  <c r="O1857" i="1" a="1"/>
  <c r="O1857" i="1" s="1"/>
  <c r="N1857" i="1"/>
  <c r="M1857" i="1"/>
  <c r="O1856" i="1"/>
  <c r="O1856" i="1" a="1"/>
  <c r="N1856" i="1"/>
  <c r="M1856" i="1"/>
  <c r="O1855" i="1" a="1"/>
  <c r="O1855" i="1" s="1"/>
  <c r="N1855" i="1"/>
  <c r="M1855" i="1"/>
  <c r="O1854" i="1"/>
  <c r="O1854" i="1" a="1"/>
  <c r="N1854" i="1"/>
  <c r="M1854" i="1"/>
  <c r="O1853" i="1" a="1"/>
  <c r="O1853" i="1" s="1"/>
  <c r="N1853" i="1"/>
  <c r="M1853" i="1"/>
  <c r="O1852" i="1" a="1"/>
  <c r="O1852" i="1" s="1"/>
  <c r="N1852" i="1"/>
  <c r="M1852" i="1"/>
  <c r="O1851" i="1"/>
  <c r="O1851" i="1" a="1"/>
  <c r="N1851" i="1"/>
  <c r="M1851" i="1"/>
  <c r="O1850" i="1" a="1"/>
  <c r="O1850" i="1" s="1"/>
  <c r="N1850" i="1"/>
  <c r="M1850" i="1"/>
  <c r="O1849" i="1" a="1"/>
  <c r="O1849" i="1" s="1"/>
  <c r="N1849" i="1"/>
  <c r="M1849" i="1"/>
  <c r="O1848" i="1" a="1"/>
  <c r="O1848" i="1" s="1"/>
  <c r="N1848" i="1"/>
  <c r="M1848" i="1"/>
  <c r="O1847" i="1" a="1"/>
  <c r="O1847" i="1" s="1"/>
  <c r="N1847" i="1"/>
  <c r="M1847" i="1"/>
  <c r="O1846" i="1"/>
  <c r="O1846" i="1" a="1"/>
  <c r="N1846" i="1"/>
  <c r="M1846" i="1"/>
  <c r="O1845" i="1"/>
  <c r="O1845" i="1" a="1"/>
  <c r="N1845" i="1"/>
  <c r="M1845" i="1"/>
  <c r="O1844" i="1" a="1"/>
  <c r="O1844" i="1" s="1"/>
  <c r="N1844" i="1"/>
  <c r="M1844" i="1"/>
  <c r="O1843" i="1" a="1"/>
  <c r="O1843" i="1" s="1"/>
  <c r="N1843" i="1"/>
  <c r="M1843" i="1"/>
  <c r="O1842" i="1"/>
  <c r="O1842" i="1" a="1"/>
  <c r="N1842" i="1"/>
  <c r="M1842" i="1"/>
  <c r="O1841" i="1" a="1"/>
  <c r="O1841" i="1" s="1"/>
  <c r="N1841" i="1"/>
  <c r="M1841" i="1"/>
  <c r="O1840" i="1" a="1"/>
  <c r="O1840" i="1" s="1"/>
  <c r="N1840" i="1"/>
  <c r="M1840" i="1"/>
  <c r="O1839" i="1" a="1"/>
  <c r="O1839" i="1" s="1"/>
  <c r="N1839" i="1"/>
  <c r="M1839" i="1"/>
  <c r="O1838" i="1" a="1"/>
  <c r="O1838" i="1" s="1"/>
  <c r="N1838" i="1"/>
  <c r="M1838" i="1"/>
  <c r="O1837" i="1" a="1"/>
  <c r="O1837" i="1" s="1"/>
  <c r="N1837" i="1"/>
  <c r="M1837" i="1"/>
  <c r="O1836" i="1"/>
  <c r="O1836" i="1" a="1"/>
  <c r="N1836" i="1"/>
  <c r="M1836" i="1"/>
  <c r="O1835" i="1"/>
  <c r="O1835" i="1" a="1"/>
  <c r="N1835" i="1"/>
  <c r="M1835" i="1"/>
  <c r="O1834" i="1" a="1"/>
  <c r="O1834" i="1" s="1"/>
  <c r="N1834" i="1"/>
  <c r="M1834" i="1"/>
  <c r="O1833" i="1"/>
  <c r="O1833" i="1" a="1"/>
  <c r="N1833" i="1"/>
  <c r="M1833" i="1"/>
  <c r="O1832" i="1" a="1"/>
  <c r="O1832" i="1" s="1"/>
  <c r="N1832" i="1"/>
  <c r="M1832" i="1"/>
  <c r="O1831" i="1" a="1"/>
  <c r="O1831" i="1" s="1"/>
  <c r="N1831" i="1"/>
  <c r="M1831" i="1"/>
  <c r="O1830" i="1" a="1"/>
  <c r="O1830" i="1" s="1"/>
  <c r="N1830" i="1"/>
  <c r="M1830" i="1"/>
  <c r="O1829" i="1" a="1"/>
  <c r="O1829" i="1" s="1"/>
  <c r="N1829" i="1"/>
  <c r="M1829" i="1"/>
  <c r="O1828" i="1" a="1"/>
  <c r="O1828" i="1" s="1"/>
  <c r="N1828" i="1"/>
  <c r="M1828" i="1"/>
  <c r="O1827" i="1" a="1"/>
  <c r="O1827" i="1" s="1"/>
  <c r="N1827" i="1"/>
  <c r="M1827" i="1"/>
  <c r="O1826" i="1" a="1"/>
  <c r="O1826" i="1" s="1"/>
  <c r="N1826" i="1"/>
  <c r="M1826" i="1"/>
  <c r="O1825" i="1"/>
  <c r="O1825" i="1" a="1"/>
  <c r="N1825" i="1"/>
  <c r="M1825" i="1"/>
  <c r="O1824" i="1" a="1"/>
  <c r="O1824" i="1" s="1"/>
  <c r="N1824" i="1"/>
  <c r="M1824" i="1"/>
  <c r="O1823" i="1" a="1"/>
  <c r="O1823" i="1" s="1"/>
  <c r="N1823" i="1"/>
  <c r="M1823" i="1"/>
  <c r="O1822" i="1" a="1"/>
  <c r="O1822" i="1" s="1"/>
  <c r="N1822" i="1"/>
  <c r="M1822" i="1"/>
  <c r="O1821" i="1"/>
  <c r="O1821" i="1" a="1"/>
  <c r="N1821" i="1"/>
  <c r="M1821" i="1"/>
  <c r="O1820" i="1" a="1"/>
  <c r="O1820" i="1" s="1"/>
  <c r="N1820" i="1"/>
  <c r="M1820" i="1"/>
  <c r="O1819" i="1" a="1"/>
  <c r="O1819" i="1" s="1"/>
  <c r="N1819" i="1"/>
  <c r="M1819" i="1"/>
  <c r="O1818" i="1"/>
  <c r="O1818" i="1" a="1"/>
  <c r="N1818" i="1"/>
  <c r="M1818" i="1"/>
  <c r="O1817" i="1"/>
  <c r="O1817" i="1" a="1"/>
  <c r="N1817" i="1"/>
  <c r="M1817" i="1"/>
  <c r="O1816" i="1"/>
  <c r="O1816" i="1" a="1"/>
  <c r="N1816" i="1"/>
  <c r="M1816" i="1"/>
  <c r="O1815" i="1"/>
  <c r="O1815" i="1" a="1"/>
  <c r="N1815" i="1"/>
  <c r="M1815" i="1"/>
  <c r="O1814" i="1" a="1"/>
  <c r="O1814" i="1" s="1"/>
  <c r="N1814" i="1"/>
  <c r="M1814" i="1"/>
  <c r="O1813" i="1" a="1"/>
  <c r="O1813" i="1" s="1"/>
  <c r="N1813" i="1"/>
  <c r="M1813" i="1"/>
  <c r="O1812" i="1" a="1"/>
  <c r="O1812" i="1" s="1"/>
  <c r="N1812" i="1"/>
  <c r="M1812" i="1"/>
  <c r="O1811" i="1" a="1"/>
  <c r="O1811" i="1" s="1"/>
  <c r="N1811" i="1"/>
  <c r="M1811" i="1"/>
  <c r="O1810" i="1" a="1"/>
  <c r="O1810" i="1" s="1"/>
  <c r="N1810" i="1"/>
  <c r="M1810" i="1"/>
  <c r="O1809" i="1"/>
  <c r="O1809" i="1" a="1"/>
  <c r="N1809" i="1"/>
  <c r="M1809" i="1"/>
  <c r="O1808" i="1" a="1"/>
  <c r="O1808" i="1" s="1"/>
  <c r="N1808" i="1"/>
  <c r="M1808" i="1"/>
  <c r="O1807" i="1" a="1"/>
  <c r="O1807" i="1" s="1"/>
  <c r="N1807" i="1"/>
  <c r="M1807" i="1"/>
  <c r="O1806" i="1"/>
  <c r="O1806" i="1" a="1"/>
  <c r="N1806" i="1"/>
  <c r="M1806" i="1"/>
  <c r="O1805" i="1" a="1"/>
  <c r="O1805" i="1" s="1"/>
  <c r="N1805" i="1"/>
  <c r="M1805" i="1"/>
  <c r="O1804" i="1"/>
  <c r="O1804" i="1" a="1"/>
  <c r="N1804" i="1"/>
  <c r="M1804" i="1"/>
  <c r="O1803" i="1"/>
  <c r="O1803" i="1" a="1"/>
  <c r="N1803" i="1"/>
  <c r="M1803" i="1"/>
  <c r="O1802" i="1" a="1"/>
  <c r="O1802" i="1" s="1"/>
  <c r="N1802" i="1"/>
  <c r="M1802" i="1"/>
  <c r="O1801" i="1"/>
  <c r="O1801" i="1" a="1"/>
  <c r="N1801" i="1"/>
  <c r="M1801" i="1"/>
  <c r="O1800" i="1" a="1"/>
  <c r="O1800" i="1" s="1"/>
  <c r="N1800" i="1"/>
  <c r="M1800" i="1"/>
  <c r="O1799" i="1"/>
  <c r="O1799" i="1" a="1"/>
  <c r="N1799" i="1"/>
  <c r="M1799" i="1"/>
  <c r="O1798" i="1" a="1"/>
  <c r="O1798" i="1" s="1"/>
  <c r="N1798" i="1"/>
  <c r="M1798" i="1"/>
  <c r="O1797" i="1"/>
  <c r="O1797" i="1" a="1"/>
  <c r="N1797" i="1"/>
  <c r="M1797" i="1"/>
  <c r="O1796" i="1"/>
  <c r="O1796" i="1" a="1"/>
  <c r="N1796" i="1"/>
  <c r="M1796" i="1"/>
  <c r="O1795" i="1"/>
  <c r="O1795" i="1" a="1"/>
  <c r="N1795" i="1"/>
  <c r="M1795" i="1"/>
  <c r="O1794" i="1" a="1"/>
  <c r="O1794" i="1" s="1"/>
  <c r="N1794" i="1"/>
  <c r="M1794" i="1"/>
  <c r="O1793" i="1"/>
  <c r="O1793" i="1" a="1"/>
  <c r="N1793" i="1"/>
  <c r="M1793" i="1"/>
  <c r="O1792" i="1"/>
  <c r="O1792" i="1" a="1"/>
  <c r="N1792" i="1"/>
  <c r="M1792" i="1"/>
  <c r="O1791" i="1" a="1"/>
  <c r="O1791" i="1" s="1"/>
  <c r="N1791" i="1"/>
  <c r="M1791" i="1"/>
  <c r="O1790" i="1" a="1"/>
  <c r="O1790" i="1" s="1"/>
  <c r="N1790" i="1"/>
  <c r="M1790" i="1"/>
  <c r="O1789" i="1"/>
  <c r="O1789" i="1" a="1"/>
  <c r="N1789" i="1"/>
  <c r="M1789" i="1"/>
  <c r="O1788" i="1" a="1"/>
  <c r="O1788" i="1" s="1"/>
  <c r="N1788" i="1"/>
  <c r="M1788" i="1"/>
  <c r="O1787" i="1" a="1"/>
  <c r="O1787" i="1" s="1"/>
  <c r="N1787" i="1"/>
  <c r="M1787" i="1"/>
  <c r="O1786" i="1" a="1"/>
  <c r="O1786" i="1" s="1"/>
  <c r="N1786" i="1"/>
  <c r="M1786" i="1"/>
  <c r="O1785" i="1"/>
  <c r="O1785" i="1" a="1"/>
  <c r="N1785" i="1"/>
  <c r="M1785" i="1"/>
  <c r="O1784" i="1" a="1"/>
  <c r="O1784" i="1" s="1"/>
  <c r="N1784" i="1"/>
  <c r="M1784" i="1"/>
  <c r="O1783" i="1"/>
  <c r="O1783" i="1" a="1"/>
  <c r="N1783" i="1"/>
  <c r="M1783" i="1"/>
  <c r="O1782" i="1" a="1"/>
  <c r="O1782" i="1" s="1"/>
  <c r="N1782" i="1"/>
  <c r="M1782" i="1"/>
  <c r="O1781" i="1" a="1"/>
  <c r="O1781" i="1" s="1"/>
  <c r="N1781" i="1"/>
  <c r="M1781" i="1"/>
  <c r="O1780" i="1" a="1"/>
  <c r="O1780" i="1" s="1"/>
  <c r="N1780" i="1"/>
  <c r="M1780" i="1"/>
  <c r="O1779" i="1" a="1"/>
  <c r="O1779" i="1" s="1"/>
  <c r="N1779" i="1"/>
  <c r="M1779" i="1"/>
  <c r="O1778" i="1"/>
  <c r="O1778" i="1" a="1"/>
  <c r="N1778" i="1"/>
  <c r="M1778" i="1"/>
  <c r="O1777" i="1" a="1"/>
  <c r="O1777" i="1" s="1"/>
  <c r="N1777" i="1"/>
  <c r="M1777" i="1"/>
  <c r="O1776" i="1" a="1"/>
  <c r="O1776" i="1" s="1"/>
  <c r="N1776" i="1"/>
  <c r="M1776" i="1"/>
  <c r="O1775" i="1" a="1"/>
  <c r="O1775" i="1" s="1"/>
  <c r="N1775" i="1"/>
  <c r="M1775" i="1"/>
  <c r="O1774" i="1"/>
  <c r="O1774" i="1" a="1"/>
  <c r="N1774" i="1"/>
  <c r="M1774" i="1"/>
  <c r="O1773" i="1" a="1"/>
  <c r="O1773" i="1" s="1"/>
  <c r="N1773" i="1"/>
  <c r="M1773" i="1"/>
  <c r="O1772" i="1" a="1"/>
  <c r="O1772" i="1" s="1"/>
  <c r="N1772" i="1"/>
  <c r="M1772" i="1"/>
  <c r="O1771" i="1"/>
  <c r="O1771" i="1" a="1"/>
  <c r="N1771" i="1"/>
  <c r="M1771" i="1"/>
  <c r="O1770" i="1" a="1"/>
  <c r="O1770" i="1" s="1"/>
  <c r="N1770" i="1"/>
  <c r="M1770" i="1"/>
  <c r="O1769" i="1" a="1"/>
  <c r="O1769" i="1" s="1"/>
  <c r="N1769" i="1"/>
  <c r="M1769" i="1"/>
  <c r="O1768" i="1"/>
  <c r="O1768" i="1" a="1"/>
  <c r="N1768" i="1"/>
  <c r="M1768" i="1"/>
  <c r="O1767" i="1"/>
  <c r="O1767" i="1" a="1"/>
  <c r="N1767" i="1"/>
  <c r="M1767" i="1"/>
  <c r="O1766" i="1" a="1"/>
  <c r="O1766" i="1" s="1"/>
  <c r="N1766" i="1"/>
  <c r="M1766" i="1"/>
  <c r="O1765" i="1"/>
  <c r="O1765" i="1" a="1"/>
  <c r="N1765" i="1"/>
  <c r="M1765" i="1"/>
  <c r="O1764" i="1"/>
  <c r="O1764" i="1" a="1"/>
  <c r="N1764" i="1"/>
  <c r="M1764" i="1"/>
  <c r="O1763" i="1" a="1"/>
  <c r="O1763" i="1" s="1"/>
  <c r="N1763" i="1"/>
  <c r="M1763" i="1"/>
  <c r="O1762" i="1" a="1"/>
  <c r="O1762" i="1" s="1"/>
  <c r="N1762" i="1"/>
  <c r="M1762" i="1"/>
  <c r="O1761" i="1" a="1"/>
  <c r="O1761" i="1" s="1"/>
  <c r="N1761" i="1"/>
  <c r="M1761" i="1"/>
  <c r="O1760" i="1"/>
  <c r="O1760" i="1" a="1"/>
  <c r="N1760" i="1"/>
  <c r="M1760" i="1"/>
  <c r="O1759" i="1" a="1"/>
  <c r="O1759" i="1" s="1"/>
  <c r="N1759" i="1"/>
  <c r="M1759" i="1"/>
  <c r="O1758" i="1" a="1"/>
  <c r="O1758" i="1" s="1"/>
  <c r="N1758" i="1"/>
  <c r="M1758" i="1"/>
  <c r="O1757" i="1"/>
  <c r="O1757" i="1" a="1"/>
  <c r="N1757" i="1"/>
  <c r="M1757" i="1"/>
  <c r="O1756" i="1" a="1"/>
  <c r="O1756" i="1" s="1"/>
  <c r="N1756" i="1"/>
  <c r="M1756" i="1"/>
  <c r="O1755" i="1"/>
  <c r="O1755" i="1" a="1"/>
  <c r="N1755" i="1"/>
  <c r="M1755" i="1"/>
  <c r="O1754" i="1"/>
  <c r="O1754" i="1" a="1"/>
  <c r="N1754" i="1"/>
  <c r="M1754" i="1"/>
  <c r="O1753" i="1" a="1"/>
  <c r="O1753" i="1" s="1"/>
  <c r="N1753" i="1"/>
  <c r="M1753" i="1"/>
  <c r="O1752" i="1" a="1"/>
  <c r="O1752" i="1" s="1"/>
  <c r="N1752" i="1"/>
  <c r="M1752" i="1"/>
  <c r="O1751" i="1"/>
  <c r="O1751" i="1" a="1"/>
  <c r="N1751" i="1"/>
  <c r="M1751" i="1"/>
  <c r="O1750" i="1"/>
  <c r="O1750" i="1" a="1"/>
  <c r="N1750" i="1"/>
  <c r="M1750" i="1"/>
  <c r="O1749" i="1" a="1"/>
  <c r="O1749" i="1" s="1"/>
  <c r="N1749" i="1"/>
  <c r="M1749" i="1"/>
  <c r="O1748" i="1" a="1"/>
  <c r="O1748" i="1" s="1"/>
  <c r="N1748" i="1"/>
  <c r="M1748" i="1"/>
  <c r="O1747" i="1"/>
  <c r="O1747" i="1" a="1"/>
  <c r="N1747" i="1"/>
  <c r="M1747" i="1"/>
  <c r="O1746" i="1"/>
  <c r="O1746" i="1" a="1"/>
  <c r="N1746" i="1"/>
  <c r="M1746" i="1"/>
  <c r="O1745" i="1"/>
  <c r="O1745" i="1" a="1"/>
  <c r="N1745" i="1"/>
  <c r="M1745" i="1"/>
  <c r="O1744" i="1"/>
  <c r="O1744" i="1" a="1"/>
  <c r="N1744" i="1"/>
  <c r="M1744" i="1"/>
  <c r="O1743" i="1"/>
  <c r="O1743" i="1" a="1"/>
  <c r="N1743" i="1"/>
  <c r="M1743" i="1"/>
  <c r="O1742" i="1" a="1"/>
  <c r="O1742" i="1" s="1"/>
  <c r="N1742" i="1"/>
  <c r="M1742" i="1"/>
  <c r="O1741" i="1" a="1"/>
  <c r="O1741" i="1" s="1"/>
  <c r="N1741" i="1"/>
  <c r="M1741" i="1"/>
  <c r="O1740" i="1" a="1"/>
  <c r="O1740" i="1" s="1"/>
  <c r="N1740" i="1"/>
  <c r="M1740" i="1"/>
  <c r="O1739" i="1"/>
  <c r="O1739" i="1" a="1"/>
  <c r="N1739" i="1"/>
  <c r="M1739" i="1"/>
  <c r="O1738" i="1" a="1"/>
  <c r="O1738" i="1" s="1"/>
  <c r="N1738" i="1"/>
  <c r="M1738" i="1"/>
  <c r="O1737" i="1" a="1"/>
  <c r="O1737" i="1" s="1"/>
  <c r="N1737" i="1"/>
  <c r="M1737" i="1"/>
  <c r="O1736" i="1"/>
  <c r="O1736" i="1" a="1"/>
  <c r="N1736" i="1"/>
  <c r="M1736" i="1"/>
  <c r="O1735" i="1" a="1"/>
  <c r="O1735" i="1" s="1"/>
  <c r="N1735" i="1"/>
  <c r="M1735" i="1"/>
  <c r="O1734" i="1" a="1"/>
  <c r="O1734" i="1" s="1"/>
  <c r="N1734" i="1"/>
  <c r="M1734" i="1"/>
  <c r="O1733" i="1" a="1"/>
  <c r="O1733" i="1" s="1"/>
  <c r="N1733" i="1"/>
  <c r="M1733" i="1"/>
  <c r="O1732" i="1" a="1"/>
  <c r="O1732" i="1" s="1"/>
  <c r="N1732" i="1"/>
  <c r="M1732" i="1"/>
  <c r="O1731" i="1"/>
  <c r="O1731" i="1" a="1"/>
  <c r="N1731" i="1"/>
  <c r="M1731" i="1"/>
  <c r="O1730" i="1" a="1"/>
  <c r="O1730" i="1" s="1"/>
  <c r="N1730" i="1"/>
  <c r="M1730" i="1"/>
  <c r="O1729" i="1"/>
  <c r="O1729" i="1" a="1"/>
  <c r="N1729" i="1"/>
  <c r="M1729" i="1"/>
  <c r="O1728" i="1" a="1"/>
  <c r="O1728" i="1" s="1"/>
  <c r="N1728" i="1"/>
  <c r="M1728" i="1"/>
  <c r="O1727" i="1" a="1"/>
  <c r="O1727" i="1" s="1"/>
  <c r="N1727" i="1"/>
  <c r="M1727" i="1"/>
  <c r="O1726" i="1"/>
  <c r="O1726" i="1" a="1"/>
  <c r="N1726" i="1"/>
  <c r="M1726" i="1"/>
  <c r="O1725" i="1"/>
  <c r="O1725" i="1" a="1"/>
  <c r="N1725" i="1"/>
  <c r="M1725" i="1"/>
  <c r="O1724" i="1" a="1"/>
  <c r="O1724" i="1" s="1"/>
  <c r="N1724" i="1"/>
  <c r="M1724" i="1"/>
  <c r="O1723" i="1" a="1"/>
  <c r="O1723" i="1" s="1"/>
  <c r="N1723" i="1"/>
  <c r="M1723" i="1"/>
  <c r="O1722" i="1"/>
  <c r="O1722" i="1" a="1"/>
  <c r="N1722" i="1"/>
  <c r="M1722" i="1"/>
  <c r="O1721" i="1" a="1"/>
  <c r="O1721" i="1" s="1"/>
  <c r="N1721" i="1"/>
  <c r="M1721" i="1"/>
  <c r="O1720" i="1" a="1"/>
  <c r="O1720" i="1" s="1"/>
  <c r="N1720" i="1"/>
  <c r="M1720" i="1"/>
  <c r="O1719" i="1" a="1"/>
  <c r="O1719" i="1" s="1"/>
  <c r="N1719" i="1"/>
  <c r="M1719" i="1"/>
  <c r="O1718" i="1"/>
  <c r="O1718" i="1" a="1"/>
  <c r="N1718" i="1"/>
  <c r="M1718" i="1"/>
  <c r="O1717" i="1"/>
  <c r="O1717" i="1" a="1"/>
  <c r="N1717" i="1"/>
  <c r="M1717" i="1"/>
  <c r="O1716" i="1"/>
  <c r="O1716" i="1" a="1"/>
  <c r="N1716" i="1"/>
  <c r="M1716" i="1"/>
  <c r="O1715" i="1"/>
  <c r="O1715" i="1" a="1"/>
  <c r="N1715" i="1"/>
  <c r="M1715" i="1"/>
  <c r="O1714" i="1" a="1"/>
  <c r="O1714" i="1" s="1"/>
  <c r="N1714" i="1"/>
  <c r="M1714" i="1"/>
  <c r="O1713" i="1"/>
  <c r="O1713" i="1" a="1"/>
  <c r="N1713" i="1"/>
  <c r="M1713" i="1"/>
  <c r="O1712" i="1" a="1"/>
  <c r="O1712" i="1" s="1"/>
  <c r="N1712" i="1"/>
  <c r="M1712" i="1"/>
  <c r="O1711" i="1" a="1"/>
  <c r="O1711" i="1" s="1"/>
  <c r="N1711" i="1"/>
  <c r="M1711" i="1"/>
  <c r="O1710" i="1" a="1"/>
  <c r="O1710" i="1" s="1"/>
  <c r="N1710" i="1"/>
  <c r="M1710" i="1"/>
  <c r="O1709" i="1"/>
  <c r="O1709" i="1" a="1"/>
  <c r="N1709" i="1"/>
  <c r="M1709" i="1"/>
  <c r="O1708" i="1"/>
  <c r="O1708" i="1" a="1"/>
  <c r="N1708" i="1"/>
  <c r="M1708" i="1"/>
  <c r="O1707" i="1" a="1"/>
  <c r="O1707" i="1" s="1"/>
  <c r="N1707" i="1"/>
  <c r="M1707" i="1"/>
  <c r="O1706" i="1"/>
  <c r="O1706" i="1" a="1"/>
  <c r="N1706" i="1"/>
  <c r="M1706" i="1"/>
  <c r="O1705" i="1" a="1"/>
  <c r="O1705" i="1" s="1"/>
  <c r="N1705" i="1"/>
  <c r="M1705" i="1"/>
  <c r="O1704" i="1" a="1"/>
  <c r="O1704" i="1" s="1"/>
  <c r="N1704" i="1"/>
  <c r="M1704" i="1"/>
  <c r="O1703" i="1" a="1"/>
  <c r="O1703" i="1" s="1"/>
  <c r="N1703" i="1"/>
  <c r="M1703" i="1"/>
  <c r="O1702" i="1" a="1"/>
  <c r="O1702" i="1" s="1"/>
  <c r="N1702" i="1"/>
  <c r="M1702" i="1"/>
  <c r="O1701" i="1"/>
  <c r="O1701" i="1" a="1"/>
  <c r="N1701" i="1"/>
  <c r="M1701" i="1"/>
  <c r="O1700" i="1" a="1"/>
  <c r="O1700" i="1" s="1"/>
  <c r="N1700" i="1"/>
  <c r="M1700" i="1"/>
  <c r="O1699" i="1" a="1"/>
  <c r="O1699" i="1" s="1"/>
  <c r="N1699" i="1"/>
  <c r="M1699" i="1"/>
  <c r="O1698" i="1" a="1"/>
  <c r="O1698" i="1" s="1"/>
  <c r="N1698" i="1"/>
  <c r="M1698" i="1"/>
  <c r="O1697" i="1"/>
  <c r="O1697" i="1" a="1"/>
  <c r="N1697" i="1"/>
  <c r="M1697" i="1"/>
  <c r="O1696" i="1"/>
  <c r="O1696" i="1" a="1"/>
  <c r="N1696" i="1"/>
  <c r="M1696" i="1"/>
  <c r="O1695" i="1" a="1"/>
  <c r="O1695" i="1" s="1"/>
  <c r="N1695" i="1"/>
  <c r="M1695" i="1"/>
  <c r="O1694" i="1"/>
  <c r="O1694" i="1" a="1"/>
  <c r="N1694" i="1"/>
  <c r="M1694" i="1"/>
  <c r="O1693" i="1" a="1"/>
  <c r="O1693" i="1" s="1"/>
  <c r="N1693" i="1"/>
  <c r="M1693" i="1"/>
  <c r="O1692" i="1"/>
  <c r="O1692" i="1" a="1"/>
  <c r="N1692" i="1"/>
  <c r="M1692" i="1"/>
  <c r="O1691" i="1" a="1"/>
  <c r="O1691" i="1" s="1"/>
  <c r="N1691" i="1"/>
  <c r="M1691" i="1"/>
  <c r="O1690" i="1" a="1"/>
  <c r="O1690" i="1" s="1"/>
  <c r="N1690" i="1"/>
  <c r="M1690" i="1"/>
  <c r="O1689" i="1" a="1"/>
  <c r="O1689" i="1" s="1"/>
  <c r="N1689" i="1"/>
  <c r="M1689" i="1"/>
  <c r="O1688" i="1" a="1"/>
  <c r="O1688" i="1" s="1"/>
  <c r="N1688" i="1"/>
  <c r="M1688" i="1"/>
  <c r="O1687" i="1"/>
  <c r="O1687" i="1" a="1"/>
  <c r="N1687" i="1"/>
  <c r="M1687" i="1"/>
  <c r="O1686" i="1" a="1"/>
  <c r="O1686" i="1" s="1"/>
  <c r="N1686" i="1"/>
  <c r="M1686" i="1"/>
  <c r="O1685" i="1"/>
  <c r="O1685" i="1" a="1"/>
  <c r="N1685" i="1"/>
  <c r="M1685" i="1"/>
  <c r="O1684" i="1"/>
  <c r="O1684" i="1" a="1"/>
  <c r="N1684" i="1"/>
  <c r="M1684" i="1"/>
  <c r="O1683" i="1" a="1"/>
  <c r="O1683" i="1" s="1"/>
  <c r="N1683" i="1"/>
  <c r="M1683" i="1"/>
  <c r="O1682" i="1" a="1"/>
  <c r="O1682" i="1" s="1"/>
  <c r="N1682" i="1"/>
  <c r="M1682" i="1"/>
  <c r="O1681" i="1"/>
  <c r="O1681" i="1" a="1"/>
  <c r="N1681" i="1"/>
  <c r="M1681" i="1"/>
  <c r="O1680" i="1"/>
  <c r="O1680" i="1" a="1"/>
  <c r="N1680" i="1"/>
  <c r="M1680" i="1"/>
  <c r="O1679" i="1" a="1"/>
  <c r="O1679" i="1" s="1"/>
  <c r="N1679" i="1"/>
  <c r="M1679" i="1"/>
  <c r="O1678" i="1" a="1"/>
  <c r="O1678" i="1" s="1"/>
  <c r="N1678" i="1"/>
  <c r="M1678" i="1"/>
  <c r="O1677" i="1"/>
  <c r="O1677" i="1" a="1"/>
  <c r="N1677" i="1"/>
  <c r="M1677" i="1"/>
  <c r="O1676" i="1" a="1"/>
  <c r="O1676" i="1" s="1"/>
  <c r="N1676" i="1"/>
  <c r="M1676" i="1"/>
  <c r="O1675" i="1" a="1"/>
  <c r="O1675" i="1" s="1"/>
  <c r="N1675" i="1"/>
  <c r="M1675" i="1"/>
  <c r="O1674" i="1" a="1"/>
  <c r="O1674" i="1" s="1"/>
  <c r="N1674" i="1"/>
  <c r="M1674" i="1"/>
  <c r="O1673" i="1"/>
  <c r="O1673" i="1" a="1"/>
  <c r="N1673" i="1"/>
  <c r="M1673" i="1"/>
  <c r="O1672" i="1" a="1"/>
  <c r="O1672" i="1" s="1"/>
  <c r="N1672" i="1"/>
  <c r="M1672" i="1"/>
  <c r="O1671" i="1" a="1"/>
  <c r="O1671" i="1" s="1"/>
  <c r="N1671" i="1"/>
  <c r="M1671" i="1"/>
  <c r="O1670" i="1"/>
  <c r="O1670" i="1" a="1"/>
  <c r="N1670" i="1"/>
  <c r="M1670" i="1"/>
  <c r="O1669" i="1" a="1"/>
  <c r="O1669" i="1" s="1"/>
  <c r="N1669" i="1"/>
  <c r="M1669" i="1"/>
  <c r="O1668" i="1"/>
  <c r="O1668" i="1" a="1"/>
  <c r="N1668" i="1"/>
  <c r="M1668" i="1"/>
  <c r="O1667" i="1"/>
  <c r="O1667" i="1" a="1"/>
  <c r="N1667" i="1"/>
  <c r="M1667" i="1"/>
  <c r="O1666" i="1"/>
  <c r="O1666" i="1" a="1"/>
  <c r="N1666" i="1"/>
  <c r="M1666" i="1"/>
  <c r="O1665" i="1" a="1"/>
  <c r="O1665" i="1" s="1"/>
  <c r="N1665" i="1"/>
  <c r="M1665" i="1"/>
  <c r="O1664" i="1" a="1"/>
  <c r="O1664" i="1" s="1"/>
  <c r="N1664" i="1"/>
  <c r="M1664" i="1"/>
  <c r="O1663" i="1" a="1"/>
  <c r="O1663" i="1" s="1"/>
  <c r="N1663" i="1"/>
  <c r="M1663" i="1"/>
  <c r="O1662" i="1" a="1"/>
  <c r="O1662" i="1" s="1"/>
  <c r="N1662" i="1"/>
  <c r="M1662" i="1"/>
  <c r="O1661" i="1"/>
  <c r="O1661" i="1" a="1"/>
  <c r="N1661" i="1"/>
  <c r="M1661" i="1"/>
  <c r="O1660" i="1" a="1"/>
  <c r="O1660" i="1" s="1"/>
  <c r="N1660" i="1"/>
  <c r="M1660" i="1"/>
  <c r="O1659" i="1"/>
  <c r="O1659" i="1" a="1"/>
  <c r="N1659" i="1"/>
  <c r="M1659" i="1"/>
  <c r="O1658" i="1" a="1"/>
  <c r="O1658" i="1" s="1"/>
  <c r="N1658" i="1"/>
  <c r="M1658" i="1"/>
  <c r="O1657" i="1" a="1"/>
  <c r="O1657" i="1" s="1"/>
  <c r="N1657" i="1"/>
  <c r="M1657" i="1"/>
  <c r="O1656" i="1" a="1"/>
  <c r="O1656" i="1" s="1"/>
  <c r="N1656" i="1"/>
  <c r="M1656" i="1"/>
  <c r="O1655" i="1"/>
  <c r="O1655" i="1" a="1"/>
  <c r="N1655" i="1"/>
  <c r="M1655" i="1"/>
  <c r="O1654" i="1" a="1"/>
  <c r="O1654" i="1" s="1"/>
  <c r="N1654" i="1"/>
  <c r="M1654" i="1"/>
  <c r="O1653" i="1" a="1"/>
  <c r="O1653" i="1" s="1"/>
  <c r="N1653" i="1"/>
  <c r="M1653" i="1"/>
  <c r="O1652" i="1"/>
  <c r="O1652" i="1" a="1"/>
  <c r="N1652" i="1"/>
  <c r="M1652" i="1"/>
  <c r="O1651" i="1" a="1"/>
  <c r="O1651" i="1" s="1"/>
  <c r="N1651" i="1"/>
  <c r="M1651" i="1"/>
  <c r="O1650" i="1" a="1"/>
  <c r="O1650" i="1" s="1"/>
  <c r="N1650" i="1"/>
  <c r="M1650" i="1"/>
  <c r="O1649" i="1" a="1"/>
  <c r="O1649" i="1" s="1"/>
  <c r="N1649" i="1"/>
  <c r="M1649" i="1"/>
  <c r="O1648" i="1" a="1"/>
  <c r="O1648" i="1" s="1"/>
  <c r="N1648" i="1"/>
  <c r="M1648" i="1"/>
  <c r="O1647" i="1" a="1"/>
  <c r="O1647" i="1" s="1"/>
  <c r="N1647" i="1"/>
  <c r="M1647" i="1"/>
  <c r="O1646" i="1" a="1"/>
  <c r="O1646" i="1" s="1"/>
  <c r="N1646" i="1"/>
  <c r="M1646" i="1"/>
  <c r="O1645" i="1"/>
  <c r="O1645" i="1" a="1"/>
  <c r="N1645" i="1"/>
  <c r="M1645" i="1"/>
  <c r="O1644" i="1" a="1"/>
  <c r="O1644" i="1" s="1"/>
  <c r="N1644" i="1"/>
  <c r="M1644" i="1"/>
  <c r="O1643" i="1" a="1"/>
  <c r="O1643" i="1" s="1"/>
  <c r="N1643" i="1"/>
  <c r="M1643" i="1"/>
  <c r="O1642" i="1"/>
  <c r="O1642" i="1" a="1"/>
  <c r="N1642" i="1"/>
  <c r="M1642" i="1"/>
  <c r="O1641" i="1" a="1"/>
  <c r="O1641" i="1" s="1"/>
  <c r="N1641" i="1"/>
  <c r="M1641" i="1"/>
  <c r="O1640" i="1" a="1"/>
  <c r="O1640" i="1" s="1"/>
  <c r="N1640" i="1"/>
  <c r="M1640" i="1"/>
  <c r="O1639" i="1"/>
  <c r="O1639" i="1" a="1"/>
  <c r="N1639" i="1"/>
  <c r="M1639" i="1"/>
  <c r="O1638" i="1"/>
  <c r="O1638" i="1" a="1"/>
  <c r="N1638" i="1"/>
  <c r="M1638" i="1"/>
  <c r="O1637" i="1" a="1"/>
  <c r="O1637" i="1" s="1"/>
  <c r="N1637" i="1"/>
  <c r="M1637" i="1"/>
  <c r="O1636" i="1"/>
  <c r="O1636" i="1" a="1"/>
  <c r="N1636" i="1"/>
  <c r="M1636" i="1"/>
  <c r="O1635" i="1" a="1"/>
  <c r="O1635" i="1" s="1"/>
  <c r="N1635" i="1"/>
  <c r="M1635" i="1"/>
  <c r="O1634" i="1" a="1"/>
  <c r="O1634" i="1" s="1"/>
  <c r="N1634" i="1"/>
  <c r="M1634" i="1"/>
  <c r="O1633" i="1"/>
  <c r="O1633" i="1" a="1"/>
  <c r="N1633" i="1"/>
  <c r="M1633" i="1"/>
  <c r="O1632" i="1" a="1"/>
  <c r="O1632" i="1" s="1"/>
  <c r="N1632" i="1"/>
  <c r="M1632" i="1"/>
  <c r="O1631" i="1"/>
  <c r="O1631" i="1" a="1"/>
  <c r="N1631" i="1"/>
  <c r="M1631" i="1"/>
  <c r="O1630" i="1" a="1"/>
  <c r="O1630" i="1" s="1"/>
  <c r="N1630" i="1"/>
  <c r="M1630" i="1"/>
  <c r="O1629" i="1" a="1"/>
  <c r="O1629" i="1" s="1"/>
  <c r="N1629" i="1"/>
  <c r="M1629" i="1"/>
  <c r="O1628" i="1"/>
  <c r="O1628" i="1" a="1"/>
  <c r="N1628" i="1"/>
  <c r="M1628" i="1"/>
  <c r="O1627" i="1"/>
  <c r="O1627" i="1" a="1"/>
  <c r="N1627" i="1"/>
  <c r="M1627" i="1"/>
  <c r="O1626" i="1"/>
  <c r="O1626" i="1" a="1"/>
  <c r="N1626" i="1"/>
  <c r="M1626" i="1"/>
  <c r="O1625" i="1" a="1"/>
  <c r="O1625" i="1" s="1"/>
  <c r="N1625" i="1"/>
  <c r="M1625" i="1"/>
  <c r="O1624" i="1"/>
  <c r="O1624" i="1" a="1"/>
  <c r="N1624" i="1"/>
  <c r="M1624" i="1"/>
  <c r="O1623" i="1" a="1"/>
  <c r="O1623" i="1" s="1"/>
  <c r="N1623" i="1"/>
  <c r="M1623" i="1"/>
  <c r="O1622" i="1" a="1"/>
  <c r="O1622" i="1" s="1"/>
  <c r="N1622" i="1"/>
  <c r="M1622" i="1"/>
  <c r="O1621" i="1" a="1"/>
  <c r="O1621" i="1" s="1"/>
  <c r="N1621" i="1"/>
  <c r="M1621" i="1"/>
  <c r="O1620" i="1"/>
  <c r="O1620" i="1" a="1"/>
  <c r="N1620" i="1"/>
  <c r="M1620" i="1"/>
  <c r="O1619" i="1" a="1"/>
  <c r="O1619" i="1" s="1"/>
  <c r="N1619" i="1"/>
  <c r="M1619" i="1"/>
  <c r="O1618" i="1" a="1"/>
  <c r="O1618" i="1" s="1"/>
  <c r="N1618" i="1"/>
  <c r="M1618" i="1"/>
  <c r="O1617" i="1"/>
  <c r="O1617" i="1" a="1"/>
  <c r="N1617" i="1"/>
  <c r="M1617" i="1"/>
  <c r="O1616" i="1" a="1"/>
  <c r="O1616" i="1" s="1"/>
  <c r="N1616" i="1"/>
  <c r="M1616" i="1"/>
  <c r="O1615" i="1" a="1"/>
  <c r="O1615" i="1" s="1"/>
  <c r="N1615" i="1"/>
  <c r="M1615" i="1"/>
  <c r="O1614" i="1" a="1"/>
  <c r="O1614" i="1" s="1"/>
  <c r="N1614" i="1"/>
  <c r="M1614" i="1"/>
  <c r="O1613" i="1"/>
  <c r="O1613" i="1" a="1"/>
  <c r="N1613" i="1"/>
  <c r="M1613" i="1"/>
  <c r="O1612" i="1"/>
  <c r="O1612" i="1" a="1"/>
  <c r="N1612" i="1"/>
  <c r="M1612" i="1"/>
  <c r="O1611" i="1" a="1"/>
  <c r="O1611" i="1" s="1"/>
  <c r="N1611" i="1"/>
  <c r="M1611" i="1"/>
  <c r="O1610" i="1"/>
  <c r="O1610" i="1" a="1"/>
  <c r="N1610" i="1"/>
  <c r="M1610" i="1"/>
  <c r="O1609" i="1" a="1"/>
  <c r="O1609" i="1" s="1"/>
  <c r="N1609" i="1"/>
  <c r="M1609" i="1"/>
  <c r="O1608" i="1"/>
  <c r="O1608" i="1" a="1"/>
  <c r="N1608" i="1"/>
  <c r="M1608" i="1"/>
  <c r="O1607" i="1"/>
  <c r="O1607" i="1" a="1"/>
  <c r="N1607" i="1"/>
  <c r="M1607" i="1"/>
  <c r="O1606" i="1" a="1"/>
  <c r="O1606" i="1" s="1"/>
  <c r="N1606" i="1"/>
  <c r="M1606" i="1"/>
  <c r="O1605" i="1" a="1"/>
  <c r="O1605" i="1" s="1"/>
  <c r="N1605" i="1"/>
  <c r="M1605" i="1"/>
  <c r="O1604" i="1"/>
  <c r="O1604" i="1" a="1"/>
  <c r="N1604" i="1"/>
  <c r="M1604" i="1"/>
  <c r="O1603" i="1"/>
  <c r="O1603" i="1" a="1"/>
  <c r="N1603" i="1"/>
  <c r="M1603" i="1"/>
  <c r="O1602" i="1" a="1"/>
  <c r="O1602" i="1" s="1"/>
  <c r="N1602" i="1"/>
  <c r="M1602" i="1"/>
  <c r="O1601" i="1"/>
  <c r="O1601" i="1" a="1"/>
  <c r="N1601" i="1"/>
  <c r="M1601" i="1"/>
  <c r="O1600" i="1" a="1"/>
  <c r="O1600" i="1" s="1"/>
  <c r="N1600" i="1"/>
  <c r="M1600" i="1"/>
  <c r="O1599" i="1"/>
  <c r="O1599" i="1" a="1"/>
  <c r="N1599" i="1"/>
  <c r="M1599" i="1"/>
  <c r="O1598" i="1"/>
  <c r="O1598" i="1" a="1"/>
  <c r="N1598" i="1"/>
  <c r="M1598" i="1"/>
  <c r="O1597" i="1"/>
  <c r="O1597" i="1" a="1"/>
  <c r="N1597" i="1"/>
  <c r="M1597" i="1"/>
  <c r="O1596" i="1"/>
  <c r="O1596" i="1" a="1"/>
  <c r="N1596" i="1"/>
  <c r="M1596" i="1"/>
  <c r="O1595" i="1" a="1"/>
  <c r="O1595" i="1" s="1"/>
  <c r="N1595" i="1"/>
  <c r="M1595" i="1"/>
  <c r="O1594" i="1" a="1"/>
  <c r="O1594" i="1" s="1"/>
  <c r="N1594" i="1"/>
  <c r="M1594" i="1"/>
  <c r="O1593" i="1" a="1"/>
  <c r="O1593" i="1" s="1"/>
  <c r="N1593" i="1"/>
  <c r="M1593" i="1"/>
  <c r="O1592" i="1" a="1"/>
  <c r="O1592" i="1" s="1"/>
  <c r="N1592" i="1"/>
  <c r="M1592" i="1"/>
  <c r="O1591" i="1" a="1"/>
  <c r="O1591" i="1" s="1"/>
  <c r="N1591" i="1"/>
  <c r="M1591" i="1"/>
  <c r="O1590" i="1" a="1"/>
  <c r="O1590" i="1" s="1"/>
  <c r="N1590" i="1"/>
  <c r="M1590" i="1"/>
  <c r="O1589" i="1"/>
  <c r="O1589" i="1" a="1"/>
  <c r="N1589" i="1"/>
  <c r="M1589" i="1"/>
  <c r="O1588" i="1" a="1"/>
  <c r="O1588" i="1" s="1"/>
  <c r="N1588" i="1"/>
  <c r="M1588" i="1"/>
  <c r="O1587" i="1"/>
  <c r="O1587" i="1" a="1"/>
  <c r="N1587" i="1"/>
  <c r="M1587" i="1"/>
  <c r="O1586" i="1" a="1"/>
  <c r="O1586" i="1" s="1"/>
  <c r="N1586" i="1"/>
  <c r="M1586" i="1"/>
  <c r="O1585" i="1" a="1"/>
  <c r="O1585" i="1" s="1"/>
  <c r="N1585" i="1"/>
  <c r="M1585" i="1"/>
  <c r="O1584" i="1" a="1"/>
  <c r="O1584" i="1" s="1"/>
  <c r="N1584" i="1"/>
  <c r="M1584" i="1"/>
  <c r="O1583" i="1" a="1"/>
  <c r="O1583" i="1" s="1"/>
  <c r="N1583" i="1"/>
  <c r="M1583" i="1"/>
  <c r="O1582" i="1"/>
  <c r="O1582" i="1" a="1"/>
  <c r="N1582" i="1"/>
  <c r="M1582" i="1"/>
  <c r="O1581" i="1" a="1"/>
  <c r="O1581" i="1" s="1"/>
  <c r="N1581" i="1"/>
  <c r="M1581" i="1"/>
  <c r="O1580" i="1" a="1"/>
  <c r="O1580" i="1" s="1"/>
  <c r="N1580" i="1"/>
  <c r="M1580" i="1"/>
  <c r="O1579" i="1"/>
  <c r="O1579" i="1" a="1"/>
  <c r="N1579" i="1"/>
  <c r="M1579" i="1"/>
  <c r="O1578" i="1"/>
  <c r="O1578" i="1" a="1"/>
  <c r="N1578" i="1"/>
  <c r="M1578" i="1"/>
  <c r="O1577" i="1" a="1"/>
  <c r="O1577" i="1" s="1"/>
  <c r="N1577" i="1"/>
  <c r="M1577" i="1"/>
  <c r="O1576" i="1" a="1"/>
  <c r="O1576" i="1" s="1"/>
  <c r="N1576" i="1"/>
  <c r="M1576" i="1"/>
  <c r="O1575" i="1"/>
  <c r="O1575" i="1" a="1"/>
  <c r="N1575" i="1"/>
  <c r="M1575" i="1"/>
  <c r="O1574" i="1" a="1"/>
  <c r="O1574" i="1" s="1"/>
  <c r="N1574" i="1"/>
  <c r="M1574" i="1"/>
  <c r="O1573" i="1" a="1"/>
  <c r="O1573" i="1" s="1"/>
  <c r="N1573" i="1"/>
  <c r="M1573" i="1"/>
  <c r="O1572" i="1" a="1"/>
  <c r="O1572" i="1" s="1"/>
  <c r="N1572" i="1"/>
  <c r="M1572" i="1"/>
  <c r="O1571" i="1"/>
  <c r="O1571" i="1" a="1"/>
  <c r="N1571" i="1"/>
  <c r="M1571" i="1"/>
  <c r="O1570" i="1" a="1"/>
  <c r="O1570" i="1" s="1"/>
  <c r="N1570" i="1"/>
  <c r="M1570" i="1"/>
  <c r="O1569" i="1" a="1"/>
  <c r="O1569" i="1" s="1"/>
  <c r="N1569" i="1"/>
  <c r="M1569" i="1"/>
  <c r="O1568" i="1"/>
  <c r="O1568" i="1" a="1"/>
  <c r="N1568" i="1"/>
  <c r="M1568" i="1"/>
  <c r="O1567" i="1" a="1"/>
  <c r="O1567" i="1" s="1"/>
  <c r="N1567" i="1"/>
  <c r="M1567" i="1"/>
  <c r="O1566" i="1" a="1"/>
  <c r="O1566" i="1" s="1"/>
  <c r="N1566" i="1"/>
  <c r="M1566" i="1"/>
  <c r="O1565" i="1" a="1"/>
  <c r="O1565" i="1" s="1"/>
  <c r="N1565" i="1"/>
  <c r="M1565" i="1"/>
  <c r="O1564" i="1" a="1"/>
  <c r="O1564" i="1" s="1"/>
  <c r="N1564" i="1"/>
  <c r="M1564" i="1"/>
  <c r="O1563" i="1" a="1"/>
  <c r="O1563" i="1" s="1"/>
  <c r="N1563" i="1"/>
  <c r="M1563" i="1"/>
  <c r="O1562" i="1" a="1"/>
  <c r="O1562" i="1" s="1"/>
  <c r="N1562" i="1"/>
  <c r="M1562" i="1"/>
  <c r="O1561" i="1"/>
  <c r="O1561" i="1" a="1"/>
  <c r="N1561" i="1"/>
  <c r="M1561" i="1"/>
  <c r="O1560" i="1" a="1"/>
  <c r="O1560" i="1" s="1"/>
  <c r="N1560" i="1"/>
  <c r="M1560" i="1"/>
  <c r="O1559" i="1"/>
  <c r="O1559" i="1" a="1"/>
  <c r="N1559" i="1"/>
  <c r="M1559" i="1"/>
  <c r="O1558" i="1"/>
  <c r="O1558" i="1" a="1"/>
  <c r="N1558" i="1"/>
  <c r="M1558" i="1"/>
  <c r="O1557" i="1"/>
  <c r="O1557" i="1" a="1"/>
  <c r="N1557" i="1"/>
  <c r="M1557" i="1"/>
  <c r="O1556" i="1" a="1"/>
  <c r="O1556" i="1" s="1"/>
  <c r="N1556" i="1"/>
  <c r="M1556" i="1"/>
  <c r="O1555" i="1" a="1"/>
  <c r="O1555" i="1" s="1"/>
  <c r="N1555" i="1"/>
  <c r="M1555" i="1"/>
  <c r="O1554" i="1"/>
  <c r="O1554" i="1" a="1"/>
  <c r="N1554" i="1"/>
  <c r="M1554" i="1"/>
  <c r="O1553" i="1" a="1"/>
  <c r="O1553" i="1" s="1"/>
  <c r="N1553" i="1"/>
  <c r="M1553" i="1"/>
  <c r="O1552" i="1" a="1"/>
  <c r="O1552" i="1" s="1"/>
  <c r="N1552" i="1"/>
  <c r="M1552" i="1"/>
  <c r="O1551" i="1"/>
  <c r="O1551" i="1" a="1"/>
  <c r="N1551" i="1"/>
  <c r="M1551" i="1"/>
  <c r="O1550" i="1" a="1"/>
  <c r="O1550" i="1" s="1"/>
  <c r="N1550" i="1"/>
  <c r="M1550" i="1"/>
  <c r="O1549" i="1"/>
  <c r="O1549" i="1" a="1"/>
  <c r="N1549" i="1"/>
  <c r="M1549" i="1"/>
  <c r="O1548" i="1"/>
  <c r="O1548" i="1" a="1"/>
  <c r="N1548" i="1"/>
  <c r="M1548" i="1"/>
  <c r="O1547" i="1"/>
  <c r="O1547" i="1" a="1"/>
  <c r="N1547" i="1"/>
  <c r="M1547" i="1"/>
  <c r="O1546" i="1" a="1"/>
  <c r="O1546" i="1" s="1"/>
  <c r="N1546" i="1"/>
  <c r="M1546" i="1"/>
  <c r="O1545" i="1" a="1"/>
  <c r="O1545" i="1" s="1"/>
  <c r="N1545" i="1"/>
  <c r="M1545" i="1"/>
  <c r="O1544" i="1" a="1"/>
  <c r="O1544" i="1" s="1"/>
  <c r="N1544" i="1"/>
  <c r="M1544" i="1"/>
  <c r="O1543" i="1" a="1"/>
  <c r="O1543" i="1" s="1"/>
  <c r="N1543" i="1"/>
  <c r="M1543" i="1"/>
  <c r="O1542" i="1" a="1"/>
  <c r="O1542" i="1" s="1"/>
  <c r="N1542" i="1"/>
  <c r="M1542" i="1"/>
  <c r="O1541" i="1" a="1"/>
  <c r="O1541" i="1" s="1"/>
  <c r="N1541" i="1"/>
  <c r="M1541" i="1"/>
  <c r="O1540" i="1"/>
  <c r="O1540" i="1" a="1"/>
  <c r="N1540" i="1"/>
  <c r="M1540" i="1"/>
  <c r="O1539" i="1" a="1"/>
  <c r="O1539" i="1" s="1"/>
  <c r="N1539" i="1"/>
  <c r="M1539" i="1"/>
  <c r="O1538" i="1" a="1"/>
  <c r="O1538" i="1" s="1"/>
  <c r="N1538" i="1"/>
  <c r="M1538" i="1"/>
  <c r="O1537" i="1" a="1"/>
  <c r="O1537" i="1" s="1"/>
  <c r="N1537" i="1"/>
  <c r="M1537" i="1"/>
  <c r="O1536" i="1" a="1"/>
  <c r="O1536" i="1" s="1"/>
  <c r="N1536" i="1"/>
  <c r="M1536" i="1"/>
  <c r="O1535" i="1" a="1"/>
  <c r="O1535" i="1" s="1"/>
  <c r="N1535" i="1"/>
  <c r="M1535" i="1"/>
  <c r="O1534" i="1" a="1"/>
  <c r="O1534" i="1" s="1"/>
  <c r="N1534" i="1"/>
  <c r="M1534" i="1"/>
  <c r="O1533" i="1"/>
  <c r="O1533" i="1" a="1"/>
  <c r="N1533" i="1"/>
  <c r="M1533" i="1"/>
  <c r="O1532" i="1" a="1"/>
  <c r="O1532" i="1" s="1"/>
  <c r="N1532" i="1"/>
  <c r="M1532" i="1"/>
  <c r="O1531" i="1" a="1"/>
  <c r="O1531" i="1" s="1"/>
  <c r="N1531" i="1"/>
  <c r="M1531" i="1"/>
  <c r="O1530" i="1"/>
  <c r="O1530" i="1" a="1"/>
  <c r="N1530" i="1"/>
  <c r="M1530" i="1"/>
  <c r="O1529" i="1"/>
  <c r="O1529" i="1" a="1"/>
  <c r="N1529" i="1"/>
  <c r="M1529" i="1"/>
  <c r="O1528" i="1" a="1"/>
  <c r="O1528" i="1" s="1"/>
  <c r="N1528" i="1"/>
  <c r="M1528" i="1"/>
  <c r="O1527" i="1" a="1"/>
  <c r="O1527" i="1" s="1"/>
  <c r="N1527" i="1"/>
  <c r="M1527" i="1"/>
  <c r="O1526" i="1"/>
  <c r="O1526" i="1" a="1"/>
  <c r="N1526" i="1"/>
  <c r="M1526" i="1"/>
  <c r="O1525" i="1" a="1"/>
  <c r="O1525" i="1" s="1"/>
  <c r="N1525" i="1"/>
  <c r="M1525" i="1"/>
  <c r="O1524" i="1"/>
  <c r="O1524" i="1" a="1"/>
  <c r="N1524" i="1"/>
  <c r="M1524" i="1"/>
  <c r="O1523" i="1"/>
  <c r="O1523" i="1" a="1"/>
  <c r="N1523" i="1"/>
  <c r="M1523" i="1"/>
  <c r="O1522" i="1" a="1"/>
  <c r="O1522" i="1" s="1"/>
  <c r="N1522" i="1"/>
  <c r="M1522" i="1"/>
  <c r="O1521" i="1" a="1"/>
  <c r="O1521" i="1" s="1"/>
  <c r="N1521" i="1"/>
  <c r="M1521" i="1"/>
  <c r="O1520" i="1"/>
  <c r="O1520" i="1" a="1"/>
  <c r="N1520" i="1"/>
  <c r="M1520" i="1"/>
  <c r="O1519" i="1"/>
  <c r="O1519" i="1" a="1"/>
  <c r="N1519" i="1"/>
  <c r="M1519" i="1"/>
  <c r="O1518" i="1" a="1"/>
  <c r="O1518" i="1" s="1"/>
  <c r="N1518" i="1"/>
  <c r="M1518" i="1"/>
  <c r="O1517" i="1"/>
  <c r="O1517" i="1" a="1"/>
  <c r="N1517" i="1"/>
  <c r="M1517" i="1"/>
  <c r="O1516" i="1" a="1"/>
  <c r="O1516" i="1" s="1"/>
  <c r="N1516" i="1"/>
  <c r="M1516" i="1"/>
  <c r="O1515" i="1" a="1"/>
  <c r="O1515" i="1" s="1"/>
  <c r="N1515" i="1"/>
  <c r="M1515" i="1"/>
  <c r="O1514" i="1" a="1"/>
  <c r="O1514" i="1" s="1"/>
  <c r="N1514" i="1"/>
  <c r="M1514" i="1"/>
  <c r="O1513" i="1"/>
  <c r="O1513" i="1" a="1"/>
  <c r="N1513" i="1"/>
  <c r="M1513" i="1"/>
  <c r="O1512" i="1"/>
  <c r="O1512" i="1" a="1"/>
  <c r="N1512" i="1"/>
  <c r="M1512" i="1"/>
  <c r="O1511" i="1" a="1"/>
  <c r="O1511" i="1" s="1"/>
  <c r="N1511" i="1"/>
  <c r="M1511" i="1"/>
  <c r="O1510" i="1" a="1"/>
  <c r="O1510" i="1" s="1"/>
  <c r="N1510" i="1"/>
  <c r="M1510" i="1"/>
  <c r="O1509" i="1" a="1"/>
  <c r="O1509" i="1" s="1"/>
  <c r="N1509" i="1"/>
  <c r="M1509" i="1"/>
  <c r="O1508" i="1" a="1"/>
  <c r="O1508" i="1" s="1"/>
  <c r="N1508" i="1"/>
  <c r="M1508" i="1"/>
  <c r="O1507" i="1" a="1"/>
  <c r="O1507" i="1" s="1"/>
  <c r="N1507" i="1"/>
  <c r="M1507" i="1"/>
  <c r="O1506" i="1" a="1"/>
  <c r="O1506" i="1" s="1"/>
  <c r="N1506" i="1"/>
  <c r="M1506" i="1"/>
  <c r="O1505" i="1"/>
  <c r="O1505" i="1" a="1"/>
  <c r="N1505" i="1"/>
  <c r="M1505" i="1"/>
  <c r="O1504" i="1" a="1"/>
  <c r="O1504" i="1" s="1"/>
  <c r="N1504" i="1"/>
  <c r="M1504" i="1"/>
  <c r="O1503" i="1" a="1"/>
  <c r="O1503" i="1" s="1"/>
  <c r="N1503" i="1"/>
  <c r="M1503" i="1"/>
  <c r="O1502" i="1" a="1"/>
  <c r="O1502" i="1" s="1"/>
  <c r="N1502" i="1"/>
  <c r="M1502" i="1"/>
  <c r="O1501" i="1"/>
  <c r="O1501" i="1" a="1"/>
  <c r="N1501" i="1"/>
  <c r="M1501" i="1"/>
  <c r="O1500" i="1"/>
  <c r="O1500" i="1" a="1"/>
  <c r="N1500" i="1"/>
  <c r="M1500" i="1"/>
  <c r="O1499" i="1" a="1"/>
  <c r="O1499" i="1" s="1"/>
  <c r="N1499" i="1"/>
  <c r="M1499" i="1"/>
  <c r="O1498" i="1"/>
  <c r="O1498" i="1" a="1"/>
  <c r="N1498" i="1"/>
  <c r="M1498" i="1"/>
  <c r="O1497" i="1" a="1"/>
  <c r="O1497" i="1" s="1"/>
  <c r="N1497" i="1"/>
  <c r="M1497" i="1"/>
  <c r="O1496" i="1" a="1"/>
  <c r="O1496" i="1" s="1"/>
  <c r="N1496" i="1"/>
  <c r="M1496" i="1"/>
  <c r="O1495" i="1"/>
  <c r="O1495" i="1" a="1"/>
  <c r="N1495" i="1"/>
  <c r="M1495" i="1"/>
  <c r="O1494" i="1" a="1"/>
  <c r="O1494" i="1" s="1"/>
  <c r="N1494" i="1"/>
  <c r="M1494" i="1"/>
  <c r="O1493" i="1" a="1"/>
  <c r="O1493" i="1" s="1"/>
  <c r="N1493" i="1"/>
  <c r="M1493" i="1"/>
  <c r="O1492" i="1" a="1"/>
  <c r="O1492" i="1" s="1"/>
  <c r="N1492" i="1"/>
  <c r="M1492" i="1"/>
  <c r="O1491" i="1"/>
  <c r="O1491" i="1" a="1"/>
  <c r="N1491" i="1"/>
  <c r="M1491" i="1"/>
  <c r="O1490" i="1" a="1"/>
  <c r="O1490" i="1" s="1"/>
  <c r="N1490" i="1"/>
  <c r="M1490" i="1"/>
  <c r="O1489" i="1" a="1"/>
  <c r="O1489" i="1" s="1"/>
  <c r="N1489" i="1"/>
  <c r="M1489" i="1"/>
  <c r="O1488" i="1"/>
  <c r="O1488" i="1" a="1"/>
  <c r="N1488" i="1"/>
  <c r="M1488" i="1"/>
  <c r="O1487" i="1" a="1"/>
  <c r="O1487" i="1" s="1"/>
  <c r="N1487" i="1"/>
  <c r="M1487" i="1"/>
  <c r="O1486" i="1" a="1"/>
  <c r="O1486" i="1" s="1"/>
  <c r="N1486" i="1"/>
  <c r="M1486" i="1"/>
  <c r="O1485" i="1"/>
  <c r="O1485" i="1" a="1"/>
  <c r="N1485" i="1"/>
  <c r="M1485" i="1"/>
  <c r="O1484" i="1"/>
  <c r="O1484" i="1" a="1"/>
  <c r="N1484" i="1"/>
  <c r="M1484" i="1"/>
  <c r="O1483" i="1" a="1"/>
  <c r="O1483" i="1" s="1"/>
  <c r="N1483" i="1"/>
  <c r="M1483" i="1"/>
  <c r="O1482" i="1" a="1"/>
  <c r="O1482" i="1" s="1"/>
  <c r="N1482" i="1"/>
  <c r="M1482" i="1"/>
  <c r="O1481" i="1" a="1"/>
  <c r="O1481" i="1" s="1"/>
  <c r="N1481" i="1"/>
  <c r="M1481" i="1"/>
  <c r="O1480" i="1" a="1"/>
  <c r="O1480" i="1" s="1"/>
  <c r="N1480" i="1"/>
  <c r="M1480" i="1"/>
  <c r="O1479" i="1" a="1"/>
  <c r="O1479" i="1" s="1"/>
  <c r="N1479" i="1"/>
  <c r="M1479" i="1"/>
  <c r="O1478" i="1" a="1"/>
  <c r="O1478" i="1" s="1"/>
  <c r="N1478" i="1"/>
  <c r="M1478" i="1"/>
  <c r="O1477" i="1"/>
  <c r="O1477" i="1" a="1"/>
  <c r="N1477" i="1"/>
  <c r="M1477" i="1"/>
  <c r="O1476" i="1" a="1"/>
  <c r="O1476" i="1" s="1"/>
  <c r="N1476" i="1"/>
  <c r="M1476" i="1"/>
  <c r="O1475" i="1" a="1"/>
  <c r="O1475" i="1" s="1"/>
  <c r="N1475" i="1"/>
  <c r="M1475" i="1"/>
  <c r="O1474" i="1" a="1"/>
  <c r="O1474" i="1" s="1"/>
  <c r="N1474" i="1"/>
  <c r="M1474" i="1"/>
  <c r="O1473" i="1" a="1"/>
  <c r="O1473" i="1" s="1"/>
  <c r="N1473" i="1"/>
  <c r="M1473" i="1"/>
  <c r="O1472" i="1"/>
  <c r="O1472" i="1" a="1"/>
  <c r="N1472" i="1"/>
  <c r="M1472" i="1"/>
  <c r="O1471" i="1"/>
  <c r="O1471" i="1" a="1"/>
  <c r="N1471" i="1"/>
  <c r="M1471" i="1"/>
  <c r="O1470" i="1"/>
  <c r="O1470" i="1" a="1"/>
  <c r="N1470" i="1"/>
  <c r="M1470" i="1"/>
  <c r="O1469" i="1" a="1"/>
  <c r="O1469" i="1" s="1"/>
  <c r="N1469" i="1"/>
  <c r="M1469" i="1"/>
  <c r="O1468" i="1" a="1"/>
  <c r="O1468" i="1" s="1"/>
  <c r="N1468" i="1"/>
  <c r="M1468" i="1"/>
  <c r="O1467" i="1" a="1"/>
  <c r="O1467" i="1" s="1"/>
  <c r="N1467" i="1"/>
  <c r="M1467" i="1"/>
  <c r="O1466" i="1"/>
  <c r="O1466" i="1" a="1"/>
  <c r="N1466" i="1"/>
  <c r="M1466" i="1"/>
  <c r="O1465" i="1" a="1"/>
  <c r="O1465" i="1" s="1"/>
  <c r="N1465" i="1"/>
  <c r="M1465" i="1"/>
  <c r="O1464" i="1" a="1"/>
  <c r="O1464" i="1" s="1"/>
  <c r="N1464" i="1"/>
  <c r="M1464" i="1"/>
  <c r="O1463" i="1"/>
  <c r="O1463" i="1" a="1"/>
  <c r="N1463" i="1"/>
  <c r="M1463" i="1"/>
  <c r="O1462" i="1" a="1"/>
  <c r="O1462" i="1" s="1"/>
  <c r="N1462" i="1"/>
  <c r="M1462" i="1"/>
  <c r="O1461" i="1" a="1"/>
  <c r="O1461" i="1" s="1"/>
  <c r="N1461" i="1"/>
  <c r="M1461" i="1"/>
  <c r="O1460" i="1"/>
  <c r="O1460" i="1" a="1"/>
  <c r="N1460" i="1"/>
  <c r="M1460" i="1"/>
  <c r="O1459" i="1"/>
  <c r="O1459" i="1" a="1"/>
  <c r="N1459" i="1"/>
  <c r="M1459" i="1"/>
  <c r="O1458" i="1" a="1"/>
  <c r="O1458" i="1" s="1"/>
  <c r="N1458" i="1"/>
  <c r="M1458" i="1"/>
  <c r="O1457" i="1" a="1"/>
  <c r="O1457" i="1" s="1"/>
  <c r="N1457" i="1"/>
  <c r="M1457" i="1"/>
  <c r="O1456" i="1"/>
  <c r="O1456" i="1" a="1"/>
  <c r="N1456" i="1"/>
  <c r="M1456" i="1"/>
  <c r="O1455" i="1" a="1"/>
  <c r="O1455" i="1" s="1"/>
  <c r="N1455" i="1"/>
  <c r="M1455" i="1"/>
  <c r="O1454" i="1" a="1"/>
  <c r="O1454" i="1" s="1"/>
  <c r="N1454" i="1"/>
  <c r="M1454" i="1"/>
  <c r="O1453" i="1" a="1"/>
  <c r="O1453" i="1" s="1"/>
  <c r="N1453" i="1"/>
  <c r="M1453" i="1"/>
  <c r="O1452" i="1" a="1"/>
  <c r="O1452" i="1" s="1"/>
  <c r="N1452" i="1"/>
  <c r="M1452" i="1"/>
  <c r="O1451" i="1" a="1"/>
  <c r="O1451" i="1" s="1"/>
  <c r="N1451" i="1"/>
  <c r="M1451" i="1"/>
  <c r="O1450" i="1" a="1"/>
  <c r="O1450" i="1" s="1"/>
  <c r="N1450" i="1"/>
  <c r="M1450" i="1"/>
  <c r="O1449" i="1"/>
  <c r="O1449" i="1" a="1"/>
  <c r="N1449" i="1"/>
  <c r="M1449" i="1"/>
  <c r="O1448" i="1" a="1"/>
  <c r="O1448" i="1" s="1"/>
  <c r="N1448" i="1"/>
  <c r="M1448" i="1"/>
  <c r="O1447" i="1" a="1"/>
  <c r="O1447" i="1" s="1"/>
  <c r="N1447" i="1"/>
  <c r="M1447" i="1"/>
  <c r="O1446" i="1"/>
  <c r="O1446" i="1" a="1"/>
  <c r="N1446" i="1"/>
  <c r="M1446" i="1"/>
  <c r="O1445" i="1" a="1"/>
  <c r="O1445" i="1" s="1"/>
  <c r="N1445" i="1"/>
  <c r="M1445" i="1"/>
  <c r="O1444" i="1" a="1"/>
  <c r="O1444" i="1" s="1"/>
  <c r="N1444" i="1"/>
  <c r="M1444" i="1"/>
  <c r="O1443" i="1"/>
  <c r="O1443" i="1" a="1"/>
  <c r="N1443" i="1"/>
  <c r="M1443" i="1"/>
  <c r="O1442" i="1"/>
  <c r="O1442" i="1" a="1"/>
  <c r="N1442" i="1"/>
  <c r="M1442" i="1"/>
  <c r="O1441" i="1" a="1"/>
  <c r="O1441" i="1" s="1"/>
  <c r="N1441" i="1"/>
  <c r="M1441" i="1"/>
  <c r="O1440" i="1"/>
  <c r="O1440" i="1" a="1"/>
  <c r="N1440" i="1"/>
  <c r="M1440" i="1"/>
  <c r="O1439" i="1" a="1"/>
  <c r="O1439" i="1" s="1"/>
  <c r="N1439" i="1"/>
  <c r="M1439" i="1"/>
  <c r="O1438" i="1" a="1"/>
  <c r="O1438" i="1" s="1"/>
  <c r="N1438" i="1"/>
  <c r="M1438" i="1"/>
  <c r="O1437" i="1"/>
  <c r="O1437" i="1" a="1"/>
  <c r="N1437" i="1"/>
  <c r="M1437" i="1"/>
  <c r="O1436" i="1" a="1"/>
  <c r="O1436" i="1" s="1"/>
  <c r="N1436" i="1"/>
  <c r="M1436" i="1"/>
  <c r="O1435" i="1"/>
  <c r="O1435" i="1" a="1"/>
  <c r="N1435" i="1"/>
  <c r="M1435" i="1"/>
  <c r="O1434" i="1" a="1"/>
  <c r="O1434" i="1" s="1"/>
  <c r="N1434" i="1"/>
  <c r="M1434" i="1"/>
  <c r="O1433" i="1" a="1"/>
  <c r="O1433" i="1" s="1"/>
  <c r="N1433" i="1"/>
  <c r="M1433" i="1"/>
  <c r="O1432" i="1"/>
  <c r="O1432" i="1" a="1"/>
  <c r="N1432" i="1"/>
  <c r="M1432" i="1"/>
  <c r="O1431" i="1"/>
  <c r="O1431" i="1" a="1"/>
  <c r="N1431" i="1"/>
  <c r="M1431" i="1"/>
  <c r="O1430" i="1"/>
  <c r="O1430" i="1" a="1"/>
  <c r="N1430" i="1"/>
  <c r="M1430" i="1"/>
  <c r="O1429" i="1" a="1"/>
  <c r="O1429" i="1" s="1"/>
  <c r="N1429" i="1"/>
  <c r="M1429" i="1"/>
  <c r="O1428" i="1"/>
  <c r="O1428" i="1" a="1"/>
  <c r="N1428" i="1"/>
  <c r="M1428" i="1"/>
  <c r="O1427" i="1" a="1"/>
  <c r="O1427" i="1" s="1"/>
  <c r="N1427" i="1"/>
  <c r="M1427" i="1"/>
  <c r="O1426" i="1"/>
  <c r="O1426" i="1" a="1"/>
  <c r="N1426" i="1"/>
  <c r="M1426" i="1"/>
  <c r="O1425" i="1" a="1"/>
  <c r="O1425" i="1" s="1"/>
  <c r="N1425" i="1"/>
  <c r="M1425" i="1"/>
  <c r="O1424" i="1" a="1"/>
  <c r="O1424" i="1" s="1"/>
  <c r="N1424" i="1"/>
  <c r="M1424" i="1"/>
  <c r="O1423" i="1" a="1"/>
  <c r="O1423" i="1" s="1"/>
  <c r="N1423" i="1"/>
  <c r="M1423" i="1"/>
  <c r="O1422" i="1" a="1"/>
  <c r="O1422" i="1" s="1"/>
  <c r="N1422" i="1"/>
  <c r="M1422" i="1"/>
  <c r="O1421" i="1"/>
  <c r="O1421" i="1" a="1"/>
  <c r="N1421" i="1"/>
  <c r="M1421" i="1"/>
  <c r="O1420" i="1" a="1"/>
  <c r="O1420" i="1" s="1"/>
  <c r="N1420" i="1"/>
  <c r="M1420" i="1"/>
  <c r="O1419" i="1" a="1"/>
  <c r="O1419" i="1" s="1"/>
  <c r="N1419" i="1"/>
  <c r="M1419" i="1"/>
  <c r="O1418" i="1" a="1"/>
  <c r="O1418" i="1" s="1"/>
  <c r="N1418" i="1"/>
  <c r="M1418" i="1"/>
  <c r="O1417" i="1" a="1"/>
  <c r="O1417" i="1" s="1"/>
  <c r="N1417" i="1"/>
  <c r="M1417" i="1"/>
  <c r="O1416" i="1" a="1"/>
  <c r="O1416" i="1" s="1"/>
  <c r="N1416" i="1"/>
  <c r="M1416" i="1"/>
  <c r="O1415" i="1" a="1"/>
  <c r="O1415" i="1" s="1"/>
  <c r="N1415" i="1"/>
  <c r="M1415" i="1"/>
  <c r="O1414" i="1"/>
  <c r="O1414" i="1" a="1"/>
  <c r="N1414" i="1"/>
  <c r="M1414" i="1"/>
  <c r="O1413" i="1" a="1"/>
  <c r="O1413" i="1" s="1"/>
  <c r="N1413" i="1"/>
  <c r="M1413" i="1"/>
  <c r="O1412" i="1"/>
  <c r="O1412" i="1" a="1"/>
  <c r="N1412" i="1"/>
  <c r="M1412" i="1"/>
  <c r="O1411" i="1"/>
  <c r="O1411" i="1" a="1"/>
  <c r="N1411" i="1"/>
  <c r="M1411" i="1"/>
  <c r="O1410" i="1" a="1"/>
  <c r="O1410" i="1" s="1"/>
  <c r="N1410" i="1"/>
  <c r="M1410" i="1"/>
  <c r="O1409" i="1"/>
  <c r="O1409" i="1" a="1"/>
  <c r="N1409" i="1"/>
  <c r="M1409" i="1"/>
  <c r="O1408" i="1"/>
  <c r="O1408" i="1" a="1"/>
  <c r="N1408" i="1"/>
  <c r="M1408" i="1"/>
  <c r="O1407" i="1"/>
  <c r="O1407" i="1" a="1"/>
  <c r="N1407" i="1"/>
  <c r="M1407" i="1"/>
  <c r="O1406" i="1" a="1"/>
  <c r="O1406" i="1" s="1"/>
  <c r="N1406" i="1"/>
  <c r="M1406" i="1"/>
  <c r="O1405" i="1" a="1"/>
  <c r="O1405" i="1" s="1"/>
  <c r="N1405" i="1"/>
  <c r="M1405" i="1"/>
  <c r="O1404" i="1" a="1"/>
  <c r="O1404" i="1" s="1"/>
  <c r="N1404" i="1"/>
  <c r="M1404" i="1"/>
  <c r="O1403" i="1" a="1"/>
  <c r="O1403" i="1" s="1"/>
  <c r="N1403" i="1"/>
  <c r="M1403" i="1"/>
  <c r="O1402" i="1" a="1"/>
  <c r="O1402" i="1" s="1"/>
  <c r="N1402" i="1"/>
  <c r="M1402" i="1"/>
  <c r="O1401" i="1"/>
  <c r="O1401" i="1" a="1"/>
  <c r="N1401" i="1"/>
  <c r="M1401" i="1"/>
  <c r="O1400" i="1"/>
  <c r="O1400" i="1" a="1"/>
  <c r="N1400" i="1"/>
  <c r="M1400" i="1"/>
  <c r="O1399" i="1" a="1"/>
  <c r="O1399" i="1" s="1"/>
  <c r="N1399" i="1"/>
  <c r="M1399" i="1"/>
  <c r="O1398" i="1" a="1"/>
  <c r="O1398" i="1" s="1"/>
  <c r="N1398" i="1"/>
  <c r="M1398" i="1"/>
  <c r="O1397" i="1" a="1"/>
  <c r="O1397" i="1" s="1"/>
  <c r="N1397" i="1"/>
  <c r="M1397" i="1"/>
  <c r="O1396" i="1" a="1"/>
  <c r="O1396" i="1" s="1"/>
  <c r="N1396" i="1"/>
  <c r="M1396" i="1"/>
  <c r="O1395" i="1" a="1"/>
  <c r="O1395" i="1" s="1"/>
  <c r="N1395" i="1"/>
  <c r="M1395" i="1"/>
  <c r="O1394" i="1"/>
  <c r="O1394" i="1" a="1"/>
  <c r="N1394" i="1"/>
  <c r="M1394" i="1"/>
  <c r="O1393" i="1"/>
  <c r="O1393" i="1" a="1"/>
  <c r="N1393" i="1"/>
  <c r="M1393" i="1"/>
  <c r="O1392" i="1" a="1"/>
  <c r="O1392" i="1" s="1"/>
  <c r="N1392" i="1"/>
  <c r="M1392" i="1"/>
  <c r="O1391" i="1"/>
  <c r="O1391" i="1" a="1"/>
  <c r="N1391" i="1"/>
  <c r="M1391" i="1"/>
  <c r="O1390" i="1"/>
  <c r="O1390" i="1" a="1"/>
  <c r="N1390" i="1"/>
  <c r="M1390" i="1"/>
  <c r="O1389" i="1" a="1"/>
  <c r="O1389" i="1" s="1"/>
  <c r="N1389" i="1"/>
  <c r="M1389" i="1"/>
  <c r="O1388" i="1"/>
  <c r="O1388" i="1" a="1"/>
  <c r="N1388" i="1"/>
  <c r="M1388" i="1"/>
  <c r="O1387" i="1"/>
  <c r="O1387" i="1" a="1"/>
  <c r="N1387" i="1"/>
  <c r="M1387" i="1"/>
  <c r="O1386" i="1"/>
  <c r="O1386" i="1" a="1"/>
  <c r="N1386" i="1"/>
  <c r="M1386" i="1"/>
  <c r="O1385" i="1" a="1"/>
  <c r="O1385" i="1" s="1"/>
  <c r="N1385" i="1"/>
  <c r="M1385" i="1"/>
  <c r="O1384" i="1"/>
  <c r="O1384" i="1" a="1"/>
  <c r="N1384" i="1"/>
  <c r="M1384" i="1"/>
  <c r="O1383" i="1" a="1"/>
  <c r="O1383" i="1" s="1"/>
  <c r="N1383" i="1"/>
  <c r="M1383" i="1"/>
  <c r="O1382" i="1"/>
  <c r="O1382" i="1" a="1"/>
  <c r="N1382" i="1"/>
  <c r="M1382" i="1"/>
  <c r="O1381" i="1"/>
  <c r="O1381" i="1" a="1"/>
  <c r="N1381" i="1"/>
  <c r="M1381" i="1"/>
  <c r="O1380" i="1" a="1"/>
  <c r="O1380" i="1" s="1"/>
  <c r="N1380" i="1"/>
  <c r="M1380" i="1"/>
  <c r="O1379" i="1"/>
  <c r="O1379" i="1" a="1"/>
  <c r="N1379" i="1"/>
  <c r="M1379" i="1"/>
  <c r="O1378" i="1" a="1"/>
  <c r="O1378" i="1" s="1"/>
  <c r="N1378" i="1"/>
  <c r="M1378" i="1"/>
  <c r="O1377" i="1" a="1"/>
  <c r="O1377" i="1" s="1"/>
  <c r="N1377" i="1"/>
  <c r="M1377" i="1"/>
  <c r="O1376" i="1" a="1"/>
  <c r="O1376" i="1" s="1"/>
  <c r="N1376" i="1"/>
  <c r="M1376" i="1"/>
  <c r="O1375" i="1"/>
  <c r="O1375" i="1" a="1"/>
  <c r="N1375" i="1"/>
  <c r="M1375" i="1"/>
  <c r="O1374" i="1" a="1"/>
  <c r="O1374" i="1" s="1"/>
  <c r="N1374" i="1"/>
  <c r="M1374" i="1"/>
  <c r="O1373" i="1" a="1"/>
  <c r="O1373" i="1" s="1"/>
  <c r="N1373" i="1"/>
  <c r="M1373" i="1"/>
  <c r="O1372" i="1"/>
  <c r="O1372" i="1" a="1"/>
  <c r="N1372" i="1"/>
  <c r="M1372" i="1"/>
  <c r="O1371" i="1" a="1"/>
  <c r="O1371" i="1" s="1"/>
  <c r="N1371" i="1"/>
  <c r="M1371" i="1"/>
  <c r="O1370" i="1" a="1"/>
  <c r="O1370" i="1" s="1"/>
  <c r="N1370" i="1"/>
  <c r="M1370" i="1"/>
  <c r="O1369" i="1" a="1"/>
  <c r="O1369" i="1" s="1"/>
  <c r="N1369" i="1"/>
  <c r="M1369" i="1"/>
  <c r="O1368" i="1"/>
  <c r="O1368" i="1" a="1"/>
  <c r="N1368" i="1"/>
  <c r="M1368" i="1"/>
  <c r="O1367" i="1" a="1"/>
  <c r="O1367" i="1" s="1"/>
  <c r="N1367" i="1"/>
  <c r="M1367" i="1"/>
  <c r="O1366" i="1" a="1"/>
  <c r="O1366" i="1" s="1"/>
  <c r="N1366" i="1"/>
  <c r="M1366" i="1"/>
  <c r="O1365" i="1"/>
  <c r="O1365" i="1" a="1"/>
  <c r="N1365" i="1"/>
  <c r="M1365" i="1"/>
  <c r="O1364" i="1" a="1"/>
  <c r="O1364" i="1" s="1"/>
  <c r="N1364" i="1"/>
  <c r="M1364" i="1"/>
  <c r="O1363" i="1"/>
  <c r="O1363" i="1" a="1"/>
  <c r="N1363" i="1"/>
  <c r="M1363" i="1"/>
  <c r="O1362" i="1"/>
  <c r="O1362" i="1" a="1"/>
  <c r="N1362" i="1"/>
  <c r="M1362" i="1"/>
  <c r="O1361" i="1" a="1"/>
  <c r="O1361" i="1" s="1"/>
  <c r="N1361" i="1"/>
  <c r="M1361" i="1"/>
  <c r="O1360" i="1" a="1"/>
  <c r="O1360" i="1" s="1"/>
  <c r="N1360" i="1"/>
  <c r="M1360" i="1"/>
  <c r="O1359" i="1" a="1"/>
  <c r="O1359" i="1" s="1"/>
  <c r="N1359" i="1"/>
  <c r="M1359" i="1"/>
  <c r="O1358" i="1"/>
  <c r="O1358" i="1" a="1"/>
  <c r="N1358" i="1"/>
  <c r="M1358" i="1"/>
  <c r="O1357" i="1" a="1"/>
  <c r="O1357" i="1" s="1"/>
  <c r="N1357" i="1"/>
  <c r="M1357" i="1"/>
  <c r="O1356" i="1"/>
  <c r="O1356" i="1" a="1"/>
  <c r="N1356" i="1"/>
  <c r="M1356" i="1"/>
  <c r="O1355" i="1"/>
  <c r="O1355" i="1" a="1"/>
  <c r="N1355" i="1"/>
  <c r="M1355" i="1"/>
  <c r="O1354" i="1" a="1"/>
  <c r="O1354" i="1" s="1"/>
  <c r="N1354" i="1"/>
  <c r="M1354" i="1"/>
  <c r="O1353" i="1"/>
  <c r="O1353" i="1" a="1"/>
  <c r="N1353" i="1"/>
  <c r="M1353" i="1"/>
  <c r="O1352" i="1"/>
  <c r="O1352" i="1" a="1"/>
  <c r="N1352" i="1"/>
  <c r="M1352" i="1"/>
  <c r="O1351" i="1"/>
  <c r="O1351" i="1" a="1"/>
  <c r="N1351" i="1"/>
  <c r="M1351" i="1"/>
  <c r="O1350" i="1" a="1"/>
  <c r="O1350" i="1" s="1"/>
  <c r="N1350" i="1"/>
  <c r="M1350" i="1"/>
  <c r="O1349" i="1" a="1"/>
  <c r="O1349" i="1" s="1"/>
  <c r="N1349" i="1"/>
  <c r="M1349" i="1"/>
  <c r="O1348" i="1" a="1"/>
  <c r="O1348" i="1" s="1"/>
  <c r="N1348" i="1"/>
  <c r="M1348" i="1"/>
  <c r="O1347" i="1" a="1"/>
  <c r="O1347" i="1" s="1"/>
  <c r="N1347" i="1"/>
  <c r="M1347" i="1"/>
  <c r="O1346" i="1" a="1"/>
  <c r="O1346" i="1" s="1"/>
  <c r="N1346" i="1"/>
  <c r="M1346" i="1"/>
  <c r="O1345" i="1" a="1"/>
  <c r="O1345" i="1" s="1"/>
  <c r="N1345" i="1"/>
  <c r="M1345" i="1"/>
  <c r="O1344" i="1"/>
  <c r="O1344" i="1" a="1"/>
  <c r="N1344" i="1"/>
  <c r="M1344" i="1"/>
  <c r="O1343" i="1"/>
  <c r="O1343" i="1" a="1"/>
  <c r="N1343" i="1"/>
  <c r="M1343" i="1"/>
  <c r="O1342" i="1" a="1"/>
  <c r="O1342" i="1" s="1"/>
  <c r="N1342" i="1"/>
  <c r="M1342" i="1"/>
  <c r="O1341" i="1" a="1"/>
  <c r="O1341" i="1" s="1"/>
  <c r="N1341" i="1"/>
  <c r="M1341" i="1"/>
  <c r="O1340" i="1" a="1"/>
  <c r="O1340" i="1" s="1"/>
  <c r="N1340" i="1"/>
  <c r="M1340" i="1"/>
  <c r="O1339" i="1" a="1"/>
  <c r="O1339" i="1" s="1"/>
  <c r="N1339" i="1"/>
  <c r="M1339" i="1"/>
  <c r="O1338" i="1" a="1"/>
  <c r="O1338" i="1" s="1"/>
  <c r="N1338" i="1"/>
  <c r="M1338" i="1"/>
  <c r="O1337" i="1"/>
  <c r="O1337" i="1" a="1"/>
  <c r="N1337" i="1"/>
  <c r="M1337" i="1"/>
  <c r="O1336" i="1"/>
  <c r="O1336" i="1" a="1"/>
  <c r="N1336" i="1"/>
  <c r="M1336" i="1"/>
  <c r="O1335" i="1" a="1"/>
  <c r="O1335" i="1" s="1"/>
  <c r="N1335" i="1"/>
  <c r="M1335" i="1"/>
  <c r="O1334" i="1" a="1"/>
  <c r="O1334" i="1" s="1"/>
  <c r="N1334" i="1"/>
  <c r="M1334" i="1"/>
  <c r="O1333" i="1" a="1"/>
  <c r="O1333" i="1" s="1"/>
  <c r="N1333" i="1"/>
  <c r="M1333" i="1"/>
  <c r="O1332" i="1" a="1"/>
  <c r="O1332" i="1" s="1"/>
  <c r="N1332" i="1"/>
  <c r="M1332" i="1"/>
  <c r="O1331" i="1" a="1"/>
  <c r="O1331" i="1" s="1"/>
  <c r="N1331" i="1"/>
  <c r="M1331" i="1"/>
  <c r="O1330" i="1"/>
  <c r="O1330" i="1" a="1"/>
  <c r="N1330" i="1"/>
  <c r="M1330" i="1"/>
  <c r="O1329" i="1"/>
  <c r="O1329" i="1" a="1"/>
  <c r="N1329" i="1"/>
  <c r="M1329" i="1"/>
  <c r="O1328" i="1" a="1"/>
  <c r="O1328" i="1" s="1"/>
  <c r="N1328" i="1"/>
  <c r="M1328" i="1"/>
  <c r="O1327" i="1" a="1"/>
  <c r="O1327" i="1" s="1"/>
  <c r="N1327" i="1"/>
  <c r="M1327" i="1"/>
  <c r="O1326" i="1" a="1"/>
  <c r="O1326" i="1" s="1"/>
  <c r="N1326" i="1"/>
  <c r="M1326" i="1"/>
  <c r="O1325" i="1" a="1"/>
  <c r="O1325" i="1" s="1"/>
  <c r="N1325" i="1"/>
  <c r="M1325" i="1"/>
  <c r="O1324" i="1" a="1"/>
  <c r="O1324" i="1" s="1"/>
  <c r="N1324" i="1"/>
  <c r="M1324" i="1"/>
  <c r="O1323" i="1"/>
  <c r="O1323" i="1" a="1"/>
  <c r="N1323" i="1"/>
  <c r="M1323" i="1"/>
  <c r="O1322" i="1"/>
  <c r="O1322" i="1" a="1"/>
  <c r="N1322" i="1"/>
  <c r="M1322" i="1"/>
  <c r="O1321" i="1" a="1"/>
  <c r="O1321" i="1" s="1"/>
  <c r="N1321" i="1"/>
  <c r="M1321" i="1"/>
  <c r="O1320" i="1" a="1"/>
  <c r="O1320" i="1" s="1"/>
  <c r="N1320" i="1"/>
  <c r="M1320" i="1"/>
  <c r="O1319" i="1"/>
  <c r="O1319" i="1" a="1"/>
  <c r="N1319" i="1"/>
  <c r="M1319" i="1"/>
  <c r="O1318" i="1" a="1"/>
  <c r="O1318" i="1" s="1"/>
  <c r="N1318" i="1"/>
  <c r="M1318" i="1"/>
  <c r="O1317" i="1" a="1"/>
  <c r="O1317" i="1" s="1"/>
  <c r="N1317" i="1"/>
  <c r="M1317" i="1"/>
  <c r="O1316" i="1"/>
  <c r="O1316" i="1" a="1"/>
  <c r="N1316" i="1"/>
  <c r="M1316" i="1"/>
  <c r="O1315" i="1"/>
  <c r="O1315" i="1" a="1"/>
  <c r="N1315" i="1"/>
  <c r="M1315" i="1"/>
  <c r="O1314" i="1" a="1"/>
  <c r="O1314" i="1" s="1"/>
  <c r="N1314" i="1"/>
  <c r="M1314" i="1"/>
  <c r="O1313" i="1" a="1"/>
  <c r="O1313" i="1" s="1"/>
  <c r="N1313" i="1"/>
  <c r="M1313" i="1"/>
  <c r="O1312" i="1" a="1"/>
  <c r="O1312" i="1" s="1"/>
  <c r="N1312" i="1"/>
  <c r="M1312" i="1"/>
  <c r="O1311" i="1" a="1"/>
  <c r="O1311" i="1" s="1"/>
  <c r="N1311" i="1"/>
  <c r="M1311" i="1"/>
  <c r="O1310" i="1" a="1"/>
  <c r="O1310" i="1" s="1"/>
  <c r="N1310" i="1"/>
  <c r="M1310" i="1"/>
  <c r="O1309" i="1"/>
  <c r="O1309" i="1" a="1"/>
  <c r="N1309" i="1"/>
  <c r="M1309" i="1"/>
  <c r="O1308" i="1"/>
  <c r="O1308" i="1" a="1"/>
  <c r="N1308" i="1"/>
  <c r="M1308" i="1"/>
  <c r="O1307" i="1" a="1"/>
  <c r="O1307" i="1" s="1"/>
  <c r="N1307" i="1"/>
  <c r="M1307" i="1"/>
  <c r="O1306" i="1" a="1"/>
  <c r="O1306" i="1" s="1"/>
  <c r="N1306" i="1"/>
  <c r="M1306" i="1"/>
  <c r="O1305" i="1" a="1"/>
  <c r="O1305" i="1" s="1"/>
  <c r="N1305" i="1"/>
  <c r="M1305" i="1"/>
  <c r="O1304" i="1" a="1"/>
  <c r="O1304" i="1" s="1"/>
  <c r="N1304" i="1"/>
  <c r="M1304" i="1"/>
  <c r="O1303" i="1" a="1"/>
  <c r="O1303" i="1" s="1"/>
  <c r="N1303" i="1"/>
  <c r="M1303" i="1"/>
  <c r="O1302" i="1"/>
  <c r="O1302" i="1" a="1"/>
  <c r="N1302" i="1"/>
  <c r="M1302" i="1"/>
  <c r="O1301" i="1"/>
  <c r="O1301" i="1" a="1"/>
  <c r="N1301" i="1"/>
  <c r="M1301" i="1"/>
  <c r="O1300" i="1" a="1"/>
  <c r="O1300" i="1" s="1"/>
  <c r="N1300" i="1"/>
  <c r="M1300" i="1"/>
  <c r="O1299" i="1" a="1"/>
  <c r="O1299" i="1" s="1"/>
  <c r="N1299" i="1"/>
  <c r="M1299" i="1"/>
  <c r="O1298" i="1" a="1"/>
  <c r="O1298" i="1" s="1"/>
  <c r="N1298" i="1"/>
  <c r="M1298" i="1"/>
  <c r="O1297" i="1" a="1"/>
  <c r="O1297" i="1" s="1"/>
  <c r="N1297" i="1"/>
  <c r="M1297" i="1"/>
  <c r="O1296" i="1" a="1"/>
  <c r="O1296" i="1" s="1"/>
  <c r="N1296" i="1"/>
  <c r="M1296" i="1"/>
  <c r="O1295" i="1"/>
  <c r="O1295" i="1" a="1"/>
  <c r="N1295" i="1"/>
  <c r="M1295" i="1"/>
  <c r="O1294" i="1"/>
  <c r="O1294" i="1" a="1"/>
  <c r="N1294" i="1"/>
  <c r="M1294" i="1"/>
  <c r="O1293" i="1" a="1"/>
  <c r="O1293" i="1" s="1"/>
  <c r="N1293" i="1"/>
  <c r="M1293" i="1"/>
  <c r="O1292" i="1" a="1"/>
  <c r="O1292" i="1" s="1"/>
  <c r="N1292" i="1"/>
  <c r="M1292" i="1"/>
  <c r="O1291" i="1" a="1"/>
  <c r="O1291" i="1" s="1"/>
  <c r="N1291" i="1"/>
  <c r="M1291" i="1"/>
  <c r="O1290" i="1" a="1"/>
  <c r="O1290" i="1" s="1"/>
  <c r="N1290" i="1"/>
  <c r="M1290" i="1"/>
  <c r="O1289" i="1" a="1"/>
  <c r="O1289" i="1" s="1"/>
  <c r="N1289" i="1"/>
  <c r="M1289" i="1"/>
  <c r="O1288" i="1"/>
  <c r="O1288" i="1" a="1"/>
  <c r="N1288" i="1"/>
  <c r="M1288" i="1"/>
  <c r="O1287" i="1"/>
  <c r="O1287" i="1" a="1"/>
  <c r="N1287" i="1"/>
  <c r="M1287" i="1"/>
  <c r="O1286" i="1" a="1"/>
  <c r="O1286" i="1" s="1"/>
  <c r="N1286" i="1"/>
  <c r="M1286" i="1"/>
  <c r="O1285" i="1" a="1"/>
  <c r="O1285" i="1" s="1"/>
  <c r="N1285" i="1"/>
  <c r="M1285" i="1"/>
  <c r="O1284" i="1"/>
  <c r="O1284" i="1" a="1"/>
  <c r="N1284" i="1"/>
  <c r="M1284" i="1"/>
  <c r="O1283" i="1" a="1"/>
  <c r="O1283" i="1" s="1"/>
  <c r="N1283" i="1"/>
  <c r="M1283" i="1"/>
  <c r="O1282" i="1" a="1"/>
  <c r="O1282" i="1" s="1"/>
  <c r="N1282" i="1"/>
  <c r="M1282" i="1"/>
  <c r="O1281" i="1"/>
  <c r="O1281" i="1" a="1"/>
  <c r="N1281" i="1"/>
  <c r="M1281" i="1"/>
  <c r="O1280" i="1"/>
  <c r="O1280" i="1" a="1"/>
  <c r="N1280" i="1"/>
  <c r="M1280" i="1"/>
  <c r="O1279" i="1" a="1"/>
  <c r="O1279" i="1" s="1"/>
  <c r="N1279" i="1"/>
  <c r="M1279" i="1"/>
  <c r="O1278" i="1" a="1"/>
  <c r="O1278" i="1" s="1"/>
  <c r="N1278" i="1"/>
  <c r="M1278" i="1"/>
  <c r="O1277" i="1" a="1"/>
  <c r="O1277" i="1" s="1"/>
  <c r="N1277" i="1"/>
  <c r="M1277" i="1"/>
  <c r="O1276" i="1" a="1"/>
  <c r="O1276" i="1" s="1"/>
  <c r="N1276" i="1"/>
  <c r="M1276" i="1"/>
  <c r="O1275" i="1" a="1"/>
  <c r="O1275" i="1" s="1"/>
  <c r="N1275" i="1"/>
  <c r="M1275" i="1"/>
  <c r="O1274" i="1"/>
  <c r="O1274" i="1" a="1"/>
  <c r="N1274" i="1"/>
  <c r="M1274" i="1"/>
  <c r="O1273" i="1"/>
  <c r="O1273" i="1" a="1"/>
  <c r="N1273" i="1"/>
  <c r="M1273" i="1"/>
  <c r="O1272" i="1" a="1"/>
  <c r="O1272" i="1" s="1"/>
  <c r="N1272" i="1"/>
  <c r="M1272" i="1"/>
  <c r="O1271" i="1" a="1"/>
  <c r="O1271" i="1" s="1"/>
  <c r="N1271" i="1"/>
  <c r="M1271" i="1"/>
  <c r="O1270" i="1" a="1"/>
  <c r="O1270" i="1" s="1"/>
  <c r="N1270" i="1"/>
  <c r="M1270" i="1"/>
  <c r="O1269" i="1" a="1"/>
  <c r="O1269" i="1" s="1"/>
  <c r="N1269" i="1"/>
  <c r="M1269" i="1"/>
  <c r="O1268" i="1" a="1"/>
  <c r="O1268" i="1" s="1"/>
  <c r="N1268" i="1"/>
  <c r="M1268" i="1"/>
  <c r="O1267" i="1"/>
  <c r="O1267" i="1" a="1"/>
  <c r="N1267" i="1"/>
  <c r="M1267" i="1"/>
  <c r="O1266" i="1"/>
  <c r="O1266" i="1" a="1"/>
  <c r="N1266" i="1"/>
  <c r="M1266" i="1"/>
  <c r="O1265" i="1" a="1"/>
  <c r="O1265" i="1" s="1"/>
  <c r="N1265" i="1"/>
  <c r="M1265" i="1"/>
  <c r="O1264" i="1" a="1"/>
  <c r="O1264" i="1" s="1"/>
  <c r="N1264" i="1"/>
  <c r="M1264" i="1"/>
  <c r="O1263" i="1"/>
  <c r="O1263" i="1" a="1"/>
  <c r="N1263" i="1"/>
  <c r="M1263" i="1"/>
  <c r="O1262" i="1" a="1"/>
  <c r="O1262" i="1" s="1"/>
  <c r="N1262" i="1"/>
  <c r="M1262" i="1"/>
  <c r="O1261" i="1" a="1"/>
  <c r="O1261" i="1" s="1"/>
  <c r="N1261" i="1"/>
  <c r="M1261" i="1"/>
  <c r="O1260" i="1"/>
  <c r="O1260" i="1" a="1"/>
  <c r="N1260" i="1"/>
  <c r="M1260" i="1"/>
  <c r="O1259" i="1"/>
  <c r="O1259" i="1" a="1"/>
  <c r="N1259" i="1"/>
  <c r="M1259" i="1"/>
  <c r="O1258" i="1" a="1"/>
  <c r="O1258" i="1" s="1"/>
  <c r="N1258" i="1"/>
  <c r="M1258" i="1"/>
  <c r="O1257" i="1" a="1"/>
  <c r="O1257" i="1" s="1"/>
  <c r="N1257" i="1"/>
  <c r="M1257" i="1"/>
  <c r="O1256" i="1" a="1"/>
  <c r="O1256" i="1" s="1"/>
  <c r="N1256" i="1"/>
  <c r="M1256" i="1"/>
  <c r="O1255" i="1"/>
  <c r="O1255" i="1" a="1"/>
  <c r="N1255" i="1"/>
  <c r="M1255" i="1"/>
  <c r="O1254" i="1" a="1"/>
  <c r="O1254" i="1" s="1"/>
  <c r="N1254" i="1"/>
  <c r="M1254" i="1"/>
  <c r="O1253" i="1"/>
  <c r="O1253" i="1" a="1"/>
  <c r="N1253" i="1"/>
  <c r="M1253" i="1"/>
  <c r="O1252" i="1"/>
  <c r="O1252" i="1" a="1"/>
  <c r="N1252" i="1"/>
  <c r="M1252" i="1"/>
  <c r="O1251" i="1" a="1"/>
  <c r="O1251" i="1" s="1"/>
  <c r="N1251" i="1"/>
  <c r="M1251" i="1"/>
  <c r="O1250" i="1" a="1"/>
  <c r="O1250" i="1" s="1"/>
  <c r="N1250" i="1"/>
  <c r="M1250" i="1"/>
  <c r="O1249" i="1" a="1"/>
  <c r="O1249" i="1" s="1"/>
  <c r="N1249" i="1"/>
  <c r="M1249" i="1"/>
  <c r="O1248" i="1" a="1"/>
  <c r="O1248" i="1" s="1"/>
  <c r="N1248" i="1"/>
  <c r="M1248" i="1"/>
  <c r="O1247" i="1" a="1"/>
  <c r="O1247" i="1" s="1"/>
  <c r="N1247" i="1"/>
  <c r="M1247" i="1"/>
  <c r="O1246" i="1"/>
  <c r="O1246" i="1" a="1"/>
  <c r="N1246" i="1"/>
  <c r="M1246" i="1"/>
  <c r="O1245" i="1"/>
  <c r="O1245" i="1" a="1"/>
  <c r="N1245" i="1"/>
  <c r="M1245" i="1"/>
  <c r="O1244" i="1" a="1"/>
  <c r="O1244" i="1" s="1"/>
  <c r="N1244" i="1"/>
  <c r="M1244" i="1"/>
  <c r="O1243" i="1" a="1"/>
  <c r="O1243" i="1" s="1"/>
  <c r="N1243" i="1"/>
  <c r="M1243" i="1"/>
  <c r="O1242" i="1" a="1"/>
  <c r="O1242" i="1" s="1"/>
  <c r="N1242" i="1"/>
  <c r="M1242" i="1"/>
  <c r="O1241" i="1" a="1"/>
  <c r="O1241" i="1" s="1"/>
  <c r="N1241" i="1"/>
  <c r="M1241" i="1"/>
  <c r="O1240" i="1" a="1"/>
  <c r="O1240" i="1" s="1"/>
  <c r="N1240" i="1"/>
  <c r="M1240" i="1"/>
  <c r="O1239" i="1"/>
  <c r="O1239" i="1" a="1"/>
  <c r="N1239" i="1"/>
  <c r="M1239" i="1"/>
  <c r="O1238" i="1"/>
  <c r="O1238" i="1" a="1"/>
  <c r="N1238" i="1"/>
  <c r="M1238" i="1"/>
  <c r="O1237" i="1" a="1"/>
  <c r="O1237" i="1" s="1"/>
  <c r="N1237" i="1"/>
  <c r="M1237" i="1"/>
  <c r="O1236" i="1" a="1"/>
  <c r="O1236" i="1" s="1"/>
  <c r="N1236" i="1"/>
  <c r="M1236" i="1"/>
  <c r="O1235" i="1" a="1"/>
  <c r="O1235" i="1" s="1"/>
  <c r="N1235" i="1"/>
  <c r="M1235" i="1"/>
  <c r="O1234" i="1" a="1"/>
  <c r="O1234" i="1" s="1"/>
  <c r="N1234" i="1"/>
  <c r="M1234" i="1"/>
  <c r="O1233" i="1"/>
  <c r="O1233" i="1" a="1"/>
  <c r="N1233" i="1"/>
  <c r="M1233" i="1"/>
  <c r="O1232" i="1"/>
  <c r="O1232" i="1" a="1"/>
  <c r="N1232" i="1"/>
  <c r="M1232" i="1"/>
  <c r="O1231" i="1"/>
  <c r="O1231" i="1" a="1"/>
  <c r="N1231" i="1"/>
  <c r="M1231" i="1"/>
  <c r="O1230" i="1" a="1"/>
  <c r="O1230" i="1" s="1"/>
  <c r="N1230" i="1"/>
  <c r="M1230" i="1"/>
  <c r="O1229" i="1" a="1"/>
  <c r="O1229" i="1" s="1"/>
  <c r="N1229" i="1"/>
  <c r="M1229" i="1"/>
  <c r="O1228" i="1" a="1"/>
  <c r="O1228" i="1" s="1"/>
  <c r="N1228" i="1"/>
  <c r="M1228" i="1"/>
  <c r="O1227" i="1" a="1"/>
  <c r="O1227" i="1" s="1"/>
  <c r="N1227" i="1"/>
  <c r="M1227" i="1"/>
  <c r="O1226" i="1" a="1"/>
  <c r="O1226" i="1" s="1"/>
  <c r="N1226" i="1"/>
  <c r="M1226" i="1"/>
  <c r="O1225" i="1"/>
  <c r="O1225" i="1" a="1"/>
  <c r="N1225" i="1"/>
  <c r="M1225" i="1"/>
  <c r="O1224" i="1"/>
  <c r="O1224" i="1" a="1"/>
  <c r="N1224" i="1"/>
  <c r="M1224" i="1"/>
  <c r="O1223" i="1" a="1"/>
  <c r="O1223" i="1" s="1"/>
  <c r="N1223" i="1"/>
  <c r="M1223" i="1"/>
  <c r="O1222" i="1" a="1"/>
  <c r="O1222" i="1" s="1"/>
  <c r="N1222" i="1"/>
  <c r="M1222" i="1"/>
  <c r="O1221" i="1" a="1"/>
  <c r="O1221" i="1" s="1"/>
  <c r="N1221" i="1"/>
  <c r="M1221" i="1"/>
  <c r="O1220" i="1" a="1"/>
  <c r="O1220" i="1" s="1"/>
  <c r="N1220" i="1"/>
  <c r="M1220" i="1"/>
  <c r="O1219" i="1" a="1"/>
  <c r="O1219" i="1" s="1"/>
  <c r="N1219" i="1"/>
  <c r="M1219" i="1"/>
  <c r="O1218" i="1"/>
  <c r="O1218" i="1" a="1"/>
  <c r="N1218" i="1"/>
  <c r="M1218" i="1"/>
  <c r="O1217" i="1"/>
  <c r="O1217" i="1" a="1"/>
  <c r="N1217" i="1"/>
  <c r="M1217" i="1"/>
  <c r="O1216" i="1" a="1"/>
  <c r="O1216" i="1" s="1"/>
  <c r="N1216" i="1"/>
  <c r="M1216" i="1"/>
  <c r="O1215" i="1" a="1"/>
  <c r="O1215" i="1" s="1"/>
  <c r="N1215" i="1"/>
  <c r="M1215" i="1"/>
  <c r="O1214" i="1" a="1"/>
  <c r="O1214" i="1" s="1"/>
  <c r="N1214" i="1"/>
  <c r="M1214" i="1"/>
  <c r="O1213" i="1"/>
  <c r="O1213" i="1" a="1"/>
  <c r="N1213" i="1"/>
  <c r="M1213" i="1"/>
  <c r="O1212" i="1" a="1"/>
  <c r="O1212" i="1" s="1"/>
  <c r="N1212" i="1"/>
  <c r="M1212" i="1"/>
  <c r="O1211" i="1"/>
  <c r="O1211" i="1" a="1"/>
  <c r="N1211" i="1"/>
  <c r="M1211" i="1"/>
  <c r="O1210" i="1"/>
  <c r="O1210" i="1" a="1"/>
  <c r="N1210" i="1"/>
  <c r="M1210" i="1"/>
  <c r="O1209" i="1" a="1"/>
  <c r="O1209" i="1" s="1"/>
  <c r="N1209" i="1"/>
  <c r="M1209" i="1"/>
  <c r="O1208" i="1" a="1"/>
  <c r="O1208" i="1" s="1"/>
  <c r="N1208" i="1"/>
  <c r="M1208" i="1"/>
  <c r="O1207" i="1" a="1"/>
  <c r="O1207" i="1" s="1"/>
  <c r="N1207" i="1"/>
  <c r="M1207" i="1"/>
  <c r="O1206" i="1" a="1"/>
  <c r="O1206" i="1" s="1"/>
  <c r="N1206" i="1"/>
  <c r="M1206" i="1"/>
  <c r="O1205" i="1" a="1"/>
  <c r="O1205" i="1" s="1"/>
  <c r="N1205" i="1"/>
  <c r="M1205" i="1"/>
  <c r="O1204" i="1"/>
  <c r="O1204" i="1" a="1"/>
  <c r="N1204" i="1"/>
  <c r="M1204" i="1"/>
  <c r="O1203" i="1"/>
  <c r="O1203" i="1" a="1"/>
  <c r="N1203" i="1"/>
  <c r="M1203" i="1"/>
  <c r="O1202" i="1" a="1"/>
  <c r="O1202" i="1" s="1"/>
  <c r="N1202" i="1"/>
  <c r="M1202" i="1"/>
  <c r="O1201" i="1" a="1"/>
  <c r="O1201" i="1" s="1"/>
  <c r="N1201" i="1"/>
  <c r="M1201" i="1"/>
  <c r="O1200" i="1" a="1"/>
  <c r="O1200" i="1" s="1"/>
  <c r="N1200" i="1"/>
  <c r="M1200" i="1"/>
  <c r="O1199" i="1" a="1"/>
  <c r="O1199" i="1" s="1"/>
  <c r="N1199" i="1"/>
  <c r="M1199" i="1"/>
  <c r="O1198" i="1"/>
  <c r="O1198" i="1" a="1"/>
  <c r="N1198" i="1"/>
  <c r="M1198" i="1"/>
  <c r="O1197" i="1"/>
  <c r="O1197" i="1" a="1"/>
  <c r="N1197" i="1"/>
  <c r="M1197" i="1"/>
  <c r="O1196" i="1"/>
  <c r="O1196" i="1" a="1"/>
  <c r="N1196" i="1"/>
  <c r="M1196" i="1"/>
  <c r="O1195" i="1" a="1"/>
  <c r="O1195" i="1" s="1"/>
  <c r="N1195" i="1"/>
  <c r="M1195" i="1"/>
  <c r="O1194" i="1" a="1"/>
  <c r="O1194" i="1" s="1"/>
  <c r="N1194" i="1"/>
  <c r="M1194" i="1"/>
  <c r="O1193" i="1" a="1"/>
  <c r="O1193" i="1" s="1"/>
  <c r="N1193" i="1"/>
  <c r="M1193" i="1"/>
  <c r="O1192" i="1" a="1"/>
  <c r="O1192" i="1" s="1"/>
  <c r="N1192" i="1"/>
  <c r="M1192" i="1"/>
  <c r="O1191" i="1" a="1"/>
  <c r="O1191" i="1" s="1"/>
  <c r="N1191" i="1"/>
  <c r="M1191" i="1"/>
  <c r="O1190" i="1"/>
  <c r="O1190" i="1" a="1"/>
  <c r="N1190" i="1"/>
  <c r="M1190" i="1"/>
  <c r="O1189" i="1"/>
  <c r="O1189" i="1" a="1"/>
  <c r="N1189" i="1"/>
  <c r="M1189" i="1"/>
  <c r="O1188" i="1" a="1"/>
  <c r="O1188" i="1" s="1"/>
  <c r="N1188" i="1"/>
  <c r="M1188" i="1"/>
  <c r="O1187" i="1" a="1"/>
  <c r="O1187" i="1" s="1"/>
  <c r="N1187" i="1"/>
  <c r="M1187" i="1"/>
  <c r="O1186" i="1" a="1"/>
  <c r="O1186" i="1" s="1"/>
  <c r="N1186" i="1"/>
  <c r="M1186" i="1"/>
  <c r="O1185" i="1" a="1"/>
  <c r="O1185" i="1" s="1"/>
  <c r="N1185" i="1"/>
  <c r="M1185" i="1"/>
  <c r="O1184" i="1" a="1"/>
  <c r="O1184" i="1" s="1"/>
  <c r="N1184" i="1"/>
  <c r="M1184" i="1"/>
  <c r="O1183" i="1"/>
  <c r="O1183" i="1" a="1"/>
  <c r="N1183" i="1"/>
  <c r="M1183" i="1"/>
  <c r="O1182" i="1"/>
  <c r="O1182" i="1" a="1"/>
  <c r="N1182" i="1"/>
  <c r="M1182" i="1"/>
  <c r="O1181" i="1" a="1"/>
  <c r="O1181" i="1" s="1"/>
  <c r="N1181" i="1"/>
  <c r="M1181" i="1"/>
  <c r="O1180" i="1" a="1"/>
  <c r="O1180" i="1" s="1"/>
  <c r="N1180" i="1"/>
  <c r="M1180" i="1"/>
  <c r="O1179" i="1" a="1"/>
  <c r="O1179" i="1" s="1"/>
  <c r="N1179" i="1"/>
  <c r="M1179" i="1"/>
  <c r="O1178" i="1" a="1"/>
  <c r="O1178" i="1" s="1"/>
  <c r="N1178" i="1"/>
  <c r="M1178" i="1"/>
  <c r="O1177" i="1" a="1"/>
  <c r="O1177" i="1" s="1"/>
  <c r="N1177" i="1"/>
  <c r="M1177" i="1"/>
  <c r="O1176" i="1"/>
  <c r="O1176" i="1" a="1"/>
  <c r="N1176" i="1"/>
  <c r="M1176" i="1"/>
  <c r="O1175" i="1"/>
  <c r="O1175" i="1" a="1"/>
  <c r="N1175" i="1"/>
  <c r="M1175" i="1"/>
  <c r="O1174" i="1" a="1"/>
  <c r="O1174" i="1" s="1"/>
  <c r="N1174" i="1"/>
  <c r="M1174" i="1"/>
  <c r="O1173" i="1" a="1"/>
  <c r="O1173" i="1" s="1"/>
  <c r="N1173" i="1"/>
  <c r="M1173" i="1"/>
  <c r="O1172" i="1" a="1"/>
  <c r="O1172" i="1" s="1"/>
  <c r="N1172" i="1"/>
  <c r="M1172" i="1"/>
  <c r="O1171" i="1" a="1"/>
  <c r="O1171" i="1" s="1"/>
  <c r="N1171" i="1"/>
  <c r="M1171" i="1"/>
  <c r="O1170" i="1" a="1"/>
  <c r="O1170" i="1" s="1"/>
  <c r="N1170" i="1"/>
  <c r="M1170" i="1"/>
  <c r="O1169" i="1"/>
  <c r="O1169" i="1" a="1"/>
  <c r="N1169" i="1"/>
  <c r="M1169" i="1"/>
  <c r="O1168" i="1"/>
  <c r="O1168" i="1" a="1"/>
  <c r="N1168" i="1"/>
  <c r="M1168" i="1"/>
  <c r="O1167" i="1" a="1"/>
  <c r="O1167" i="1" s="1"/>
  <c r="N1167" i="1"/>
  <c r="M1167" i="1"/>
  <c r="O1166" i="1" a="1"/>
  <c r="O1166" i="1" s="1"/>
  <c r="N1166" i="1"/>
  <c r="M1166" i="1"/>
  <c r="O1165" i="1"/>
  <c r="O1165" i="1" a="1"/>
  <c r="N1165" i="1"/>
  <c r="M1165" i="1"/>
  <c r="O1164" i="1" a="1"/>
  <c r="O1164" i="1" s="1"/>
  <c r="N1164" i="1"/>
  <c r="M1164" i="1"/>
  <c r="O1163" i="1" a="1"/>
  <c r="O1163" i="1" s="1"/>
  <c r="N1163" i="1"/>
  <c r="M1163" i="1"/>
  <c r="O1162" i="1"/>
  <c r="O1162" i="1" a="1"/>
  <c r="N1162" i="1"/>
  <c r="M1162" i="1"/>
  <c r="O1161" i="1"/>
  <c r="O1161" i="1" a="1"/>
  <c r="N1161" i="1"/>
  <c r="M1161" i="1"/>
  <c r="O1160" i="1" a="1"/>
  <c r="O1160" i="1" s="1"/>
  <c r="N1160" i="1"/>
  <c r="M1160" i="1"/>
  <c r="O1159" i="1" a="1"/>
  <c r="O1159" i="1" s="1"/>
  <c r="N1159" i="1"/>
  <c r="M1159" i="1"/>
  <c r="O1158" i="1" a="1"/>
  <c r="O1158" i="1" s="1"/>
  <c r="N1158" i="1"/>
  <c r="M1158" i="1"/>
  <c r="O1157" i="1"/>
  <c r="O1157" i="1" a="1"/>
  <c r="N1157" i="1"/>
  <c r="M1157" i="1"/>
  <c r="O1156" i="1" a="1"/>
  <c r="O1156" i="1" s="1"/>
  <c r="N1156" i="1"/>
  <c r="M1156" i="1"/>
  <c r="O1155" i="1"/>
  <c r="O1155" i="1" a="1"/>
  <c r="N1155" i="1"/>
  <c r="M1155" i="1"/>
  <c r="O1154" i="1"/>
  <c r="O1154" i="1" a="1"/>
  <c r="N1154" i="1"/>
  <c r="M1154" i="1"/>
  <c r="O1153" i="1" a="1"/>
  <c r="O1153" i="1" s="1"/>
  <c r="N1153" i="1"/>
  <c r="M1153" i="1"/>
  <c r="O1152" i="1" a="1"/>
  <c r="O1152" i="1" s="1"/>
  <c r="N1152" i="1"/>
  <c r="M1152" i="1"/>
  <c r="O1151" i="1" a="1"/>
  <c r="O1151" i="1" s="1"/>
  <c r="N1151" i="1"/>
  <c r="M1151" i="1"/>
  <c r="O1150" i="1" a="1"/>
  <c r="O1150" i="1" s="1"/>
  <c r="N1150" i="1"/>
  <c r="M1150" i="1"/>
  <c r="O1149" i="1" a="1"/>
  <c r="O1149" i="1" s="1"/>
  <c r="N1149" i="1"/>
  <c r="M1149" i="1"/>
  <c r="O1148" i="1"/>
  <c r="O1148" i="1" a="1"/>
  <c r="N1148" i="1"/>
  <c r="M1148" i="1"/>
  <c r="O1147" i="1"/>
  <c r="O1147" i="1" a="1"/>
  <c r="N1147" i="1"/>
  <c r="M1147" i="1"/>
  <c r="O1146" i="1" a="1"/>
  <c r="O1146" i="1" s="1"/>
  <c r="N1146" i="1"/>
  <c r="M1146" i="1"/>
  <c r="O1145" i="1" a="1"/>
  <c r="O1145" i="1" s="1"/>
  <c r="N1145" i="1"/>
  <c r="M1145" i="1"/>
  <c r="O1144" i="1" a="1"/>
  <c r="O1144" i="1" s="1"/>
  <c r="N1144" i="1"/>
  <c r="M1144" i="1"/>
  <c r="O1143" i="1" a="1"/>
  <c r="O1143" i="1" s="1"/>
  <c r="N1143" i="1"/>
  <c r="M1143" i="1"/>
  <c r="O1142" i="1"/>
  <c r="O1142" i="1" a="1"/>
  <c r="N1142" i="1"/>
  <c r="M1142" i="1"/>
  <c r="O1141" i="1"/>
  <c r="O1141" i="1" a="1"/>
  <c r="N1141" i="1"/>
  <c r="M1141" i="1"/>
  <c r="O1140" i="1"/>
  <c r="O1140" i="1" a="1"/>
  <c r="N1140" i="1"/>
  <c r="M1140" i="1"/>
  <c r="O1139" i="1" a="1"/>
  <c r="O1139" i="1" s="1"/>
  <c r="N1139" i="1"/>
  <c r="M1139" i="1"/>
  <c r="O1138" i="1" a="1"/>
  <c r="O1138" i="1" s="1"/>
  <c r="N1138" i="1"/>
  <c r="M1138" i="1"/>
  <c r="O1137" i="1" a="1"/>
  <c r="O1137" i="1" s="1"/>
  <c r="N1137" i="1"/>
  <c r="M1137" i="1"/>
  <c r="O1136" i="1" a="1"/>
  <c r="O1136" i="1" s="1"/>
  <c r="N1136" i="1"/>
  <c r="M1136" i="1"/>
  <c r="O1135" i="1" a="1"/>
  <c r="O1135" i="1" s="1"/>
  <c r="N1135" i="1"/>
  <c r="M1135" i="1"/>
  <c r="O1134" i="1"/>
  <c r="O1134" i="1" a="1"/>
  <c r="N1134" i="1"/>
  <c r="M1134" i="1"/>
  <c r="O1133" i="1"/>
  <c r="O1133" i="1" a="1"/>
  <c r="N1133" i="1"/>
  <c r="M1133" i="1"/>
  <c r="O1132" i="1" a="1"/>
  <c r="O1132" i="1" s="1"/>
  <c r="N1132" i="1"/>
  <c r="M1132" i="1"/>
  <c r="O1131" i="1" a="1"/>
  <c r="O1131" i="1" s="1"/>
  <c r="N1131" i="1"/>
  <c r="M1131" i="1"/>
  <c r="O1130" i="1"/>
  <c r="O1130" i="1" a="1"/>
  <c r="N1130" i="1"/>
  <c r="M1130" i="1"/>
  <c r="O1129" i="1" a="1"/>
  <c r="O1129" i="1" s="1"/>
  <c r="N1129" i="1"/>
  <c r="M1129" i="1"/>
  <c r="O1128" i="1" a="1"/>
  <c r="O1128" i="1" s="1"/>
  <c r="N1128" i="1"/>
  <c r="M1128" i="1"/>
  <c r="O1127" i="1"/>
  <c r="O1127" i="1" a="1"/>
  <c r="N1127" i="1"/>
  <c r="M1127" i="1"/>
  <c r="O1126" i="1"/>
  <c r="O1126" i="1" a="1"/>
  <c r="N1126" i="1"/>
  <c r="M1126" i="1"/>
  <c r="O1125" i="1" a="1"/>
  <c r="O1125" i="1" s="1"/>
  <c r="N1125" i="1"/>
  <c r="M1125" i="1"/>
  <c r="O1124" i="1" a="1"/>
  <c r="O1124" i="1" s="1"/>
  <c r="N1124" i="1"/>
  <c r="M1124" i="1"/>
  <c r="O1123" i="1" a="1"/>
  <c r="O1123" i="1" s="1"/>
  <c r="N1123" i="1"/>
  <c r="M1123" i="1"/>
  <c r="O1122" i="1" a="1"/>
  <c r="O1122" i="1" s="1"/>
  <c r="N1122" i="1"/>
  <c r="M1122" i="1"/>
  <c r="O1121" i="1" a="1"/>
  <c r="O1121" i="1" s="1"/>
  <c r="N1121" i="1"/>
  <c r="M1121" i="1"/>
  <c r="O1120" i="1"/>
  <c r="O1120" i="1" a="1"/>
  <c r="N1120" i="1"/>
  <c r="M1120" i="1"/>
  <c r="O1119" i="1"/>
  <c r="O1119" i="1" a="1"/>
  <c r="N1119" i="1"/>
  <c r="M1119" i="1"/>
  <c r="O1118" i="1" a="1"/>
  <c r="O1118" i="1" s="1"/>
  <c r="N1118" i="1"/>
  <c r="M1118" i="1"/>
  <c r="O1117" i="1" a="1"/>
  <c r="O1117" i="1" s="1"/>
  <c r="N1117" i="1"/>
  <c r="M1117" i="1"/>
  <c r="O1116" i="1" a="1"/>
  <c r="O1116" i="1" s="1"/>
  <c r="N1116" i="1"/>
  <c r="M1116" i="1"/>
  <c r="O1115" i="1"/>
  <c r="O1115" i="1" a="1"/>
  <c r="N1115" i="1"/>
  <c r="M1115" i="1"/>
  <c r="O1114" i="1"/>
  <c r="O1114" i="1" a="1"/>
  <c r="N1114" i="1"/>
  <c r="M1114" i="1"/>
  <c r="O1113" i="1"/>
  <c r="O1113" i="1" a="1"/>
  <c r="N1113" i="1"/>
  <c r="M1113" i="1"/>
  <c r="O1112" i="1"/>
  <c r="O1112" i="1" a="1"/>
  <c r="N1112" i="1"/>
  <c r="M1112" i="1"/>
  <c r="O1111" i="1" a="1"/>
  <c r="O1111" i="1" s="1"/>
  <c r="N1111" i="1"/>
  <c r="M1111" i="1"/>
  <c r="O1110" i="1" a="1"/>
  <c r="O1110" i="1" s="1"/>
  <c r="N1110" i="1"/>
  <c r="M1110" i="1"/>
  <c r="O1109" i="1" a="1"/>
  <c r="O1109" i="1" s="1"/>
  <c r="N1109" i="1"/>
  <c r="M1109" i="1"/>
  <c r="O1108" i="1" a="1"/>
  <c r="O1108" i="1" s="1"/>
  <c r="N1108" i="1"/>
  <c r="M1108" i="1"/>
  <c r="O1107" i="1" a="1"/>
  <c r="O1107" i="1" s="1"/>
  <c r="N1107" i="1"/>
  <c r="M1107" i="1"/>
  <c r="O1106" i="1"/>
  <c r="O1106" i="1" a="1"/>
  <c r="N1106" i="1"/>
  <c r="M1106" i="1"/>
  <c r="O1105" i="1"/>
  <c r="O1105" i="1" a="1"/>
  <c r="N1105" i="1"/>
  <c r="M1105" i="1"/>
  <c r="O1104" i="1" a="1"/>
  <c r="O1104" i="1" s="1"/>
  <c r="N1104" i="1"/>
  <c r="M1104" i="1"/>
  <c r="O1103" i="1" a="1"/>
  <c r="O1103" i="1" s="1"/>
  <c r="N1103" i="1"/>
  <c r="M1103" i="1"/>
  <c r="O1102" i="1" a="1"/>
  <c r="O1102" i="1" s="1"/>
  <c r="N1102" i="1"/>
  <c r="M1102" i="1"/>
  <c r="O1101" i="1" a="1"/>
  <c r="O1101" i="1" s="1"/>
  <c r="N1101" i="1"/>
  <c r="M1101" i="1"/>
  <c r="O1100" i="1" a="1"/>
  <c r="O1100" i="1" s="1"/>
  <c r="N1100" i="1"/>
  <c r="M1100" i="1"/>
  <c r="O1099" i="1"/>
  <c r="O1099" i="1" a="1"/>
  <c r="N1099" i="1"/>
  <c r="M1099" i="1"/>
  <c r="O1098" i="1"/>
  <c r="O1098" i="1" a="1"/>
  <c r="N1098" i="1"/>
  <c r="M1098" i="1"/>
  <c r="O1097" i="1" a="1"/>
  <c r="O1097" i="1" s="1"/>
  <c r="N1097" i="1"/>
  <c r="M1097" i="1"/>
  <c r="O1096" i="1" a="1"/>
  <c r="O1096" i="1" s="1"/>
  <c r="N1096" i="1"/>
  <c r="M1096" i="1"/>
  <c r="O1095" i="1" a="1"/>
  <c r="O1095" i="1" s="1"/>
  <c r="N1095" i="1"/>
  <c r="M1095" i="1"/>
  <c r="O1094" i="1"/>
  <c r="O1094" i="1" a="1"/>
  <c r="N1094" i="1"/>
  <c r="M1094" i="1"/>
  <c r="O1093" i="1" a="1"/>
  <c r="O1093" i="1" s="1"/>
  <c r="N1093" i="1"/>
  <c r="M1093" i="1"/>
  <c r="O1092" i="1"/>
  <c r="O1092" i="1" a="1"/>
  <c r="N1092" i="1"/>
  <c r="M1092" i="1"/>
  <c r="O1091" i="1"/>
  <c r="O1091" i="1" a="1"/>
  <c r="N1091" i="1"/>
  <c r="M1091" i="1"/>
  <c r="O1090" i="1" a="1"/>
  <c r="O1090" i="1" s="1"/>
  <c r="N1090" i="1"/>
  <c r="M1090" i="1"/>
  <c r="O1089" i="1" a="1"/>
  <c r="O1089" i="1" s="1"/>
  <c r="N1089" i="1"/>
  <c r="M1089" i="1"/>
  <c r="O1088" i="1" a="1"/>
  <c r="O1088" i="1" s="1"/>
  <c r="N1088" i="1"/>
  <c r="M1088" i="1"/>
  <c r="O1087" i="1" a="1"/>
  <c r="O1087" i="1" s="1"/>
  <c r="N1087" i="1"/>
  <c r="M1087" i="1"/>
  <c r="O1086" i="1" a="1"/>
  <c r="O1086" i="1" s="1"/>
  <c r="N1086" i="1"/>
  <c r="M1086" i="1"/>
  <c r="O1085" i="1"/>
  <c r="O1085" i="1" a="1"/>
  <c r="N1085" i="1"/>
  <c r="M1085" i="1"/>
  <c r="O1084" i="1"/>
  <c r="O1084" i="1" a="1"/>
  <c r="N1084" i="1"/>
  <c r="M1084" i="1"/>
  <c r="O1083" i="1" a="1"/>
  <c r="O1083" i="1" s="1"/>
  <c r="N1083" i="1"/>
  <c r="M1083" i="1"/>
  <c r="O1082" i="1" a="1"/>
  <c r="O1082" i="1" s="1"/>
  <c r="N1082" i="1"/>
  <c r="M1082" i="1"/>
  <c r="O1081" i="1" a="1"/>
  <c r="O1081" i="1" s="1"/>
  <c r="N1081" i="1"/>
  <c r="M1081" i="1"/>
  <c r="O1080" i="1" a="1"/>
  <c r="O1080" i="1" s="1"/>
  <c r="N1080" i="1"/>
  <c r="M1080" i="1"/>
  <c r="O1079" i="1"/>
  <c r="O1079" i="1" a="1"/>
  <c r="N1079" i="1"/>
  <c r="M1079" i="1"/>
  <c r="O1078" i="1"/>
  <c r="O1078" i="1" a="1"/>
  <c r="N1078" i="1"/>
  <c r="M1078" i="1"/>
  <c r="O1077" i="1"/>
  <c r="O1077" i="1" a="1"/>
  <c r="N1077" i="1"/>
  <c r="M1077" i="1"/>
  <c r="O1076" i="1" a="1"/>
  <c r="O1076" i="1" s="1"/>
  <c r="N1076" i="1"/>
  <c r="M1076" i="1"/>
  <c r="O1075" i="1" a="1"/>
  <c r="O1075" i="1" s="1"/>
  <c r="N1075" i="1"/>
  <c r="M1075" i="1"/>
  <c r="O1074" i="1" a="1"/>
  <c r="O1074" i="1" s="1"/>
  <c r="N1074" i="1"/>
  <c r="M1074" i="1"/>
  <c r="O1073" i="1"/>
  <c r="O1073" i="1" a="1"/>
  <c r="N1073" i="1"/>
  <c r="M1073" i="1"/>
  <c r="O1072" i="1" a="1"/>
  <c r="O1072" i="1" s="1"/>
  <c r="N1072" i="1"/>
  <c r="M1072" i="1"/>
  <c r="O1071" i="1"/>
  <c r="O1071" i="1" a="1"/>
  <c r="N1071" i="1"/>
  <c r="M1071" i="1"/>
  <c r="O1070" i="1"/>
  <c r="O1070" i="1" a="1"/>
  <c r="N1070" i="1"/>
  <c r="M1070" i="1"/>
  <c r="O1069" i="1" a="1"/>
  <c r="O1069" i="1" s="1"/>
  <c r="N1069" i="1"/>
  <c r="M1069" i="1"/>
  <c r="O1068" i="1" a="1"/>
  <c r="O1068" i="1" s="1"/>
  <c r="N1068" i="1"/>
  <c r="M1068" i="1"/>
  <c r="O1067" i="1" a="1"/>
  <c r="O1067" i="1" s="1"/>
  <c r="N1067" i="1"/>
  <c r="M1067" i="1"/>
  <c r="O1066" i="1" a="1"/>
  <c r="O1066" i="1" s="1"/>
  <c r="N1066" i="1"/>
  <c r="M1066" i="1"/>
  <c r="O1065" i="1" a="1"/>
  <c r="O1065" i="1" s="1"/>
  <c r="N1065" i="1"/>
  <c r="M1065" i="1"/>
  <c r="O1064" i="1"/>
  <c r="O1064" i="1" a="1"/>
  <c r="N1064" i="1"/>
  <c r="M1064" i="1"/>
  <c r="O1063" i="1"/>
  <c r="O1063" i="1" a="1"/>
  <c r="N1063" i="1"/>
  <c r="M1063" i="1"/>
  <c r="O1062" i="1" a="1"/>
  <c r="O1062" i="1" s="1"/>
  <c r="N1062" i="1"/>
  <c r="M1062" i="1"/>
  <c r="O1061" i="1" a="1"/>
  <c r="O1061" i="1" s="1"/>
  <c r="N1061" i="1"/>
  <c r="M1061" i="1"/>
  <c r="O1060" i="1" a="1"/>
  <c r="O1060" i="1" s="1"/>
  <c r="N1060" i="1"/>
  <c r="M1060" i="1"/>
  <c r="O1059" i="1" a="1"/>
  <c r="O1059" i="1" s="1"/>
  <c r="N1059" i="1"/>
  <c r="M1059" i="1"/>
  <c r="O1058" i="1" a="1"/>
  <c r="O1058" i="1" s="1"/>
  <c r="N1058" i="1"/>
  <c r="M1058" i="1"/>
  <c r="O1057" i="1" a="1"/>
  <c r="O1057" i="1" s="1"/>
  <c r="N1057" i="1"/>
  <c r="M1057" i="1"/>
  <c r="O1056" i="1"/>
  <c r="O1056" i="1" a="1"/>
  <c r="N1056" i="1"/>
  <c r="M1056" i="1"/>
  <c r="O1055" i="1" a="1"/>
  <c r="O1055" i="1" s="1"/>
  <c r="N1055" i="1"/>
  <c r="M1055" i="1"/>
  <c r="O1054" i="1" a="1"/>
  <c r="O1054" i="1" s="1"/>
  <c r="N1054" i="1"/>
  <c r="M1054" i="1"/>
  <c r="O1053" i="1" a="1"/>
  <c r="O1053" i="1" s="1"/>
  <c r="N1053" i="1"/>
  <c r="M1053" i="1"/>
  <c r="O1052" i="1" a="1"/>
  <c r="O1052" i="1" s="1"/>
  <c r="N1052" i="1"/>
  <c r="M1052" i="1"/>
  <c r="O1051" i="1" a="1"/>
  <c r="O1051" i="1" s="1"/>
  <c r="N1051" i="1"/>
  <c r="M1051" i="1"/>
  <c r="O1050" i="1" a="1"/>
  <c r="O1050" i="1" s="1"/>
  <c r="N1050" i="1"/>
  <c r="M1050" i="1"/>
  <c r="O1049" i="1"/>
  <c r="O1049" i="1" a="1"/>
  <c r="N1049" i="1"/>
  <c r="M1049" i="1"/>
  <c r="O1048" i="1" a="1"/>
  <c r="O1048" i="1" s="1"/>
  <c r="N1048" i="1"/>
  <c r="M1048" i="1"/>
  <c r="O1047" i="1" a="1"/>
  <c r="O1047" i="1" s="1"/>
  <c r="N1047" i="1"/>
  <c r="M1047" i="1"/>
  <c r="O1046" i="1" a="1"/>
  <c r="O1046" i="1" s="1"/>
  <c r="N1046" i="1"/>
  <c r="M1046" i="1"/>
  <c r="O1045" i="1" a="1"/>
  <c r="O1045" i="1" s="1"/>
  <c r="N1045" i="1"/>
  <c r="M1045" i="1"/>
  <c r="O1044" i="1" a="1"/>
  <c r="O1044" i="1" s="1"/>
  <c r="N1044" i="1"/>
  <c r="M1044" i="1"/>
  <c r="O1043" i="1" a="1"/>
  <c r="O1043" i="1" s="1"/>
  <c r="N1043" i="1"/>
  <c r="M1043" i="1"/>
  <c r="O1042" i="1"/>
  <c r="O1042" i="1" a="1"/>
  <c r="N1042" i="1"/>
  <c r="M1042" i="1"/>
  <c r="O1041" i="1" a="1"/>
  <c r="O1041" i="1" s="1"/>
  <c r="N1041" i="1"/>
  <c r="M1041" i="1"/>
  <c r="O1040" i="1" a="1"/>
  <c r="O1040" i="1" s="1"/>
  <c r="N1040" i="1"/>
  <c r="M1040" i="1"/>
  <c r="O1039" i="1" a="1"/>
  <c r="O1039" i="1" s="1"/>
  <c r="N1039" i="1"/>
  <c r="M1039" i="1"/>
  <c r="O1038" i="1" a="1"/>
  <c r="O1038" i="1" s="1"/>
  <c r="N1038" i="1"/>
  <c r="M1038" i="1"/>
  <c r="O1037" i="1" a="1"/>
  <c r="O1037" i="1" s="1"/>
  <c r="N1037" i="1"/>
  <c r="M1037" i="1"/>
  <c r="O1036" i="1" a="1"/>
  <c r="O1036" i="1" s="1"/>
  <c r="N1036" i="1"/>
  <c r="M1036" i="1"/>
  <c r="O1035" i="1"/>
  <c r="O1035" i="1" a="1"/>
  <c r="N1035" i="1"/>
  <c r="M1035" i="1"/>
  <c r="O1034" i="1" a="1"/>
  <c r="O1034" i="1" s="1"/>
  <c r="N1034" i="1"/>
  <c r="M1034" i="1"/>
  <c r="O1033" i="1" a="1"/>
  <c r="O1033" i="1" s="1"/>
  <c r="N1033" i="1"/>
  <c r="M1033" i="1"/>
  <c r="O1032" i="1" a="1"/>
  <c r="O1032" i="1" s="1"/>
  <c r="N1032" i="1"/>
  <c r="M1032" i="1"/>
  <c r="O1031" i="1" a="1"/>
  <c r="O1031" i="1" s="1"/>
  <c r="N1031" i="1"/>
  <c r="M1031" i="1"/>
  <c r="O1030" i="1" a="1"/>
  <c r="O1030" i="1" s="1"/>
  <c r="N1030" i="1"/>
  <c r="M1030" i="1"/>
  <c r="O1029" i="1" a="1"/>
  <c r="O1029" i="1" s="1"/>
  <c r="N1029" i="1"/>
  <c r="M1029" i="1"/>
  <c r="O1028" i="1"/>
  <c r="O1028" i="1" a="1"/>
  <c r="N1028" i="1"/>
  <c r="M1028" i="1"/>
  <c r="O1027" i="1" a="1"/>
  <c r="O1027" i="1" s="1"/>
  <c r="N1027" i="1"/>
  <c r="M1027" i="1"/>
  <c r="O1026" i="1" a="1"/>
  <c r="O1026" i="1" s="1"/>
  <c r="N1026" i="1"/>
  <c r="M1026" i="1"/>
  <c r="O1025" i="1"/>
  <c r="O1025" i="1" a="1"/>
  <c r="N1025" i="1"/>
  <c r="M1025" i="1"/>
  <c r="O1024" i="1" a="1"/>
  <c r="O1024" i="1" s="1"/>
  <c r="N1024" i="1"/>
  <c r="M1024" i="1"/>
  <c r="O1023" i="1" a="1"/>
  <c r="O1023" i="1" s="1"/>
  <c r="N1023" i="1"/>
  <c r="M1023" i="1"/>
  <c r="O1022" i="1" a="1"/>
  <c r="O1022" i="1" s="1"/>
  <c r="N1022" i="1"/>
  <c r="M1022" i="1"/>
  <c r="O1021" i="1"/>
  <c r="O1021" i="1" a="1"/>
  <c r="N1021" i="1"/>
  <c r="M1021" i="1"/>
  <c r="O1020" i="1" a="1"/>
  <c r="O1020" i="1" s="1"/>
  <c r="N1020" i="1"/>
  <c r="M1020" i="1"/>
  <c r="O1019" i="1" a="1"/>
  <c r="O1019" i="1" s="1"/>
  <c r="N1019" i="1"/>
  <c r="M1019" i="1"/>
  <c r="O1018" i="1" a="1"/>
  <c r="O1018" i="1" s="1"/>
  <c r="N1018" i="1"/>
  <c r="M1018" i="1"/>
  <c r="O1017" i="1" a="1"/>
  <c r="O1017" i="1" s="1"/>
  <c r="N1017" i="1"/>
  <c r="M1017" i="1"/>
  <c r="O1016" i="1" a="1"/>
  <c r="O1016" i="1" s="1"/>
  <c r="N1016" i="1"/>
  <c r="M1016" i="1"/>
  <c r="O1015" i="1" a="1"/>
  <c r="O1015" i="1" s="1"/>
  <c r="N1015" i="1"/>
  <c r="M1015" i="1"/>
  <c r="O1014" i="1"/>
  <c r="O1014" i="1" a="1"/>
  <c r="N1014" i="1"/>
  <c r="M1014" i="1"/>
  <c r="O1013" i="1" a="1"/>
  <c r="O1013" i="1" s="1"/>
  <c r="N1013" i="1"/>
  <c r="M1013" i="1"/>
  <c r="O1012" i="1" a="1"/>
  <c r="O1012" i="1" s="1"/>
  <c r="N1012" i="1"/>
  <c r="M1012" i="1"/>
  <c r="O1011" i="1" a="1"/>
  <c r="O1011" i="1" s="1"/>
  <c r="N1011" i="1"/>
  <c r="M1011" i="1"/>
  <c r="O1010" i="1" a="1"/>
  <c r="O1010" i="1" s="1"/>
  <c r="N1010" i="1"/>
  <c r="M1010" i="1"/>
  <c r="O1009" i="1" a="1"/>
  <c r="O1009" i="1" s="1"/>
  <c r="N1009" i="1"/>
  <c r="M1009" i="1"/>
  <c r="O1008" i="1" a="1"/>
  <c r="O1008" i="1" s="1"/>
  <c r="N1008" i="1"/>
  <c r="M1008" i="1"/>
  <c r="O1007" i="1"/>
  <c r="O1007" i="1" a="1"/>
  <c r="N1007" i="1"/>
  <c r="M1007" i="1"/>
  <c r="O1006" i="1" a="1"/>
  <c r="O1006" i="1" s="1"/>
  <c r="N1006" i="1"/>
  <c r="M1006" i="1"/>
  <c r="O1005" i="1" a="1"/>
  <c r="O1005" i="1" s="1"/>
  <c r="N1005" i="1"/>
  <c r="M1005" i="1"/>
  <c r="O1004" i="1" a="1"/>
  <c r="O1004" i="1" s="1"/>
  <c r="N1004" i="1"/>
  <c r="M1004" i="1"/>
  <c r="O1003" i="1" a="1"/>
  <c r="O1003" i="1" s="1"/>
  <c r="N1003" i="1"/>
  <c r="M1003" i="1"/>
  <c r="O1002" i="1"/>
  <c r="O1002" i="1" a="1"/>
  <c r="N1002" i="1"/>
  <c r="M1002" i="1"/>
  <c r="O1001" i="1" a="1"/>
  <c r="O1001" i="1" s="1"/>
  <c r="N1001" i="1"/>
  <c r="M1001" i="1"/>
  <c r="O1000" i="1"/>
  <c r="O1000" i="1" a="1"/>
  <c r="N1000" i="1"/>
  <c r="M1000" i="1"/>
  <c r="O999" i="1" a="1"/>
  <c r="O999" i="1" s="1"/>
  <c r="N999" i="1"/>
  <c r="M999" i="1"/>
  <c r="O998" i="1" a="1"/>
  <c r="O998" i="1" s="1"/>
  <c r="N998" i="1"/>
  <c r="M998" i="1"/>
  <c r="O997" i="1" a="1"/>
  <c r="O997" i="1" s="1"/>
  <c r="N997" i="1"/>
  <c r="M997" i="1"/>
  <c r="O996" i="1" a="1"/>
  <c r="O996" i="1" s="1"/>
  <c r="N996" i="1"/>
  <c r="M996" i="1"/>
  <c r="O995" i="1"/>
  <c r="O995" i="1" a="1"/>
  <c r="N995" i="1"/>
  <c r="M995" i="1"/>
  <c r="O994" i="1" a="1"/>
  <c r="O994" i="1" s="1"/>
  <c r="N994" i="1"/>
  <c r="M994" i="1"/>
  <c r="O993" i="1"/>
  <c r="O993" i="1" a="1"/>
  <c r="N993" i="1"/>
  <c r="M993" i="1"/>
  <c r="O992" i="1" a="1"/>
  <c r="O992" i="1" s="1"/>
  <c r="N992" i="1"/>
  <c r="M992" i="1"/>
  <c r="O991" i="1" a="1"/>
  <c r="O991" i="1" s="1"/>
  <c r="N991" i="1"/>
  <c r="M991" i="1"/>
  <c r="O990" i="1" a="1"/>
  <c r="O990" i="1" s="1"/>
  <c r="N990" i="1"/>
  <c r="M990" i="1"/>
  <c r="O989" i="1" a="1"/>
  <c r="O989" i="1" s="1"/>
  <c r="N989" i="1"/>
  <c r="M989" i="1"/>
  <c r="O988" i="1" a="1"/>
  <c r="O988" i="1" s="1"/>
  <c r="N988" i="1"/>
  <c r="M988" i="1"/>
  <c r="O987" i="1" a="1"/>
  <c r="O987" i="1" s="1"/>
  <c r="N987" i="1"/>
  <c r="M987" i="1"/>
  <c r="O986" i="1"/>
  <c r="O986" i="1" a="1"/>
  <c r="N986" i="1"/>
  <c r="M986" i="1"/>
  <c r="O985" i="1" a="1"/>
  <c r="O985" i="1" s="1"/>
  <c r="N985" i="1"/>
  <c r="M985" i="1"/>
  <c r="O984" i="1" a="1"/>
  <c r="O984" i="1" s="1"/>
  <c r="N984" i="1"/>
  <c r="M984" i="1"/>
  <c r="O983" i="1" a="1"/>
  <c r="O983" i="1" s="1"/>
  <c r="N983" i="1"/>
  <c r="M983" i="1"/>
  <c r="O982" i="1" a="1"/>
  <c r="O982" i="1" s="1"/>
  <c r="N982" i="1"/>
  <c r="M982" i="1"/>
  <c r="O981" i="1"/>
  <c r="O981" i="1" a="1"/>
  <c r="N981" i="1"/>
  <c r="M981" i="1"/>
  <c r="O980" i="1" a="1"/>
  <c r="O980" i="1" s="1"/>
  <c r="N980" i="1"/>
  <c r="M980" i="1"/>
  <c r="O979" i="1"/>
  <c r="O979" i="1" a="1"/>
  <c r="N979" i="1"/>
  <c r="M979" i="1"/>
  <c r="O978" i="1" a="1"/>
  <c r="O978" i="1" s="1"/>
  <c r="N978" i="1"/>
  <c r="M978" i="1"/>
  <c r="O977" i="1" a="1"/>
  <c r="O977" i="1" s="1"/>
  <c r="N977" i="1"/>
  <c r="M977" i="1"/>
  <c r="O976" i="1"/>
  <c r="O976" i="1" a="1"/>
  <c r="N976" i="1"/>
  <c r="M976" i="1"/>
  <c r="O975" i="1" a="1"/>
  <c r="O975" i="1" s="1"/>
  <c r="N975" i="1"/>
  <c r="M975" i="1"/>
  <c r="O974" i="1" a="1"/>
  <c r="O974" i="1" s="1"/>
  <c r="N974" i="1"/>
  <c r="M974" i="1"/>
  <c r="O973" i="1" a="1"/>
  <c r="O973" i="1" s="1"/>
  <c r="N973" i="1"/>
  <c r="M973" i="1"/>
  <c r="O972" i="1"/>
  <c r="O972" i="1" a="1"/>
  <c r="N972" i="1"/>
  <c r="M972" i="1"/>
  <c r="O971" i="1" a="1"/>
  <c r="O971" i="1" s="1"/>
  <c r="N971" i="1"/>
  <c r="M971" i="1"/>
  <c r="O970" i="1" a="1"/>
  <c r="O970" i="1" s="1"/>
  <c r="N970" i="1"/>
  <c r="M970" i="1"/>
  <c r="O969" i="1" a="1"/>
  <c r="O969" i="1" s="1"/>
  <c r="N969" i="1"/>
  <c r="M969" i="1"/>
  <c r="O968" i="1"/>
  <c r="O968" i="1" a="1"/>
  <c r="N968" i="1"/>
  <c r="M968" i="1"/>
  <c r="O967" i="1" a="1"/>
  <c r="O967" i="1" s="1"/>
  <c r="N967" i="1"/>
  <c r="M967" i="1"/>
  <c r="O966" i="1" a="1"/>
  <c r="O966" i="1" s="1"/>
  <c r="N966" i="1"/>
  <c r="M966" i="1"/>
  <c r="O965" i="1"/>
  <c r="O965" i="1" a="1"/>
  <c r="N965" i="1"/>
  <c r="M965" i="1"/>
  <c r="O964" i="1" a="1"/>
  <c r="O964" i="1" s="1"/>
  <c r="N964" i="1"/>
  <c r="M964" i="1"/>
  <c r="O963" i="1" a="1"/>
  <c r="O963" i="1" s="1"/>
  <c r="N963" i="1"/>
  <c r="M963" i="1"/>
  <c r="O962" i="1" a="1"/>
  <c r="O962" i="1" s="1"/>
  <c r="N962" i="1"/>
  <c r="M962" i="1"/>
  <c r="O961" i="1" a="1"/>
  <c r="O961" i="1" s="1"/>
  <c r="N961" i="1"/>
  <c r="M961" i="1"/>
  <c r="O960" i="1"/>
  <c r="O960" i="1" a="1"/>
  <c r="N960" i="1"/>
  <c r="M960" i="1"/>
  <c r="O959" i="1" a="1"/>
  <c r="O959" i="1" s="1"/>
  <c r="N959" i="1"/>
  <c r="M959" i="1"/>
  <c r="O958" i="1"/>
  <c r="O958" i="1" a="1"/>
  <c r="N958" i="1"/>
  <c r="M958" i="1"/>
  <c r="O957" i="1" a="1"/>
  <c r="O957" i="1" s="1"/>
  <c r="N957" i="1"/>
  <c r="M957" i="1"/>
  <c r="O956" i="1" a="1"/>
  <c r="O956" i="1" s="1"/>
  <c r="N956" i="1"/>
  <c r="M956" i="1"/>
  <c r="O955" i="1" a="1"/>
  <c r="O955" i="1" s="1"/>
  <c r="N955" i="1"/>
  <c r="M955" i="1"/>
  <c r="O954" i="1" a="1"/>
  <c r="O954" i="1" s="1"/>
  <c r="N954" i="1"/>
  <c r="M954" i="1"/>
  <c r="O953" i="1" a="1"/>
  <c r="O953" i="1" s="1"/>
  <c r="N953" i="1"/>
  <c r="M953" i="1"/>
  <c r="O952" i="1" a="1"/>
  <c r="O952" i="1" s="1"/>
  <c r="N952" i="1"/>
  <c r="M952" i="1"/>
  <c r="O951" i="1"/>
  <c r="O951" i="1" a="1"/>
  <c r="N951" i="1"/>
  <c r="M951" i="1"/>
  <c r="O950" i="1" a="1"/>
  <c r="O950" i="1" s="1"/>
  <c r="N950" i="1"/>
  <c r="M950" i="1"/>
  <c r="O949" i="1" a="1"/>
  <c r="O949" i="1" s="1"/>
  <c r="N949" i="1"/>
  <c r="M949" i="1"/>
  <c r="O948" i="1" a="1"/>
  <c r="O948" i="1" s="1"/>
  <c r="N948" i="1"/>
  <c r="M948" i="1"/>
  <c r="O947" i="1" a="1"/>
  <c r="O947" i="1" s="1"/>
  <c r="N947" i="1"/>
  <c r="M947" i="1"/>
  <c r="O946" i="1" a="1"/>
  <c r="O946" i="1" s="1"/>
  <c r="N946" i="1"/>
  <c r="M946" i="1"/>
  <c r="O945" i="1" a="1"/>
  <c r="O945" i="1" s="1"/>
  <c r="N945" i="1"/>
  <c r="M945" i="1"/>
  <c r="O944" i="1"/>
  <c r="O944" i="1" a="1"/>
  <c r="N944" i="1"/>
  <c r="M944" i="1"/>
  <c r="O943" i="1" a="1"/>
  <c r="O943" i="1" s="1"/>
  <c r="N943" i="1"/>
  <c r="M943" i="1"/>
  <c r="O942" i="1" a="1"/>
  <c r="O942" i="1" s="1"/>
  <c r="N942" i="1"/>
  <c r="M942" i="1"/>
  <c r="O941" i="1" a="1"/>
  <c r="O941" i="1" s="1"/>
  <c r="N941" i="1"/>
  <c r="M941" i="1"/>
  <c r="O940" i="1" a="1"/>
  <c r="O940" i="1" s="1"/>
  <c r="N940" i="1"/>
  <c r="M940" i="1"/>
  <c r="O939" i="1" a="1"/>
  <c r="O939" i="1" s="1"/>
  <c r="N939" i="1"/>
  <c r="M939" i="1"/>
  <c r="O938" i="1" a="1"/>
  <c r="O938" i="1" s="1"/>
  <c r="N938" i="1"/>
  <c r="M938" i="1"/>
  <c r="O937" i="1"/>
  <c r="O937" i="1" a="1"/>
  <c r="N937" i="1"/>
  <c r="M937" i="1"/>
  <c r="O936" i="1" a="1"/>
  <c r="O936" i="1" s="1"/>
  <c r="N936" i="1"/>
  <c r="M936" i="1"/>
  <c r="O935" i="1" a="1"/>
  <c r="O935" i="1" s="1"/>
  <c r="N935" i="1"/>
  <c r="M935" i="1"/>
  <c r="O934" i="1" a="1"/>
  <c r="O934" i="1" s="1"/>
  <c r="N934" i="1"/>
  <c r="M934" i="1"/>
  <c r="O933" i="1"/>
  <c r="O933" i="1" a="1"/>
  <c r="N933" i="1"/>
  <c r="M933" i="1"/>
  <c r="O932" i="1" a="1"/>
  <c r="O932" i="1" s="1"/>
  <c r="N932" i="1"/>
  <c r="M932" i="1"/>
  <c r="O931" i="1" a="1"/>
  <c r="O931" i="1" s="1"/>
  <c r="N931" i="1"/>
  <c r="M931" i="1"/>
  <c r="O930" i="1"/>
  <c r="O930" i="1" a="1"/>
  <c r="N930" i="1"/>
  <c r="M930" i="1"/>
  <c r="O929" i="1" a="1"/>
  <c r="O929" i="1" s="1"/>
  <c r="N929" i="1"/>
  <c r="M929" i="1"/>
  <c r="O928" i="1" a="1"/>
  <c r="O928" i="1" s="1"/>
  <c r="N928" i="1"/>
  <c r="M928" i="1"/>
  <c r="O927" i="1" a="1"/>
  <c r="O927" i="1" s="1"/>
  <c r="N927" i="1"/>
  <c r="M927" i="1"/>
  <c r="O926" i="1" a="1"/>
  <c r="O926" i="1" s="1"/>
  <c r="N926" i="1"/>
  <c r="M926" i="1"/>
  <c r="O925" i="1" a="1"/>
  <c r="O925" i="1" s="1"/>
  <c r="N925" i="1"/>
  <c r="M925" i="1"/>
  <c r="O924" i="1" a="1"/>
  <c r="O924" i="1" s="1"/>
  <c r="N924" i="1"/>
  <c r="M924" i="1"/>
  <c r="O923" i="1"/>
  <c r="O923" i="1" a="1"/>
  <c r="N923" i="1"/>
  <c r="M923" i="1"/>
  <c r="O922" i="1" a="1"/>
  <c r="O922" i="1" s="1"/>
  <c r="N922" i="1"/>
  <c r="M922" i="1"/>
  <c r="O921" i="1" a="1"/>
  <c r="O921" i="1" s="1"/>
  <c r="N921" i="1"/>
  <c r="M921" i="1"/>
  <c r="O920" i="1" a="1"/>
  <c r="O920" i="1" s="1"/>
  <c r="N920" i="1"/>
  <c r="M920" i="1"/>
  <c r="O919" i="1" a="1"/>
  <c r="O919" i="1" s="1"/>
  <c r="N919" i="1"/>
  <c r="M919" i="1"/>
  <c r="O918" i="1" a="1"/>
  <c r="O918" i="1" s="1"/>
  <c r="N918" i="1"/>
  <c r="M918" i="1"/>
  <c r="O917" i="1" a="1"/>
  <c r="O917" i="1" s="1"/>
  <c r="N917" i="1"/>
  <c r="M917" i="1"/>
  <c r="O916" i="1"/>
  <c r="O916" i="1" a="1"/>
  <c r="N916" i="1"/>
  <c r="M916" i="1"/>
  <c r="O915" i="1" a="1"/>
  <c r="O915" i="1" s="1"/>
  <c r="N915" i="1"/>
  <c r="M915" i="1"/>
  <c r="O914" i="1" a="1"/>
  <c r="O914" i="1" s="1"/>
  <c r="N914" i="1"/>
  <c r="M914" i="1"/>
  <c r="O913" i="1" a="1"/>
  <c r="O913" i="1" s="1"/>
  <c r="N913" i="1"/>
  <c r="M913" i="1"/>
  <c r="O912" i="1"/>
  <c r="O912" i="1" a="1"/>
  <c r="N912" i="1"/>
  <c r="M912" i="1"/>
  <c r="O911" i="1" a="1"/>
  <c r="O911" i="1" s="1"/>
  <c r="N911" i="1"/>
  <c r="M911" i="1"/>
  <c r="O910" i="1" a="1"/>
  <c r="O910" i="1" s="1"/>
  <c r="N910" i="1"/>
  <c r="M910" i="1"/>
  <c r="O909" i="1"/>
  <c r="O909" i="1" a="1"/>
  <c r="N909" i="1"/>
  <c r="M909" i="1"/>
  <c r="O908" i="1" a="1"/>
  <c r="O908" i="1" s="1"/>
  <c r="N908" i="1"/>
  <c r="M908" i="1"/>
  <c r="O907" i="1"/>
  <c r="O907" i="1" a="1"/>
  <c r="N907" i="1"/>
  <c r="M907" i="1"/>
  <c r="O906" i="1" a="1"/>
  <c r="O906" i="1" s="1"/>
  <c r="N906" i="1"/>
  <c r="M906" i="1"/>
  <c r="O905" i="1" a="1"/>
  <c r="O905" i="1" s="1"/>
  <c r="N905" i="1"/>
  <c r="M905" i="1"/>
  <c r="O904" i="1"/>
  <c r="O904" i="1" a="1"/>
  <c r="N904" i="1"/>
  <c r="M904" i="1"/>
  <c r="O903" i="1"/>
  <c r="O903" i="1" a="1"/>
  <c r="N903" i="1"/>
  <c r="M903" i="1"/>
  <c r="O902" i="1"/>
  <c r="O902" i="1" a="1"/>
  <c r="N902" i="1"/>
  <c r="M902" i="1"/>
  <c r="O901" i="1" a="1"/>
  <c r="O901" i="1" s="1"/>
  <c r="N901" i="1"/>
  <c r="M901" i="1"/>
  <c r="O900" i="1" a="1"/>
  <c r="O900" i="1" s="1"/>
  <c r="N900" i="1"/>
  <c r="M900" i="1"/>
  <c r="O899" i="1" a="1"/>
  <c r="O899" i="1" s="1"/>
  <c r="N899" i="1"/>
  <c r="M899" i="1"/>
  <c r="O898" i="1" a="1"/>
  <c r="O898" i="1" s="1"/>
  <c r="N898" i="1"/>
  <c r="M898" i="1"/>
  <c r="O897" i="1" a="1"/>
  <c r="O897" i="1" s="1"/>
  <c r="N897" i="1"/>
  <c r="M897" i="1"/>
  <c r="O896" i="1"/>
  <c r="O896" i="1" a="1"/>
  <c r="N896" i="1"/>
  <c r="M896" i="1"/>
  <c r="O895" i="1"/>
  <c r="O895" i="1" a="1"/>
  <c r="N895" i="1"/>
  <c r="M895" i="1"/>
  <c r="O894" i="1" a="1"/>
  <c r="O894" i="1" s="1"/>
  <c r="N894" i="1"/>
  <c r="M894" i="1"/>
  <c r="O893" i="1"/>
  <c r="O893" i="1" a="1"/>
  <c r="N893" i="1"/>
  <c r="M893" i="1"/>
  <c r="O892" i="1" a="1"/>
  <c r="O892" i="1" s="1"/>
  <c r="N892" i="1"/>
  <c r="M892" i="1"/>
  <c r="O891" i="1"/>
  <c r="O891" i="1" a="1"/>
  <c r="N891" i="1"/>
  <c r="M891" i="1"/>
  <c r="O890" i="1"/>
  <c r="O890" i="1" a="1"/>
  <c r="N890" i="1"/>
  <c r="M890" i="1"/>
  <c r="O889" i="1" a="1"/>
  <c r="O889" i="1" s="1"/>
  <c r="N889" i="1"/>
  <c r="M889" i="1"/>
  <c r="O888" i="1"/>
  <c r="O888" i="1" a="1"/>
  <c r="N888" i="1"/>
  <c r="M888" i="1"/>
  <c r="O887" i="1" a="1"/>
  <c r="O887" i="1" s="1"/>
  <c r="N887" i="1"/>
  <c r="M887" i="1"/>
  <c r="O886" i="1" a="1"/>
  <c r="O886" i="1" s="1"/>
  <c r="N886" i="1"/>
  <c r="M886" i="1"/>
  <c r="O885" i="1" a="1"/>
  <c r="O885" i="1" s="1"/>
  <c r="N885" i="1"/>
  <c r="M885" i="1"/>
  <c r="O884" i="1" a="1"/>
  <c r="O884" i="1" s="1"/>
  <c r="N884" i="1"/>
  <c r="M884" i="1"/>
  <c r="O883" i="1" a="1"/>
  <c r="O883" i="1" s="1"/>
  <c r="N883" i="1"/>
  <c r="M883" i="1"/>
  <c r="O882" i="1" a="1"/>
  <c r="O882" i="1" s="1"/>
  <c r="N882" i="1"/>
  <c r="M882" i="1"/>
  <c r="O881" i="1"/>
  <c r="O881" i="1" a="1"/>
  <c r="N881" i="1"/>
  <c r="M881" i="1"/>
  <c r="O880" i="1" a="1"/>
  <c r="O880" i="1" s="1"/>
  <c r="N880" i="1"/>
  <c r="M880" i="1"/>
  <c r="O879" i="1" a="1"/>
  <c r="O879" i="1" s="1"/>
  <c r="N879" i="1"/>
  <c r="M879" i="1"/>
  <c r="O878" i="1"/>
  <c r="O878" i="1" a="1"/>
  <c r="N878" i="1"/>
  <c r="M878" i="1"/>
  <c r="O877" i="1" a="1"/>
  <c r="O877" i="1" s="1"/>
  <c r="N877" i="1"/>
  <c r="M877" i="1"/>
  <c r="O876" i="1" a="1"/>
  <c r="O876" i="1" s="1"/>
  <c r="N876" i="1"/>
  <c r="M876" i="1"/>
  <c r="O875" i="1"/>
  <c r="O875" i="1" a="1"/>
  <c r="N875" i="1"/>
  <c r="M875" i="1"/>
  <c r="O874" i="1"/>
  <c r="O874" i="1" a="1"/>
  <c r="N874" i="1"/>
  <c r="M874" i="1"/>
  <c r="O873" i="1" a="1"/>
  <c r="O873" i="1" s="1"/>
  <c r="N873" i="1"/>
  <c r="M873" i="1"/>
  <c r="O872" i="1" a="1"/>
  <c r="O872" i="1" s="1"/>
  <c r="N872" i="1"/>
  <c r="M872" i="1"/>
  <c r="O871" i="1"/>
  <c r="O871" i="1" a="1"/>
  <c r="N871" i="1"/>
  <c r="M871" i="1"/>
  <c r="O870" i="1" a="1"/>
  <c r="O870" i="1" s="1"/>
  <c r="N870" i="1"/>
  <c r="M870" i="1"/>
  <c r="O869" i="1" a="1"/>
  <c r="O869" i="1" s="1"/>
  <c r="N869" i="1"/>
  <c r="M869" i="1"/>
  <c r="O868" i="1"/>
  <c r="O868" i="1" a="1"/>
  <c r="N868" i="1"/>
  <c r="M868" i="1"/>
  <c r="O867" i="1"/>
  <c r="O867" i="1" a="1"/>
  <c r="N867" i="1"/>
  <c r="M867" i="1"/>
  <c r="O866" i="1" a="1"/>
  <c r="O866" i="1" s="1"/>
  <c r="N866" i="1"/>
  <c r="M866" i="1"/>
  <c r="O865" i="1"/>
  <c r="O865" i="1" a="1"/>
  <c r="N865" i="1"/>
  <c r="M865" i="1"/>
  <c r="O864" i="1"/>
  <c r="O864" i="1" a="1"/>
  <c r="N864" i="1"/>
  <c r="M864" i="1"/>
  <c r="O863" i="1" a="1"/>
  <c r="O863" i="1" s="1"/>
  <c r="N863" i="1"/>
  <c r="M863" i="1"/>
  <c r="O862" i="1"/>
  <c r="O862" i="1" a="1"/>
  <c r="N862" i="1"/>
  <c r="M862" i="1"/>
  <c r="O861" i="1" a="1"/>
  <c r="O861" i="1" s="1"/>
  <c r="N861" i="1"/>
  <c r="M861" i="1"/>
  <c r="O860" i="1"/>
  <c r="O860" i="1" a="1"/>
  <c r="N860" i="1"/>
  <c r="M860" i="1"/>
  <c r="O859" i="1" a="1"/>
  <c r="O859" i="1" s="1"/>
  <c r="N859" i="1"/>
  <c r="M859" i="1"/>
  <c r="O858" i="1"/>
  <c r="O858" i="1" a="1"/>
  <c r="N858" i="1"/>
  <c r="M858" i="1"/>
  <c r="O857" i="1" a="1"/>
  <c r="O857" i="1" s="1"/>
  <c r="N857" i="1"/>
  <c r="M857" i="1"/>
  <c r="O856" i="1" a="1"/>
  <c r="O856" i="1" s="1"/>
  <c r="N856" i="1"/>
  <c r="M856" i="1"/>
  <c r="O855" i="1"/>
  <c r="O855" i="1" a="1"/>
  <c r="N855" i="1"/>
  <c r="M855" i="1"/>
  <c r="O854" i="1" a="1"/>
  <c r="O854" i="1" s="1"/>
  <c r="N854" i="1"/>
  <c r="M854" i="1"/>
  <c r="O853" i="1"/>
  <c r="O853" i="1" a="1"/>
  <c r="N853" i="1"/>
  <c r="M853" i="1"/>
  <c r="O852" i="1" a="1"/>
  <c r="O852" i="1" s="1"/>
  <c r="N852" i="1"/>
  <c r="M852" i="1"/>
  <c r="O851" i="1" a="1"/>
  <c r="O851" i="1" s="1"/>
  <c r="N851" i="1"/>
  <c r="M851" i="1"/>
  <c r="O850" i="1" a="1"/>
  <c r="O850" i="1" s="1"/>
  <c r="N850" i="1"/>
  <c r="M850" i="1"/>
  <c r="O849" i="1"/>
  <c r="O849" i="1" a="1"/>
  <c r="N849" i="1"/>
  <c r="M849" i="1"/>
  <c r="O848" i="1" a="1"/>
  <c r="O848" i="1" s="1"/>
  <c r="N848" i="1"/>
  <c r="M848" i="1"/>
  <c r="O847" i="1" a="1"/>
  <c r="O847" i="1" s="1"/>
  <c r="N847" i="1"/>
  <c r="M847" i="1"/>
  <c r="O846" i="1"/>
  <c r="O846" i="1" a="1"/>
  <c r="N846" i="1"/>
  <c r="M846" i="1"/>
  <c r="O845" i="1" a="1"/>
  <c r="O845" i="1" s="1"/>
  <c r="N845" i="1"/>
  <c r="M845" i="1"/>
  <c r="O844" i="1" a="1"/>
  <c r="O844" i="1" s="1"/>
  <c r="N844" i="1"/>
  <c r="M844" i="1"/>
  <c r="O843" i="1" a="1"/>
  <c r="O843" i="1" s="1"/>
  <c r="N843" i="1"/>
  <c r="M843" i="1"/>
  <c r="O842" i="1" a="1"/>
  <c r="O842" i="1" s="1"/>
  <c r="N842" i="1"/>
  <c r="M842" i="1"/>
  <c r="O841" i="1" a="1"/>
  <c r="O841" i="1" s="1"/>
  <c r="N841" i="1"/>
  <c r="M841" i="1"/>
  <c r="O840" i="1" a="1"/>
  <c r="O840" i="1" s="1"/>
  <c r="N840" i="1"/>
  <c r="M840" i="1"/>
  <c r="O839" i="1"/>
  <c r="O839" i="1" a="1"/>
  <c r="N839" i="1"/>
  <c r="M839" i="1"/>
  <c r="O838" i="1" a="1"/>
  <c r="O838" i="1" s="1"/>
  <c r="N838" i="1"/>
  <c r="M838" i="1"/>
  <c r="O837" i="1" a="1"/>
  <c r="O837" i="1" s="1"/>
  <c r="N837" i="1"/>
  <c r="M837" i="1"/>
  <c r="O836" i="1"/>
  <c r="O836" i="1" a="1"/>
  <c r="N836" i="1"/>
  <c r="M836" i="1"/>
  <c r="O835" i="1" a="1"/>
  <c r="O835" i="1" s="1"/>
  <c r="N835" i="1"/>
  <c r="M835" i="1"/>
  <c r="O834" i="1" a="1"/>
  <c r="O834" i="1" s="1"/>
  <c r="N834" i="1"/>
  <c r="M834" i="1"/>
  <c r="O833" i="1"/>
  <c r="O833" i="1" a="1"/>
  <c r="N833" i="1"/>
  <c r="M833" i="1"/>
  <c r="O832" i="1"/>
  <c r="O832" i="1" a="1"/>
  <c r="N832" i="1"/>
  <c r="M832" i="1"/>
  <c r="O831" i="1" a="1"/>
  <c r="O831" i="1" s="1"/>
  <c r="N831" i="1"/>
  <c r="M831" i="1"/>
  <c r="O830" i="1" a="1"/>
  <c r="O830" i="1" s="1"/>
  <c r="N830" i="1"/>
  <c r="M830" i="1"/>
  <c r="O829" i="1" a="1"/>
  <c r="O829" i="1" s="1"/>
  <c r="N829" i="1"/>
  <c r="M829" i="1"/>
  <c r="O828" i="1" a="1"/>
  <c r="O828" i="1" s="1"/>
  <c r="N828" i="1"/>
  <c r="M828" i="1"/>
  <c r="O827" i="1" a="1"/>
  <c r="O827" i="1" s="1"/>
  <c r="N827" i="1"/>
  <c r="M827" i="1"/>
  <c r="O826" i="1" a="1"/>
  <c r="O826" i="1" s="1"/>
  <c r="N826" i="1"/>
  <c r="M826" i="1"/>
  <c r="O825" i="1"/>
  <c r="O825" i="1" a="1"/>
  <c r="N825" i="1"/>
  <c r="M825" i="1"/>
  <c r="O824" i="1" a="1"/>
  <c r="O824" i="1" s="1"/>
  <c r="N824" i="1"/>
  <c r="M824" i="1"/>
  <c r="O823" i="1"/>
  <c r="O823" i="1" a="1"/>
  <c r="N823" i="1"/>
  <c r="M823" i="1"/>
  <c r="O822" i="1" a="1"/>
  <c r="O822" i="1" s="1"/>
  <c r="N822" i="1"/>
  <c r="M822" i="1"/>
  <c r="O821" i="1"/>
  <c r="O821" i="1" a="1"/>
  <c r="N821" i="1"/>
  <c r="M821" i="1"/>
  <c r="O820" i="1"/>
  <c r="O820" i="1" a="1"/>
  <c r="N820" i="1"/>
  <c r="M820" i="1"/>
  <c r="O819" i="1" a="1"/>
  <c r="O819" i="1" s="1"/>
  <c r="N819" i="1"/>
  <c r="M819" i="1"/>
  <c r="O818" i="1"/>
  <c r="O818" i="1" a="1"/>
  <c r="N818" i="1"/>
  <c r="M818" i="1"/>
  <c r="O817" i="1" a="1"/>
  <c r="O817" i="1" s="1"/>
  <c r="N817" i="1"/>
  <c r="M817" i="1"/>
  <c r="O816" i="1"/>
  <c r="O816" i="1" a="1"/>
  <c r="N816" i="1"/>
  <c r="M816" i="1"/>
  <c r="O815" i="1" a="1"/>
  <c r="O815" i="1" s="1"/>
  <c r="N815" i="1"/>
  <c r="M815" i="1"/>
  <c r="O814" i="1"/>
  <c r="O814" i="1" a="1"/>
  <c r="N814" i="1"/>
  <c r="M814" i="1"/>
  <c r="O813" i="1"/>
  <c r="O813" i="1" a="1"/>
  <c r="N813" i="1"/>
  <c r="M813" i="1"/>
  <c r="O812" i="1" a="1"/>
  <c r="O812" i="1" s="1"/>
  <c r="N812" i="1"/>
  <c r="M812" i="1"/>
  <c r="O811" i="1"/>
  <c r="O811" i="1" a="1"/>
  <c r="N811" i="1"/>
  <c r="M811" i="1"/>
  <c r="O810" i="1" a="1"/>
  <c r="O810" i="1" s="1"/>
  <c r="N810" i="1"/>
  <c r="M810" i="1"/>
  <c r="O809" i="1"/>
  <c r="O809" i="1" a="1"/>
  <c r="N809" i="1"/>
  <c r="M809" i="1"/>
  <c r="O808" i="1" a="1"/>
  <c r="O808" i="1" s="1"/>
  <c r="N808" i="1"/>
  <c r="M808" i="1"/>
  <c r="O807" i="1" a="1"/>
  <c r="O807" i="1" s="1"/>
  <c r="N807" i="1"/>
  <c r="M807" i="1"/>
  <c r="O806" i="1" a="1"/>
  <c r="O806" i="1" s="1"/>
  <c r="N806" i="1"/>
  <c r="M806" i="1"/>
  <c r="O805" i="1" a="1"/>
  <c r="O805" i="1" s="1"/>
  <c r="N805" i="1"/>
  <c r="M805" i="1"/>
  <c r="O804" i="1"/>
  <c r="O804" i="1" a="1"/>
  <c r="N804" i="1"/>
  <c r="M804" i="1"/>
  <c r="O803" i="1" a="1"/>
  <c r="O803" i="1" s="1"/>
  <c r="N803" i="1"/>
  <c r="M803" i="1"/>
  <c r="O802" i="1" a="1"/>
  <c r="O802" i="1" s="1"/>
  <c r="N802" i="1"/>
  <c r="M802" i="1"/>
  <c r="O801" i="1" a="1"/>
  <c r="O801" i="1" s="1"/>
  <c r="N801" i="1"/>
  <c r="M801" i="1"/>
  <c r="O800" i="1"/>
  <c r="O800" i="1" a="1"/>
  <c r="N800" i="1"/>
  <c r="M800" i="1"/>
  <c r="O799" i="1" a="1"/>
  <c r="O799" i="1" s="1"/>
  <c r="N799" i="1"/>
  <c r="M799" i="1"/>
  <c r="O798" i="1" a="1"/>
  <c r="O798" i="1" s="1"/>
  <c r="N798" i="1"/>
  <c r="M798" i="1"/>
  <c r="O797" i="1"/>
  <c r="O797" i="1" a="1"/>
  <c r="N797" i="1"/>
  <c r="M797" i="1"/>
  <c r="O796" i="1" a="1"/>
  <c r="O796" i="1" s="1"/>
  <c r="N796" i="1"/>
  <c r="M796" i="1"/>
  <c r="O795" i="1"/>
  <c r="O795" i="1" a="1"/>
  <c r="N795" i="1"/>
  <c r="M795" i="1"/>
  <c r="O794" i="1"/>
  <c r="O794" i="1" a="1"/>
  <c r="N794" i="1"/>
  <c r="M794" i="1"/>
  <c r="O793" i="1" a="1"/>
  <c r="O793" i="1" s="1"/>
  <c r="N793" i="1"/>
  <c r="M793" i="1"/>
  <c r="O792" i="1" a="1"/>
  <c r="O792" i="1" s="1"/>
  <c r="N792" i="1"/>
  <c r="M792" i="1"/>
  <c r="O791" i="1"/>
  <c r="O791" i="1" a="1"/>
  <c r="N791" i="1"/>
  <c r="M791" i="1"/>
  <c r="O790" i="1"/>
  <c r="O790" i="1" a="1"/>
  <c r="N790" i="1"/>
  <c r="M790" i="1"/>
  <c r="O789" i="1" a="1"/>
  <c r="O789" i="1" s="1"/>
  <c r="N789" i="1"/>
  <c r="M789" i="1"/>
  <c r="O788" i="1" a="1"/>
  <c r="O788" i="1" s="1"/>
  <c r="N788" i="1"/>
  <c r="M788" i="1"/>
  <c r="O787" i="1" a="1"/>
  <c r="O787" i="1" s="1"/>
  <c r="N787" i="1"/>
  <c r="M787" i="1"/>
  <c r="O786" i="1" a="1"/>
  <c r="O786" i="1" s="1"/>
  <c r="N786" i="1"/>
  <c r="M786" i="1"/>
  <c r="O785" i="1"/>
  <c r="O785" i="1" a="1"/>
  <c r="N785" i="1"/>
  <c r="M785" i="1"/>
  <c r="O784" i="1" a="1"/>
  <c r="O784" i="1" s="1"/>
  <c r="N784" i="1"/>
  <c r="M784" i="1"/>
  <c r="O783" i="1"/>
  <c r="O783" i="1" a="1"/>
  <c r="N783" i="1"/>
  <c r="M783" i="1"/>
  <c r="O782" i="1" a="1"/>
  <c r="O782" i="1" s="1"/>
  <c r="N782" i="1"/>
  <c r="M782" i="1"/>
  <c r="O781" i="1" a="1"/>
  <c r="O781" i="1" s="1"/>
  <c r="N781" i="1"/>
  <c r="M781" i="1"/>
  <c r="O780" i="1" a="1"/>
  <c r="O780" i="1" s="1"/>
  <c r="N780" i="1"/>
  <c r="M780" i="1"/>
  <c r="O779" i="1" a="1"/>
  <c r="O779" i="1" s="1"/>
  <c r="N779" i="1"/>
  <c r="M779" i="1"/>
  <c r="O778" i="1" a="1"/>
  <c r="O778" i="1" s="1"/>
  <c r="N778" i="1"/>
  <c r="M778" i="1"/>
  <c r="O777" i="1" a="1"/>
  <c r="O777" i="1" s="1"/>
  <c r="N777" i="1"/>
  <c r="M777" i="1"/>
  <c r="O776" i="1"/>
  <c r="O776" i="1" a="1"/>
  <c r="N776" i="1"/>
  <c r="M776" i="1"/>
  <c r="O775" i="1" a="1"/>
  <c r="O775" i="1" s="1"/>
  <c r="N775" i="1"/>
  <c r="M775" i="1"/>
  <c r="O774" i="1" a="1"/>
  <c r="O774" i="1" s="1"/>
  <c r="N774" i="1"/>
  <c r="M774" i="1"/>
  <c r="O773" i="1" a="1"/>
  <c r="O773" i="1" s="1"/>
  <c r="N773" i="1"/>
  <c r="M773" i="1"/>
  <c r="O772" i="1" a="1"/>
  <c r="O772" i="1" s="1"/>
  <c r="N772" i="1"/>
  <c r="M772" i="1"/>
  <c r="O771" i="1" a="1"/>
  <c r="O771" i="1" s="1"/>
  <c r="N771" i="1"/>
  <c r="M771" i="1"/>
  <c r="O770" i="1"/>
  <c r="O770" i="1" a="1"/>
  <c r="N770" i="1"/>
  <c r="M770" i="1"/>
  <c r="O769" i="1"/>
  <c r="O769" i="1" a="1"/>
  <c r="N769" i="1"/>
  <c r="M769" i="1"/>
  <c r="O768" i="1" a="1"/>
  <c r="O768" i="1" s="1"/>
  <c r="N768" i="1"/>
  <c r="M768" i="1"/>
  <c r="O767" i="1"/>
  <c r="O767" i="1" a="1"/>
  <c r="N767" i="1"/>
  <c r="M767" i="1"/>
  <c r="O766" i="1"/>
  <c r="O766" i="1" a="1"/>
  <c r="N766" i="1"/>
  <c r="M766" i="1"/>
  <c r="O765" i="1"/>
  <c r="O765" i="1" a="1"/>
  <c r="N765" i="1"/>
  <c r="M765" i="1"/>
  <c r="O764" i="1"/>
  <c r="O764" i="1" a="1"/>
  <c r="N764" i="1"/>
  <c r="M764" i="1"/>
  <c r="O763" i="1" a="1"/>
  <c r="O763" i="1" s="1"/>
  <c r="N763" i="1"/>
  <c r="M763" i="1"/>
  <c r="O762" i="1"/>
  <c r="O762" i="1" a="1"/>
  <c r="N762" i="1"/>
  <c r="M762" i="1"/>
  <c r="O761" i="1" a="1"/>
  <c r="O761" i="1" s="1"/>
  <c r="N761" i="1"/>
  <c r="M761" i="1"/>
  <c r="O760" i="1" a="1"/>
  <c r="O760" i="1" s="1"/>
  <c r="N760" i="1"/>
  <c r="M760" i="1"/>
  <c r="O759" i="1" a="1"/>
  <c r="O759" i="1" s="1"/>
  <c r="N759" i="1"/>
  <c r="M759" i="1"/>
  <c r="O758" i="1"/>
  <c r="O758" i="1" a="1"/>
  <c r="N758" i="1"/>
  <c r="M758" i="1"/>
  <c r="O757" i="1" a="1"/>
  <c r="O757" i="1" s="1"/>
  <c r="N757" i="1"/>
  <c r="M757" i="1"/>
  <c r="O756" i="1" a="1"/>
  <c r="O756" i="1" s="1"/>
  <c r="N756" i="1"/>
  <c r="M756" i="1"/>
  <c r="O755" i="1"/>
  <c r="O755" i="1" a="1"/>
  <c r="N755" i="1"/>
  <c r="M755" i="1"/>
  <c r="O754" i="1" a="1"/>
  <c r="O754" i="1" s="1"/>
  <c r="N754" i="1"/>
  <c r="M754" i="1"/>
  <c r="O753" i="1"/>
  <c r="O753" i="1" a="1"/>
  <c r="N753" i="1"/>
  <c r="M753" i="1"/>
  <c r="O752" i="1"/>
  <c r="O752" i="1" a="1"/>
  <c r="N752" i="1"/>
  <c r="M752" i="1"/>
  <c r="O751" i="1" a="1"/>
  <c r="O751" i="1" s="1"/>
  <c r="N751" i="1"/>
  <c r="M751" i="1"/>
  <c r="O750" i="1" a="1"/>
  <c r="O750" i="1" s="1"/>
  <c r="N750" i="1"/>
  <c r="M750" i="1"/>
  <c r="O749" i="1" a="1"/>
  <c r="O749" i="1" s="1"/>
  <c r="N749" i="1"/>
  <c r="M749" i="1"/>
  <c r="O748" i="1"/>
  <c r="O748" i="1" a="1"/>
  <c r="N748" i="1"/>
  <c r="M748" i="1"/>
  <c r="O747" i="1" a="1"/>
  <c r="O747" i="1" s="1"/>
  <c r="N747" i="1"/>
  <c r="M747" i="1"/>
  <c r="O746" i="1" a="1"/>
  <c r="O746" i="1" s="1"/>
  <c r="N746" i="1"/>
  <c r="M746" i="1"/>
  <c r="O745" i="1" a="1"/>
  <c r="O745" i="1" s="1"/>
  <c r="N745" i="1"/>
  <c r="M745" i="1"/>
  <c r="O744" i="1" a="1"/>
  <c r="O744" i="1" s="1"/>
  <c r="N744" i="1"/>
  <c r="M744" i="1"/>
  <c r="O743" i="1" a="1"/>
  <c r="O743" i="1" s="1"/>
  <c r="N743" i="1"/>
  <c r="M743" i="1"/>
  <c r="O742" i="1" a="1"/>
  <c r="O742" i="1" s="1"/>
  <c r="N742" i="1"/>
  <c r="M742" i="1"/>
  <c r="O741" i="1"/>
  <c r="O741" i="1" a="1"/>
  <c r="N741" i="1"/>
  <c r="M741" i="1"/>
  <c r="O740" i="1" a="1"/>
  <c r="O740" i="1" s="1"/>
  <c r="N740" i="1"/>
  <c r="M740" i="1"/>
  <c r="O739" i="1" a="1"/>
  <c r="O739" i="1" s="1"/>
  <c r="N739" i="1"/>
  <c r="M739" i="1"/>
  <c r="O738" i="1" a="1"/>
  <c r="O738" i="1" s="1"/>
  <c r="N738" i="1"/>
  <c r="M738" i="1"/>
  <c r="O737" i="1"/>
  <c r="O737" i="1" a="1"/>
  <c r="N737" i="1"/>
  <c r="M737" i="1"/>
  <c r="O736" i="1"/>
  <c r="O736" i="1" a="1"/>
  <c r="N736" i="1"/>
  <c r="M736" i="1"/>
  <c r="O735" i="1"/>
  <c r="O735" i="1" a="1"/>
  <c r="N735" i="1"/>
  <c r="M735" i="1"/>
  <c r="O734" i="1"/>
  <c r="O734" i="1" a="1"/>
  <c r="N734" i="1"/>
  <c r="M734" i="1"/>
  <c r="O733" i="1" a="1"/>
  <c r="O733" i="1" s="1"/>
  <c r="N733" i="1"/>
  <c r="M733" i="1"/>
  <c r="O732" i="1" a="1"/>
  <c r="O732" i="1" s="1"/>
  <c r="N732" i="1"/>
  <c r="M732" i="1"/>
  <c r="O731" i="1" a="1"/>
  <c r="O731" i="1" s="1"/>
  <c r="N731" i="1"/>
  <c r="M731" i="1"/>
  <c r="O730" i="1" a="1"/>
  <c r="O730" i="1" s="1"/>
  <c r="N730" i="1"/>
  <c r="M730" i="1"/>
  <c r="O729" i="1" a="1"/>
  <c r="O729" i="1" s="1"/>
  <c r="N729" i="1"/>
  <c r="M729" i="1"/>
  <c r="O728" i="1" a="1"/>
  <c r="O728" i="1" s="1"/>
  <c r="N728" i="1"/>
  <c r="M728" i="1"/>
  <c r="O727" i="1"/>
  <c r="O727" i="1" a="1"/>
  <c r="N727" i="1"/>
  <c r="M727" i="1"/>
  <c r="O726" i="1" a="1"/>
  <c r="O726" i="1" s="1"/>
  <c r="N726" i="1"/>
  <c r="M726" i="1"/>
  <c r="O725" i="1" a="1"/>
  <c r="O725" i="1" s="1"/>
  <c r="N725" i="1"/>
  <c r="M725" i="1"/>
  <c r="O724" i="1"/>
  <c r="O724" i="1" a="1"/>
  <c r="N724" i="1"/>
  <c r="M724" i="1"/>
  <c r="O723" i="1" a="1"/>
  <c r="O723" i="1" s="1"/>
  <c r="N723" i="1"/>
  <c r="M723" i="1"/>
  <c r="O722" i="1" a="1"/>
  <c r="O722" i="1" s="1"/>
  <c r="N722" i="1"/>
  <c r="M722" i="1"/>
  <c r="O721" i="1" a="1"/>
  <c r="O721" i="1" s="1"/>
  <c r="N721" i="1"/>
  <c r="M721" i="1"/>
  <c r="O720" i="1"/>
  <c r="O720" i="1" a="1"/>
  <c r="N720" i="1"/>
  <c r="M720" i="1"/>
  <c r="O719" i="1" a="1"/>
  <c r="O719" i="1" s="1"/>
  <c r="N719" i="1"/>
  <c r="M719" i="1"/>
  <c r="O718" i="1" a="1"/>
  <c r="O718" i="1" s="1"/>
  <c r="N718" i="1"/>
  <c r="M718" i="1"/>
  <c r="O717" i="1" a="1"/>
  <c r="O717" i="1" s="1"/>
  <c r="N717" i="1"/>
  <c r="M717" i="1"/>
  <c r="O716" i="1"/>
  <c r="O716" i="1" a="1"/>
  <c r="N716" i="1"/>
  <c r="M716" i="1"/>
  <c r="O715" i="1" a="1"/>
  <c r="O715" i="1" s="1"/>
  <c r="N715" i="1"/>
  <c r="M715" i="1"/>
  <c r="O714" i="1" a="1"/>
  <c r="O714" i="1" s="1"/>
  <c r="N714" i="1"/>
  <c r="M714" i="1"/>
  <c r="O713" i="1"/>
  <c r="O713" i="1" a="1"/>
  <c r="N713" i="1"/>
  <c r="M713" i="1"/>
  <c r="O712" i="1" a="1"/>
  <c r="O712" i="1" s="1"/>
  <c r="N712" i="1"/>
  <c r="M712" i="1"/>
  <c r="O711" i="1"/>
  <c r="O711" i="1" a="1"/>
  <c r="N711" i="1"/>
  <c r="M711" i="1"/>
  <c r="O710" i="1" a="1"/>
  <c r="O710" i="1" s="1"/>
  <c r="N710" i="1"/>
  <c r="M710" i="1"/>
  <c r="O709" i="1" a="1"/>
  <c r="O709" i="1" s="1"/>
  <c r="N709" i="1"/>
  <c r="M709" i="1"/>
  <c r="O708" i="1"/>
  <c r="O708" i="1" a="1"/>
  <c r="N708" i="1"/>
  <c r="M708" i="1"/>
  <c r="O707" i="1"/>
  <c r="O707" i="1" a="1"/>
  <c r="N707" i="1"/>
  <c r="M707" i="1"/>
  <c r="O706" i="1"/>
  <c r="O706" i="1" a="1"/>
  <c r="N706" i="1"/>
  <c r="M706" i="1"/>
  <c r="O705" i="1" a="1"/>
  <c r="O705" i="1" s="1"/>
  <c r="N705" i="1"/>
  <c r="M705" i="1"/>
  <c r="O704" i="1" a="1"/>
  <c r="O704" i="1" s="1"/>
  <c r="N704" i="1"/>
  <c r="M704" i="1"/>
  <c r="O703" i="1" a="1"/>
  <c r="O703" i="1" s="1"/>
  <c r="N703" i="1"/>
  <c r="M703" i="1"/>
  <c r="O702" i="1" a="1"/>
  <c r="O702" i="1" s="1"/>
  <c r="N702" i="1"/>
  <c r="M702" i="1"/>
  <c r="O701" i="1"/>
  <c r="O701" i="1" a="1"/>
  <c r="N701" i="1"/>
  <c r="M701" i="1"/>
  <c r="O700" i="1" a="1"/>
  <c r="O700" i="1" s="1"/>
  <c r="N700" i="1"/>
  <c r="M700" i="1"/>
  <c r="O699" i="1"/>
  <c r="O699" i="1" a="1"/>
  <c r="N699" i="1"/>
  <c r="M699" i="1"/>
  <c r="O698" i="1" a="1"/>
  <c r="O698" i="1" s="1"/>
  <c r="N698" i="1"/>
  <c r="M698" i="1"/>
  <c r="O697" i="1" a="1"/>
  <c r="O697" i="1" s="1"/>
  <c r="N697" i="1"/>
  <c r="M697" i="1"/>
  <c r="O696" i="1" a="1"/>
  <c r="O696" i="1" s="1"/>
  <c r="N696" i="1"/>
  <c r="M696" i="1"/>
  <c r="O695" i="1"/>
  <c r="O695" i="1" a="1"/>
  <c r="N695" i="1"/>
  <c r="M695" i="1"/>
  <c r="O694" i="1" a="1"/>
  <c r="O694" i="1" s="1"/>
  <c r="N694" i="1"/>
  <c r="M694" i="1"/>
  <c r="O693" i="1"/>
  <c r="O693" i="1" a="1"/>
  <c r="N693" i="1"/>
  <c r="M693" i="1"/>
  <c r="O692" i="1"/>
  <c r="O692" i="1" a="1"/>
  <c r="N692" i="1"/>
  <c r="M692" i="1"/>
  <c r="O691" i="1" a="1"/>
  <c r="O691" i="1" s="1"/>
  <c r="N691" i="1"/>
  <c r="M691" i="1"/>
  <c r="O690" i="1"/>
  <c r="O690" i="1" a="1"/>
  <c r="N690" i="1"/>
  <c r="M690" i="1"/>
  <c r="O689" i="1" a="1"/>
  <c r="O689" i="1" s="1"/>
  <c r="N689" i="1"/>
  <c r="M689" i="1"/>
  <c r="O688" i="1"/>
  <c r="O688" i="1" a="1"/>
  <c r="N688" i="1"/>
  <c r="M688" i="1"/>
  <c r="O687" i="1" a="1"/>
  <c r="O687" i="1" s="1"/>
  <c r="N687" i="1"/>
  <c r="M687" i="1"/>
  <c r="O686" i="1" a="1"/>
  <c r="O686" i="1" s="1"/>
  <c r="N686" i="1"/>
  <c r="M686" i="1"/>
  <c r="O685" i="1"/>
  <c r="O685" i="1" a="1"/>
  <c r="N685" i="1"/>
  <c r="M685" i="1"/>
  <c r="O684" i="1" a="1"/>
  <c r="O684" i="1" s="1"/>
  <c r="N684" i="1"/>
  <c r="M684" i="1"/>
  <c r="O683" i="1"/>
  <c r="O683" i="1" a="1"/>
  <c r="N683" i="1"/>
  <c r="M683" i="1"/>
  <c r="O682" i="1"/>
  <c r="O682" i="1" a="1"/>
  <c r="N682" i="1"/>
  <c r="M682" i="1"/>
  <c r="O681" i="1" a="1"/>
  <c r="O681" i="1" s="1"/>
  <c r="N681" i="1"/>
  <c r="M681" i="1"/>
  <c r="O680" i="1" a="1"/>
  <c r="O680" i="1" s="1"/>
  <c r="N680" i="1"/>
  <c r="M680" i="1"/>
  <c r="O679" i="1"/>
  <c r="O679" i="1" a="1"/>
  <c r="N679" i="1"/>
  <c r="M679" i="1"/>
  <c r="O678" i="1"/>
  <c r="O678" i="1" a="1"/>
  <c r="N678" i="1"/>
  <c r="M678" i="1"/>
  <c r="O677" i="1" a="1"/>
  <c r="O677" i="1" s="1"/>
  <c r="N677" i="1"/>
  <c r="M677" i="1"/>
  <c r="O676" i="1" a="1"/>
  <c r="O676" i="1" s="1"/>
  <c r="N676" i="1"/>
  <c r="M676" i="1"/>
  <c r="O675" i="1"/>
  <c r="O675" i="1" a="1"/>
  <c r="N675" i="1"/>
  <c r="M675" i="1"/>
  <c r="O674" i="1" a="1"/>
  <c r="O674" i="1" s="1"/>
  <c r="N674" i="1"/>
  <c r="M674" i="1"/>
  <c r="O673" i="1" a="1"/>
  <c r="O673" i="1" s="1"/>
  <c r="N673" i="1"/>
  <c r="M673" i="1"/>
  <c r="O672" i="1" a="1"/>
  <c r="O672" i="1" s="1"/>
  <c r="N672" i="1"/>
  <c r="M672" i="1"/>
  <c r="O671" i="1"/>
  <c r="O671" i="1" a="1"/>
  <c r="N671" i="1"/>
  <c r="M671" i="1"/>
  <c r="O670" i="1" a="1"/>
  <c r="O670" i="1" s="1"/>
  <c r="N670" i="1"/>
  <c r="M670" i="1"/>
  <c r="O669" i="1" a="1"/>
  <c r="O669" i="1" s="1"/>
  <c r="N669" i="1"/>
  <c r="M669" i="1"/>
  <c r="O668" i="1"/>
  <c r="O668" i="1" a="1"/>
  <c r="N668" i="1"/>
  <c r="M668" i="1"/>
  <c r="O667" i="1" a="1"/>
  <c r="O667" i="1" s="1"/>
  <c r="N667" i="1"/>
  <c r="M667" i="1"/>
  <c r="O666" i="1"/>
  <c r="O666" i="1" a="1"/>
  <c r="N666" i="1"/>
  <c r="M666" i="1"/>
  <c r="O665" i="1"/>
  <c r="O665" i="1" a="1"/>
  <c r="N665" i="1"/>
  <c r="M665" i="1"/>
  <c r="O664" i="1"/>
  <c r="O664" i="1" a="1"/>
  <c r="N664" i="1"/>
  <c r="M664" i="1"/>
  <c r="O663" i="1" a="1"/>
  <c r="O663" i="1" s="1"/>
  <c r="N663" i="1"/>
  <c r="M663" i="1"/>
  <c r="O662" i="1" a="1"/>
  <c r="O662" i="1" s="1"/>
  <c r="N662" i="1"/>
  <c r="M662" i="1"/>
  <c r="O661" i="1" a="1"/>
  <c r="O661" i="1" s="1"/>
  <c r="N661" i="1"/>
  <c r="M661" i="1"/>
  <c r="O660" i="1" a="1"/>
  <c r="O660" i="1" s="1"/>
  <c r="N660" i="1"/>
  <c r="M660" i="1"/>
  <c r="O659" i="1" a="1"/>
  <c r="O659" i="1" s="1"/>
  <c r="N659" i="1"/>
  <c r="M659" i="1"/>
  <c r="O658" i="1"/>
  <c r="O658" i="1" a="1"/>
  <c r="N658" i="1"/>
  <c r="M658" i="1"/>
  <c r="O657" i="1"/>
  <c r="O657" i="1" a="1"/>
  <c r="N657" i="1"/>
  <c r="M657" i="1"/>
  <c r="O656" i="1" a="1"/>
  <c r="O656" i="1" s="1"/>
  <c r="N656" i="1"/>
  <c r="M656" i="1"/>
  <c r="O655" i="1"/>
  <c r="O655" i="1" a="1"/>
  <c r="N655" i="1"/>
  <c r="M655" i="1"/>
  <c r="O654" i="1" a="1"/>
  <c r="O654" i="1" s="1"/>
  <c r="N654" i="1"/>
  <c r="M654" i="1"/>
  <c r="O653" i="1"/>
  <c r="O653" i="1" a="1"/>
  <c r="N653" i="1"/>
  <c r="M653" i="1"/>
  <c r="O652" i="1"/>
  <c r="O652" i="1" a="1"/>
  <c r="N652" i="1"/>
  <c r="M652" i="1"/>
  <c r="O651" i="1" a="1"/>
  <c r="O651" i="1" s="1"/>
  <c r="N651" i="1"/>
  <c r="M651" i="1"/>
  <c r="O650" i="1"/>
  <c r="O650" i="1" a="1"/>
  <c r="N650" i="1"/>
  <c r="M650" i="1"/>
  <c r="O649" i="1" a="1"/>
  <c r="O649" i="1" s="1"/>
  <c r="N649" i="1"/>
  <c r="M649" i="1"/>
  <c r="O648" i="1" a="1"/>
  <c r="O648" i="1" s="1"/>
  <c r="N648" i="1"/>
  <c r="M648" i="1"/>
  <c r="O647" i="1" a="1"/>
  <c r="O647" i="1" s="1"/>
  <c r="N647" i="1"/>
  <c r="M647" i="1"/>
  <c r="O646" i="1" a="1"/>
  <c r="O646" i="1" s="1"/>
  <c r="N646" i="1"/>
  <c r="M646" i="1"/>
  <c r="O645" i="1" a="1"/>
  <c r="O645" i="1" s="1"/>
  <c r="N645" i="1"/>
  <c r="M645" i="1"/>
  <c r="O644" i="1" a="1"/>
  <c r="O644" i="1" s="1"/>
  <c r="N644" i="1"/>
  <c r="M644" i="1"/>
  <c r="O643" i="1"/>
  <c r="O643" i="1" a="1"/>
  <c r="N643" i="1"/>
  <c r="M643" i="1"/>
  <c r="O642" i="1" a="1"/>
  <c r="O642" i="1" s="1"/>
  <c r="N642" i="1"/>
  <c r="M642" i="1"/>
  <c r="O641" i="1" a="1"/>
  <c r="O641" i="1" s="1"/>
  <c r="N641" i="1"/>
  <c r="M641" i="1"/>
  <c r="O640" i="1"/>
  <c r="O640" i="1" a="1"/>
  <c r="N640" i="1"/>
  <c r="M640" i="1"/>
  <c r="O639" i="1" a="1"/>
  <c r="O639" i="1" s="1"/>
  <c r="N639" i="1"/>
  <c r="M639" i="1"/>
  <c r="O638" i="1" a="1"/>
  <c r="O638" i="1" s="1"/>
  <c r="N638" i="1"/>
  <c r="M638" i="1"/>
  <c r="O637" i="1"/>
  <c r="O637" i="1" a="1"/>
  <c r="N637" i="1"/>
  <c r="M637" i="1"/>
  <c r="O636" i="1"/>
  <c r="O636" i="1" a="1"/>
  <c r="N636" i="1"/>
  <c r="M636" i="1"/>
  <c r="O635" i="1" a="1"/>
  <c r="O635" i="1" s="1"/>
  <c r="N635" i="1"/>
  <c r="M635" i="1"/>
  <c r="O634" i="1" a="1"/>
  <c r="O634" i="1" s="1"/>
  <c r="N634" i="1"/>
  <c r="M634" i="1"/>
  <c r="O633" i="1"/>
  <c r="O633" i="1" a="1"/>
  <c r="N633" i="1"/>
  <c r="M633" i="1"/>
  <c r="O632" i="1" a="1"/>
  <c r="O632" i="1" s="1"/>
  <c r="N632" i="1"/>
  <c r="M632" i="1"/>
  <c r="O631" i="1" a="1"/>
  <c r="O631" i="1" s="1"/>
  <c r="N631" i="1"/>
  <c r="M631" i="1"/>
  <c r="O630" i="1" a="1"/>
  <c r="O630" i="1" s="1"/>
  <c r="N630" i="1"/>
  <c r="M630" i="1"/>
  <c r="O629" i="1"/>
  <c r="O629" i="1" a="1"/>
  <c r="N629" i="1"/>
  <c r="M629" i="1"/>
  <c r="O628" i="1" a="1"/>
  <c r="O628" i="1" s="1"/>
  <c r="N628" i="1"/>
  <c r="M628" i="1"/>
  <c r="O627" i="1"/>
  <c r="O627" i="1" a="1"/>
  <c r="N627" i="1"/>
  <c r="M627" i="1"/>
  <c r="O626" i="1" a="1"/>
  <c r="O626" i="1" s="1"/>
  <c r="N626" i="1"/>
  <c r="M626" i="1"/>
  <c r="O625" i="1" a="1"/>
  <c r="O625" i="1" s="1"/>
  <c r="N625" i="1"/>
  <c r="M625" i="1"/>
  <c r="O624" i="1"/>
  <c r="O624" i="1" a="1"/>
  <c r="N624" i="1"/>
  <c r="M624" i="1"/>
  <c r="O623" i="1" a="1"/>
  <c r="O623" i="1" s="1"/>
  <c r="N623" i="1"/>
  <c r="M623" i="1"/>
  <c r="O622" i="1"/>
  <c r="O622" i="1" a="1"/>
  <c r="N622" i="1"/>
  <c r="M622" i="1"/>
  <c r="O621" i="1" a="1"/>
  <c r="O621" i="1" s="1"/>
  <c r="N621" i="1"/>
  <c r="M621" i="1"/>
  <c r="O620" i="1" a="1"/>
  <c r="O620" i="1" s="1"/>
  <c r="N620" i="1"/>
  <c r="M620" i="1"/>
  <c r="O619" i="1" a="1"/>
  <c r="O619" i="1" s="1"/>
  <c r="N619" i="1"/>
  <c r="M619" i="1"/>
  <c r="O618" i="1"/>
  <c r="O618" i="1" a="1"/>
  <c r="N618" i="1"/>
  <c r="M618" i="1"/>
  <c r="O617" i="1" a="1"/>
  <c r="O617" i="1" s="1"/>
  <c r="N617" i="1"/>
  <c r="M617" i="1"/>
  <c r="O616" i="1" a="1"/>
  <c r="O616" i="1" s="1"/>
  <c r="N616" i="1"/>
  <c r="M616" i="1"/>
  <c r="O615" i="1"/>
  <c r="O615" i="1" a="1"/>
  <c r="N615" i="1"/>
  <c r="M615" i="1"/>
  <c r="O614" i="1" a="1"/>
  <c r="O614" i="1" s="1"/>
  <c r="N614" i="1"/>
  <c r="M614" i="1"/>
  <c r="O613" i="1" a="1"/>
  <c r="O613" i="1" s="1"/>
  <c r="N613" i="1"/>
  <c r="M613" i="1"/>
  <c r="O612" i="1" a="1"/>
  <c r="O612" i="1" s="1"/>
  <c r="N612" i="1"/>
  <c r="M612" i="1"/>
  <c r="O611" i="1" a="1"/>
  <c r="O611" i="1" s="1"/>
  <c r="N611" i="1"/>
  <c r="M611" i="1"/>
  <c r="O610" i="1" a="1"/>
  <c r="O610" i="1" s="1"/>
  <c r="N610" i="1"/>
  <c r="M610" i="1"/>
  <c r="O609" i="1" a="1"/>
  <c r="O609" i="1" s="1"/>
  <c r="N609" i="1"/>
  <c r="M609" i="1"/>
  <c r="O608" i="1"/>
  <c r="O608" i="1" a="1"/>
  <c r="N608" i="1"/>
  <c r="M608" i="1"/>
  <c r="O607" i="1" a="1"/>
  <c r="O607" i="1" s="1"/>
  <c r="N607" i="1"/>
  <c r="M607" i="1"/>
  <c r="O606" i="1" a="1"/>
  <c r="O606" i="1" s="1"/>
  <c r="N606" i="1"/>
  <c r="M606" i="1"/>
  <c r="O605" i="1" a="1"/>
  <c r="O605" i="1" s="1"/>
  <c r="N605" i="1"/>
  <c r="M605" i="1"/>
  <c r="O604" i="1" a="1"/>
  <c r="O604" i="1" s="1"/>
  <c r="N604" i="1"/>
  <c r="M604" i="1"/>
  <c r="O603" i="1" a="1"/>
  <c r="O603" i="1" s="1"/>
  <c r="N603" i="1"/>
  <c r="M603" i="1"/>
  <c r="O602" i="1" a="1"/>
  <c r="O602" i="1" s="1"/>
  <c r="N602" i="1"/>
  <c r="M602" i="1"/>
  <c r="O601" i="1"/>
  <c r="O601" i="1" a="1"/>
  <c r="N601" i="1"/>
  <c r="M601" i="1"/>
  <c r="O600" i="1" a="1"/>
  <c r="O600" i="1" s="1"/>
  <c r="N600" i="1"/>
  <c r="M600" i="1"/>
  <c r="O599" i="1"/>
  <c r="O599" i="1" a="1"/>
  <c r="N599" i="1"/>
  <c r="M599" i="1"/>
  <c r="O598" i="1"/>
  <c r="O598" i="1" a="1"/>
  <c r="N598" i="1"/>
  <c r="M598" i="1"/>
  <c r="O597" i="1" a="1"/>
  <c r="O597" i="1" s="1"/>
  <c r="N597" i="1"/>
  <c r="M597" i="1"/>
  <c r="O596" i="1"/>
  <c r="O596" i="1" a="1"/>
  <c r="N596" i="1"/>
  <c r="M596" i="1"/>
  <c r="O595" i="1"/>
  <c r="O595" i="1" a="1"/>
  <c r="N595" i="1"/>
  <c r="M595" i="1"/>
  <c r="O594" i="1"/>
  <c r="O594" i="1" a="1"/>
  <c r="N594" i="1"/>
  <c r="M594" i="1"/>
  <c r="O593" i="1" a="1"/>
  <c r="O593" i="1" s="1"/>
  <c r="N593" i="1"/>
  <c r="M593" i="1"/>
  <c r="O592" i="1" a="1"/>
  <c r="O592" i="1" s="1"/>
  <c r="N592" i="1"/>
  <c r="M592" i="1"/>
  <c r="O591" i="1" a="1"/>
  <c r="O591" i="1" s="1"/>
  <c r="N591" i="1"/>
  <c r="M591" i="1"/>
  <c r="O590" i="1" a="1"/>
  <c r="O590" i="1" s="1"/>
  <c r="N590" i="1"/>
  <c r="M590" i="1"/>
  <c r="O589" i="1" a="1"/>
  <c r="O589" i="1" s="1"/>
  <c r="N589" i="1"/>
  <c r="M589" i="1"/>
  <c r="O588" i="1" a="1"/>
  <c r="O588" i="1" s="1"/>
  <c r="N588" i="1"/>
  <c r="M588" i="1"/>
  <c r="O587" i="1"/>
  <c r="O587" i="1" a="1"/>
  <c r="N587" i="1"/>
  <c r="M587" i="1"/>
  <c r="O586" i="1" a="1"/>
  <c r="O586" i="1" s="1"/>
  <c r="N586" i="1"/>
  <c r="M586" i="1"/>
  <c r="O585" i="1" a="1"/>
  <c r="O585" i="1" s="1"/>
  <c r="N585" i="1"/>
  <c r="M585" i="1"/>
  <c r="O584" i="1" a="1"/>
  <c r="O584" i="1" s="1"/>
  <c r="N584" i="1"/>
  <c r="M584" i="1"/>
  <c r="O583" i="1" a="1"/>
  <c r="O583" i="1" s="1"/>
  <c r="N583" i="1"/>
  <c r="M583" i="1"/>
  <c r="O582" i="1" a="1"/>
  <c r="O582" i="1" s="1"/>
  <c r="N582" i="1"/>
  <c r="M582" i="1"/>
  <c r="O581" i="1"/>
  <c r="O581" i="1" a="1"/>
  <c r="N581" i="1"/>
  <c r="M581" i="1"/>
  <c r="O580" i="1"/>
  <c r="O580" i="1" a="1"/>
  <c r="N580" i="1"/>
  <c r="M580" i="1"/>
  <c r="O579" i="1" a="1"/>
  <c r="O579" i="1" s="1"/>
  <c r="N579" i="1"/>
  <c r="M579" i="1"/>
  <c r="O578" i="1"/>
  <c r="O578" i="1" a="1"/>
  <c r="N578" i="1"/>
  <c r="M578" i="1"/>
  <c r="O577" i="1" a="1"/>
  <c r="O577" i="1" s="1"/>
  <c r="N577" i="1"/>
  <c r="M577" i="1"/>
  <c r="O576" i="1" a="1"/>
  <c r="O576" i="1" s="1"/>
  <c r="N576" i="1"/>
  <c r="M576" i="1"/>
  <c r="O575" i="1"/>
  <c r="O575" i="1" a="1"/>
  <c r="N575" i="1"/>
  <c r="M575" i="1"/>
  <c r="O574" i="1" a="1"/>
  <c r="O574" i="1" s="1"/>
  <c r="N574" i="1"/>
  <c r="M574" i="1"/>
  <c r="O573" i="1"/>
  <c r="O573" i="1" a="1"/>
  <c r="N573" i="1"/>
  <c r="M573" i="1"/>
  <c r="O572" i="1" a="1"/>
  <c r="O572" i="1" s="1"/>
  <c r="N572" i="1"/>
  <c r="M572" i="1"/>
  <c r="O571" i="1"/>
  <c r="O571" i="1" a="1"/>
  <c r="N571" i="1"/>
  <c r="M571" i="1"/>
  <c r="O570" i="1"/>
  <c r="O570" i="1" a="1"/>
  <c r="N570" i="1"/>
  <c r="M570" i="1"/>
  <c r="O569" i="1"/>
  <c r="O569" i="1" a="1"/>
  <c r="N569" i="1"/>
  <c r="M569" i="1"/>
  <c r="O568" i="1" a="1"/>
  <c r="O568" i="1" s="1"/>
  <c r="N568" i="1"/>
  <c r="M568" i="1"/>
  <c r="O567" i="1" a="1"/>
  <c r="O567" i="1" s="1"/>
  <c r="N567" i="1"/>
  <c r="M567" i="1"/>
  <c r="O566" i="1"/>
  <c r="O566" i="1" a="1"/>
  <c r="N566" i="1"/>
  <c r="M566" i="1"/>
  <c r="O565" i="1" a="1"/>
  <c r="O565" i="1" s="1"/>
  <c r="N565" i="1"/>
  <c r="M565" i="1"/>
  <c r="O564" i="1" a="1"/>
  <c r="O564" i="1" s="1"/>
  <c r="N564" i="1"/>
  <c r="M564" i="1"/>
  <c r="O563" i="1"/>
  <c r="O563" i="1" a="1"/>
  <c r="N563" i="1"/>
  <c r="M563" i="1"/>
  <c r="O562" i="1" a="1"/>
  <c r="O562" i="1" s="1"/>
  <c r="N562" i="1"/>
  <c r="M562" i="1"/>
  <c r="O561" i="1" a="1"/>
  <c r="O561" i="1" s="1"/>
  <c r="N561" i="1"/>
  <c r="M561" i="1"/>
  <c r="O560" i="1"/>
  <c r="O560" i="1" a="1"/>
  <c r="N560" i="1"/>
  <c r="M560" i="1"/>
  <c r="O559" i="1"/>
  <c r="O559" i="1" a="1"/>
  <c r="N559" i="1"/>
  <c r="M559" i="1"/>
  <c r="O558" i="1" a="1"/>
  <c r="O558" i="1" s="1"/>
  <c r="N558" i="1"/>
  <c r="M558" i="1"/>
  <c r="O557" i="1"/>
  <c r="O557" i="1" a="1"/>
  <c r="N557" i="1"/>
  <c r="M557" i="1"/>
  <c r="O556" i="1"/>
  <c r="O556" i="1" a="1"/>
  <c r="N556" i="1"/>
  <c r="M556" i="1"/>
  <c r="O555" i="1" a="1"/>
  <c r="O555" i="1" s="1"/>
  <c r="N555" i="1"/>
  <c r="M555" i="1"/>
  <c r="O554" i="1" a="1"/>
  <c r="O554" i="1" s="1"/>
  <c r="N554" i="1"/>
  <c r="M554" i="1"/>
  <c r="O553" i="1" a="1"/>
  <c r="O553" i="1" s="1"/>
  <c r="N553" i="1"/>
  <c r="M553" i="1"/>
  <c r="O552" i="1"/>
  <c r="O552" i="1" a="1"/>
  <c r="N552" i="1"/>
  <c r="M552" i="1"/>
  <c r="O551" i="1" a="1"/>
  <c r="O551" i="1" s="1"/>
  <c r="N551" i="1"/>
  <c r="M551" i="1"/>
  <c r="O550" i="1" a="1"/>
  <c r="O550" i="1" s="1"/>
  <c r="N550" i="1"/>
  <c r="M550" i="1"/>
  <c r="O549" i="1" a="1"/>
  <c r="O549" i="1" s="1"/>
  <c r="N549" i="1"/>
  <c r="M549" i="1"/>
  <c r="O548" i="1" a="1"/>
  <c r="O548" i="1" s="1"/>
  <c r="N548" i="1"/>
  <c r="M548" i="1"/>
  <c r="O547" i="1" a="1"/>
  <c r="O547" i="1" s="1"/>
  <c r="N547" i="1"/>
  <c r="M547" i="1"/>
  <c r="O546" i="1" a="1"/>
  <c r="O546" i="1" s="1"/>
  <c r="N546" i="1"/>
  <c r="M546" i="1"/>
  <c r="O545" i="1"/>
  <c r="O545" i="1" a="1"/>
  <c r="N545" i="1"/>
  <c r="M545" i="1"/>
  <c r="O544" i="1" a="1"/>
  <c r="O544" i="1" s="1"/>
  <c r="N544" i="1"/>
  <c r="M544" i="1"/>
  <c r="O543" i="1"/>
  <c r="O543" i="1" a="1"/>
  <c r="N543" i="1"/>
  <c r="M543" i="1"/>
  <c r="O542" i="1" a="1"/>
  <c r="O542" i="1" s="1"/>
  <c r="N542" i="1"/>
  <c r="M542" i="1"/>
  <c r="O541" i="1"/>
  <c r="O541" i="1" a="1"/>
  <c r="N541" i="1"/>
  <c r="M541" i="1"/>
  <c r="O540" i="1"/>
  <c r="O540" i="1" a="1"/>
  <c r="N540" i="1"/>
  <c r="M540" i="1"/>
  <c r="O539" i="1" a="1"/>
  <c r="O539" i="1" s="1"/>
  <c r="N539" i="1"/>
  <c r="M539" i="1"/>
  <c r="O538" i="1"/>
  <c r="O538" i="1" a="1"/>
  <c r="N538" i="1"/>
  <c r="M538" i="1"/>
  <c r="O537" i="1" a="1"/>
  <c r="O537" i="1" s="1"/>
  <c r="N537" i="1"/>
  <c r="M537" i="1"/>
  <c r="O536" i="1" a="1"/>
  <c r="O536" i="1" s="1"/>
  <c r="N536" i="1"/>
  <c r="M536" i="1"/>
  <c r="O535" i="1" a="1"/>
  <c r="O535" i="1" s="1"/>
  <c r="N535" i="1"/>
  <c r="M535" i="1"/>
  <c r="O534" i="1" a="1"/>
  <c r="O534" i="1" s="1"/>
  <c r="N534" i="1"/>
  <c r="M534" i="1"/>
  <c r="O533" i="1"/>
  <c r="O533" i="1" a="1"/>
  <c r="N533" i="1"/>
  <c r="M533" i="1"/>
  <c r="O532" i="1" a="1"/>
  <c r="O532" i="1" s="1"/>
  <c r="N532" i="1"/>
  <c r="M532" i="1"/>
  <c r="O531" i="1"/>
  <c r="O531" i="1" a="1"/>
  <c r="N531" i="1"/>
  <c r="M531" i="1"/>
  <c r="O530" i="1" a="1"/>
  <c r="O530" i="1" s="1"/>
  <c r="N530" i="1"/>
  <c r="M530" i="1"/>
  <c r="O529" i="1" a="1"/>
  <c r="O529" i="1" s="1"/>
  <c r="N529" i="1"/>
  <c r="M529" i="1"/>
  <c r="O528" i="1"/>
  <c r="O528" i="1" a="1"/>
  <c r="N528" i="1"/>
  <c r="M528" i="1"/>
  <c r="O527" i="1" a="1"/>
  <c r="O527" i="1" s="1"/>
  <c r="N527" i="1"/>
  <c r="M527" i="1"/>
  <c r="O526" i="1"/>
  <c r="O526" i="1" a="1"/>
  <c r="N526" i="1"/>
  <c r="M526" i="1"/>
  <c r="O525" i="1" a="1"/>
  <c r="O525" i="1" s="1"/>
  <c r="N525" i="1"/>
  <c r="M525" i="1"/>
  <c r="O524" i="1"/>
  <c r="O524" i="1" a="1"/>
  <c r="N524" i="1"/>
  <c r="M524" i="1"/>
  <c r="O523" i="1" a="1"/>
  <c r="O523" i="1" s="1"/>
  <c r="N523" i="1"/>
  <c r="M523" i="1"/>
  <c r="O522" i="1" a="1"/>
  <c r="O522" i="1" s="1"/>
  <c r="N522" i="1"/>
  <c r="M522" i="1"/>
  <c r="O521" i="1"/>
  <c r="O521" i="1" a="1"/>
  <c r="N521" i="1"/>
  <c r="M521" i="1"/>
  <c r="O520" i="1" a="1"/>
  <c r="O520" i="1" s="1"/>
  <c r="N520" i="1"/>
  <c r="M520" i="1"/>
  <c r="O519" i="1" a="1"/>
  <c r="O519" i="1" s="1"/>
  <c r="N519" i="1"/>
  <c r="M519" i="1"/>
  <c r="O518" i="1" a="1"/>
  <c r="O518" i="1" s="1"/>
  <c r="N518" i="1"/>
  <c r="M518" i="1"/>
  <c r="O517" i="1"/>
  <c r="O517" i="1" a="1"/>
  <c r="N517" i="1"/>
  <c r="M517" i="1"/>
  <c r="O516" i="1" a="1"/>
  <c r="O516" i="1" s="1"/>
  <c r="N516" i="1"/>
  <c r="M516" i="1"/>
  <c r="O515" i="1"/>
  <c r="O515" i="1" a="1"/>
  <c r="N515" i="1"/>
  <c r="M515" i="1"/>
  <c r="O514" i="1" a="1"/>
  <c r="O514" i="1" s="1"/>
  <c r="N514" i="1"/>
  <c r="M514" i="1"/>
  <c r="O513" i="1" a="1"/>
  <c r="O513" i="1" s="1"/>
  <c r="N513" i="1"/>
  <c r="M513" i="1"/>
  <c r="O512" i="1"/>
  <c r="O512" i="1" a="1"/>
  <c r="N512" i="1"/>
  <c r="M512" i="1"/>
  <c r="O511" i="1"/>
  <c r="O511" i="1" a="1"/>
  <c r="N511" i="1"/>
  <c r="M511" i="1"/>
  <c r="O510" i="1"/>
  <c r="O510" i="1" a="1"/>
  <c r="N510" i="1"/>
  <c r="M510" i="1"/>
  <c r="O509" i="1" a="1"/>
  <c r="O509" i="1" s="1"/>
  <c r="N509" i="1"/>
  <c r="M509" i="1"/>
  <c r="O508" i="1" a="1"/>
  <c r="O508" i="1" s="1"/>
  <c r="N508" i="1"/>
  <c r="M508" i="1"/>
  <c r="O507" i="1"/>
  <c r="O507" i="1" a="1"/>
  <c r="N507" i="1"/>
  <c r="M507" i="1"/>
  <c r="O506" i="1" a="1"/>
  <c r="O506" i="1" s="1"/>
  <c r="N506" i="1"/>
  <c r="M506" i="1"/>
  <c r="O505" i="1" a="1"/>
  <c r="O505" i="1" s="1"/>
  <c r="N505" i="1"/>
  <c r="M505" i="1"/>
  <c r="O504" i="1" a="1"/>
  <c r="O504" i="1" s="1"/>
  <c r="N504" i="1"/>
  <c r="M504" i="1"/>
  <c r="O503" i="1"/>
  <c r="O503" i="1" a="1"/>
  <c r="N503" i="1"/>
  <c r="M503" i="1"/>
  <c r="O502" i="1" a="1"/>
  <c r="O502" i="1" s="1"/>
  <c r="N502" i="1"/>
  <c r="M502" i="1"/>
  <c r="O501" i="1" a="1"/>
  <c r="O501" i="1" s="1"/>
  <c r="N501" i="1"/>
  <c r="M501" i="1"/>
  <c r="O500" i="1" a="1"/>
  <c r="O500" i="1" s="1"/>
  <c r="N500" i="1"/>
  <c r="M500" i="1"/>
  <c r="O499" i="1"/>
  <c r="O499" i="1" a="1"/>
  <c r="N499" i="1"/>
  <c r="M499" i="1"/>
  <c r="O498" i="1" a="1"/>
  <c r="O498" i="1" s="1"/>
  <c r="N498" i="1"/>
  <c r="M498" i="1"/>
  <c r="O497" i="1"/>
  <c r="O497" i="1" a="1"/>
  <c r="N497" i="1"/>
  <c r="M497" i="1"/>
  <c r="O496" i="1"/>
  <c r="O496" i="1" a="1"/>
  <c r="N496" i="1"/>
  <c r="M496" i="1"/>
  <c r="O495" i="1" a="1"/>
  <c r="O495" i="1" s="1"/>
  <c r="N495" i="1"/>
  <c r="M495" i="1"/>
  <c r="O494" i="1"/>
  <c r="O494" i="1" a="1"/>
  <c r="N494" i="1"/>
  <c r="M494" i="1"/>
  <c r="O493" i="1" a="1"/>
  <c r="O493" i="1" s="1"/>
  <c r="N493" i="1"/>
  <c r="M493" i="1"/>
  <c r="O492" i="1" a="1"/>
  <c r="O492" i="1" s="1"/>
  <c r="N492" i="1"/>
  <c r="M492" i="1"/>
  <c r="O491" i="1"/>
  <c r="O491" i="1" a="1"/>
  <c r="N491" i="1"/>
  <c r="M491" i="1"/>
  <c r="O490" i="1" a="1"/>
  <c r="O490" i="1" s="1"/>
  <c r="N490" i="1"/>
  <c r="M490" i="1"/>
  <c r="O489" i="1"/>
  <c r="O489" i="1" a="1"/>
  <c r="N489" i="1"/>
  <c r="M489" i="1"/>
  <c r="O488" i="1" a="1"/>
  <c r="O488" i="1" s="1"/>
  <c r="N488" i="1"/>
  <c r="M488" i="1"/>
  <c r="O487" i="1" a="1"/>
  <c r="O487" i="1" s="1"/>
  <c r="N487" i="1"/>
  <c r="M487" i="1"/>
  <c r="O486" i="1"/>
  <c r="O486" i="1" a="1"/>
  <c r="N486" i="1"/>
  <c r="M486" i="1"/>
  <c r="O485" i="1" a="1"/>
  <c r="O485" i="1" s="1"/>
  <c r="N485" i="1"/>
  <c r="M485" i="1"/>
  <c r="O484" i="1" a="1"/>
  <c r="O484" i="1" s="1"/>
  <c r="N484" i="1"/>
  <c r="M484" i="1"/>
  <c r="O483" i="1"/>
  <c r="O483" i="1" a="1"/>
  <c r="N483" i="1"/>
  <c r="M483" i="1"/>
  <c r="O482" i="1"/>
  <c r="O482" i="1" a="1"/>
  <c r="N482" i="1"/>
  <c r="M482" i="1"/>
  <c r="O481" i="1" a="1"/>
  <c r="O481" i="1" s="1"/>
  <c r="N481" i="1"/>
  <c r="M481" i="1"/>
  <c r="O480" i="1" a="1"/>
  <c r="O480" i="1" s="1"/>
  <c r="N480" i="1"/>
  <c r="M480" i="1"/>
  <c r="O479" i="1"/>
  <c r="O479" i="1" a="1"/>
  <c r="N479" i="1"/>
  <c r="M479" i="1"/>
  <c r="O478" i="1" a="1"/>
  <c r="O478" i="1" s="1"/>
  <c r="N478" i="1"/>
  <c r="M478" i="1"/>
  <c r="O477" i="1" a="1"/>
  <c r="O477" i="1" s="1"/>
  <c r="N477" i="1"/>
  <c r="M477" i="1"/>
  <c r="O476" i="1"/>
  <c r="O476" i="1" a="1"/>
  <c r="N476" i="1"/>
  <c r="M476" i="1"/>
  <c r="O475" i="1"/>
  <c r="O475" i="1" a="1"/>
  <c r="N475" i="1"/>
  <c r="M475" i="1"/>
  <c r="O474" i="1" a="1"/>
  <c r="O474" i="1" s="1"/>
  <c r="N474" i="1"/>
  <c r="M474" i="1"/>
  <c r="O473" i="1" a="1"/>
  <c r="O473" i="1" s="1"/>
  <c r="N473" i="1"/>
  <c r="M473" i="1"/>
  <c r="O472" i="1"/>
  <c r="O472" i="1" a="1"/>
  <c r="N472" i="1"/>
  <c r="M472" i="1"/>
  <c r="O471" i="1" a="1"/>
  <c r="O471" i="1" s="1"/>
  <c r="N471" i="1"/>
  <c r="M471" i="1"/>
  <c r="O470" i="1"/>
  <c r="O470" i="1" a="1"/>
  <c r="N470" i="1"/>
  <c r="M470" i="1"/>
  <c r="O469" i="1" a="1"/>
  <c r="O469" i="1" s="1"/>
  <c r="N469" i="1"/>
  <c r="M469" i="1"/>
  <c r="O468" i="1"/>
  <c r="O468" i="1" a="1"/>
  <c r="N468" i="1"/>
  <c r="M468" i="1"/>
  <c r="O467" i="1" a="1"/>
  <c r="O467" i="1" s="1"/>
  <c r="N467" i="1"/>
  <c r="M467" i="1"/>
  <c r="O466" i="1" a="1"/>
  <c r="O466" i="1" s="1"/>
  <c r="N466" i="1"/>
  <c r="M466" i="1"/>
  <c r="O465" i="1" a="1"/>
  <c r="O465" i="1" s="1"/>
  <c r="N465" i="1"/>
  <c r="M465" i="1"/>
  <c r="O464" i="1" a="1"/>
  <c r="O464" i="1" s="1"/>
  <c r="N464" i="1"/>
  <c r="M464" i="1"/>
  <c r="O463" i="1" a="1"/>
  <c r="O463" i="1" s="1"/>
  <c r="N463" i="1"/>
  <c r="M463" i="1"/>
  <c r="O462" i="1" a="1"/>
  <c r="O462" i="1" s="1"/>
  <c r="N462" i="1"/>
  <c r="M462" i="1"/>
  <c r="O461" i="1"/>
  <c r="O461" i="1" a="1"/>
  <c r="N461" i="1"/>
  <c r="M461" i="1"/>
  <c r="O460" i="1" a="1"/>
  <c r="O460" i="1" s="1"/>
  <c r="N460" i="1"/>
  <c r="M460" i="1"/>
  <c r="O459" i="1" a="1"/>
  <c r="O459" i="1" s="1"/>
  <c r="N459" i="1"/>
  <c r="M459" i="1"/>
  <c r="O458" i="1" a="1"/>
  <c r="O458" i="1" s="1"/>
  <c r="N458" i="1"/>
  <c r="M458" i="1"/>
  <c r="O457" i="1"/>
  <c r="O457" i="1" a="1"/>
  <c r="N457" i="1"/>
  <c r="M457" i="1"/>
  <c r="O456" i="1" a="1"/>
  <c r="O456" i="1" s="1"/>
  <c r="N456" i="1"/>
  <c r="M456" i="1"/>
  <c r="O455" i="1" a="1"/>
  <c r="O455" i="1" s="1"/>
  <c r="N455" i="1"/>
  <c r="M455" i="1"/>
  <c r="O454" i="1"/>
  <c r="O454" i="1" a="1"/>
  <c r="N454" i="1"/>
  <c r="M454" i="1"/>
  <c r="O453" i="1" a="1"/>
  <c r="O453" i="1" s="1"/>
  <c r="N453" i="1"/>
  <c r="M453" i="1"/>
  <c r="O452" i="1" a="1"/>
  <c r="O452" i="1" s="1"/>
  <c r="N452" i="1"/>
  <c r="M452" i="1"/>
  <c r="O451" i="1" a="1"/>
  <c r="O451" i="1" s="1"/>
  <c r="N451" i="1"/>
  <c r="M451" i="1"/>
  <c r="O450" i="1" a="1"/>
  <c r="O450" i="1" s="1"/>
  <c r="N450" i="1"/>
  <c r="M450" i="1"/>
  <c r="O449" i="1"/>
  <c r="O449" i="1" a="1"/>
  <c r="N449" i="1"/>
  <c r="M449" i="1"/>
  <c r="O448" i="1" a="1"/>
  <c r="O448" i="1" s="1"/>
  <c r="N448" i="1"/>
  <c r="M448" i="1"/>
  <c r="O447" i="1"/>
  <c r="O447" i="1" a="1"/>
  <c r="N447" i="1"/>
  <c r="M447" i="1"/>
  <c r="O446" i="1" a="1"/>
  <c r="O446" i="1" s="1"/>
  <c r="N446" i="1"/>
  <c r="M446" i="1"/>
  <c r="O445" i="1" a="1"/>
  <c r="O445" i="1" s="1"/>
  <c r="N445" i="1"/>
  <c r="M445" i="1"/>
  <c r="O444" i="1"/>
  <c r="O444" i="1" a="1"/>
  <c r="N444" i="1"/>
  <c r="M444" i="1"/>
  <c r="O443" i="1" a="1"/>
  <c r="O443" i="1" s="1"/>
  <c r="N443" i="1"/>
  <c r="M443" i="1"/>
  <c r="O442" i="1" a="1"/>
  <c r="O442" i="1" s="1"/>
  <c r="N442" i="1"/>
  <c r="M442" i="1"/>
  <c r="O441" i="1"/>
  <c r="O441" i="1" a="1"/>
  <c r="N441" i="1"/>
  <c r="M441" i="1"/>
  <c r="O440" i="1"/>
  <c r="O440" i="1" a="1"/>
  <c r="N440" i="1"/>
  <c r="M440" i="1"/>
  <c r="O439" i="1" a="1"/>
  <c r="O439" i="1" s="1"/>
  <c r="N439" i="1"/>
  <c r="M439" i="1"/>
  <c r="O438" i="1" a="1"/>
  <c r="O438" i="1" s="1"/>
  <c r="N438" i="1"/>
  <c r="M438" i="1"/>
  <c r="O437" i="1" a="1"/>
  <c r="O437" i="1" s="1"/>
  <c r="N437" i="1"/>
  <c r="M437" i="1"/>
  <c r="O436" i="1" a="1"/>
  <c r="O436" i="1" s="1"/>
  <c r="N436" i="1"/>
  <c r="M436" i="1"/>
  <c r="O435" i="1" a="1"/>
  <c r="O435" i="1" s="1"/>
  <c r="N435" i="1"/>
  <c r="M435" i="1"/>
  <c r="O434" i="1" a="1"/>
  <c r="O434" i="1" s="1"/>
  <c r="N434" i="1"/>
  <c r="M434" i="1"/>
  <c r="O433" i="1"/>
  <c r="O433" i="1" a="1"/>
  <c r="N433" i="1"/>
  <c r="M433" i="1"/>
  <c r="O432" i="1" a="1"/>
  <c r="O432" i="1" s="1"/>
  <c r="N432" i="1"/>
  <c r="M432" i="1"/>
  <c r="O431" i="1"/>
  <c r="O431" i="1" a="1"/>
  <c r="N431" i="1"/>
  <c r="M431" i="1"/>
  <c r="O430" i="1"/>
  <c r="O430" i="1" a="1"/>
  <c r="N430" i="1"/>
  <c r="M430" i="1"/>
  <c r="O429" i="1" a="1"/>
  <c r="O429" i="1" s="1"/>
  <c r="N429" i="1"/>
  <c r="M429" i="1"/>
  <c r="O428" i="1"/>
  <c r="O428" i="1" a="1"/>
  <c r="N428" i="1"/>
  <c r="M428" i="1"/>
  <c r="O427" i="1" a="1"/>
  <c r="O427" i="1" s="1"/>
  <c r="N427" i="1"/>
  <c r="M427" i="1"/>
  <c r="O426" i="1"/>
  <c r="O426" i="1" a="1"/>
  <c r="N426" i="1"/>
  <c r="M426" i="1"/>
  <c r="O425" i="1" a="1"/>
  <c r="O425" i="1" s="1"/>
  <c r="N425" i="1"/>
  <c r="M425" i="1"/>
  <c r="O424" i="1" a="1"/>
  <c r="O424" i="1" s="1"/>
  <c r="N424" i="1"/>
  <c r="M424" i="1"/>
  <c r="O423" i="1"/>
  <c r="O423" i="1" a="1"/>
  <c r="N423" i="1"/>
  <c r="M423" i="1"/>
  <c r="O422" i="1" a="1"/>
  <c r="O422" i="1" s="1"/>
  <c r="N422" i="1"/>
  <c r="M422" i="1"/>
  <c r="O421" i="1"/>
  <c r="O421" i="1" a="1"/>
  <c r="N421" i="1"/>
  <c r="M421" i="1"/>
  <c r="O420" i="1"/>
  <c r="O420" i="1" a="1"/>
  <c r="N420" i="1"/>
  <c r="M420" i="1"/>
  <c r="O419" i="1"/>
  <c r="O419" i="1" a="1"/>
  <c r="N419" i="1"/>
  <c r="M419" i="1"/>
  <c r="O418" i="1" a="1"/>
  <c r="O418" i="1" s="1"/>
  <c r="N418" i="1"/>
  <c r="M418" i="1"/>
  <c r="O417" i="1" a="1"/>
  <c r="O417" i="1" s="1"/>
  <c r="N417" i="1"/>
  <c r="M417" i="1"/>
  <c r="O416" i="1" a="1"/>
  <c r="O416" i="1" s="1"/>
  <c r="N416" i="1"/>
  <c r="M416" i="1"/>
  <c r="O415" i="1" a="1"/>
  <c r="O415" i="1" s="1"/>
  <c r="N415" i="1"/>
  <c r="M415" i="1"/>
  <c r="O414" i="1"/>
  <c r="O414" i="1" a="1"/>
  <c r="N414" i="1"/>
  <c r="M414" i="1"/>
  <c r="O413" i="1" a="1"/>
  <c r="O413" i="1" s="1"/>
  <c r="N413" i="1"/>
  <c r="M413" i="1"/>
  <c r="O412" i="1"/>
  <c r="O412" i="1" a="1"/>
  <c r="N412" i="1"/>
  <c r="M412" i="1"/>
  <c r="O411" i="1" a="1"/>
  <c r="O411" i="1" s="1"/>
  <c r="N411" i="1"/>
  <c r="M411" i="1"/>
  <c r="O410" i="1" a="1"/>
  <c r="O410" i="1" s="1"/>
  <c r="N410" i="1"/>
  <c r="M410" i="1"/>
  <c r="O409" i="1" a="1"/>
  <c r="O409" i="1" s="1"/>
  <c r="N409" i="1"/>
  <c r="M409" i="1"/>
  <c r="O408" i="1" a="1"/>
  <c r="O408" i="1" s="1"/>
  <c r="N408" i="1"/>
  <c r="M408" i="1"/>
  <c r="O407" i="1" a="1"/>
  <c r="O407" i="1" s="1"/>
  <c r="N407" i="1"/>
  <c r="M407" i="1"/>
  <c r="O406" i="1" a="1"/>
  <c r="O406" i="1" s="1"/>
  <c r="N406" i="1"/>
  <c r="M406" i="1"/>
  <c r="O405" i="1"/>
  <c r="O405" i="1" a="1"/>
  <c r="N405" i="1"/>
  <c r="M405" i="1"/>
  <c r="O404" i="1" a="1"/>
  <c r="O404" i="1" s="1"/>
  <c r="N404" i="1"/>
  <c r="M404" i="1"/>
  <c r="O403" i="1"/>
  <c r="O403" i="1" a="1"/>
  <c r="N403" i="1"/>
  <c r="M403" i="1"/>
  <c r="O402" i="1"/>
  <c r="O402" i="1" a="1"/>
  <c r="N402" i="1"/>
  <c r="M402" i="1"/>
  <c r="O401" i="1" a="1"/>
  <c r="O401" i="1" s="1"/>
  <c r="N401" i="1"/>
  <c r="M401" i="1"/>
  <c r="O400" i="1"/>
  <c r="O400" i="1" a="1"/>
  <c r="N400" i="1"/>
  <c r="M400" i="1"/>
  <c r="O399" i="1"/>
  <c r="O399" i="1" a="1"/>
  <c r="N399" i="1"/>
  <c r="M399" i="1"/>
  <c r="O398" i="1"/>
  <c r="O398" i="1" a="1"/>
  <c r="N398" i="1"/>
  <c r="M398" i="1"/>
  <c r="O397" i="1" a="1"/>
  <c r="O397" i="1" s="1"/>
  <c r="N397" i="1"/>
  <c r="M397" i="1"/>
  <c r="O396" i="1"/>
  <c r="O396" i="1" a="1"/>
  <c r="N396" i="1"/>
  <c r="M396" i="1"/>
  <c r="O395" i="1" a="1"/>
  <c r="O395" i="1" s="1"/>
  <c r="N395" i="1"/>
  <c r="M395" i="1"/>
  <c r="O394" i="1" a="1"/>
  <c r="O394" i="1" s="1"/>
  <c r="N394" i="1"/>
  <c r="M394" i="1"/>
  <c r="O393" i="1" a="1"/>
  <c r="O393" i="1" s="1"/>
  <c r="N393" i="1"/>
  <c r="M393" i="1"/>
  <c r="O392" i="1" a="1"/>
  <c r="O392" i="1" s="1"/>
  <c r="N392" i="1"/>
  <c r="M392" i="1"/>
  <c r="O391" i="1"/>
  <c r="O391" i="1" a="1"/>
  <c r="N391" i="1"/>
  <c r="M391" i="1"/>
  <c r="O390" i="1" a="1"/>
  <c r="O390" i="1" s="1"/>
  <c r="N390" i="1"/>
  <c r="M390" i="1"/>
  <c r="O389" i="1" a="1"/>
  <c r="O389" i="1" s="1"/>
  <c r="N389" i="1"/>
  <c r="M389" i="1"/>
  <c r="O388" i="1"/>
  <c r="O388" i="1" a="1"/>
  <c r="N388" i="1"/>
  <c r="M388" i="1"/>
  <c r="O387" i="1" a="1"/>
  <c r="O387" i="1" s="1"/>
  <c r="N387" i="1"/>
  <c r="M387" i="1"/>
  <c r="O386" i="1"/>
  <c r="O386" i="1" a="1"/>
  <c r="N386" i="1"/>
  <c r="M386" i="1"/>
  <c r="O385" i="1"/>
  <c r="O385" i="1" a="1"/>
  <c r="N385" i="1"/>
  <c r="M385" i="1"/>
  <c r="O384" i="1"/>
  <c r="O384" i="1" a="1"/>
  <c r="N384" i="1"/>
  <c r="M384" i="1"/>
  <c r="O383" i="1" a="1"/>
  <c r="O383" i="1" s="1"/>
  <c r="N383" i="1"/>
  <c r="M383" i="1"/>
  <c r="O382" i="1"/>
  <c r="O382" i="1" a="1"/>
  <c r="N382" i="1"/>
  <c r="M382" i="1"/>
  <c r="O381" i="1" a="1"/>
  <c r="O381" i="1" s="1"/>
  <c r="N381" i="1"/>
  <c r="M381" i="1"/>
  <c r="O380" i="1" a="1"/>
  <c r="O380" i="1" s="1"/>
  <c r="N380" i="1"/>
  <c r="M380" i="1"/>
  <c r="O379" i="1" a="1"/>
  <c r="O379" i="1" s="1"/>
  <c r="N379" i="1"/>
  <c r="M379" i="1"/>
  <c r="O378" i="1" a="1"/>
  <c r="O378" i="1" s="1"/>
  <c r="N378" i="1"/>
  <c r="M378" i="1"/>
  <c r="O377" i="1"/>
  <c r="O377" i="1" a="1"/>
  <c r="N377" i="1"/>
  <c r="M377" i="1"/>
  <c r="O376" i="1" a="1"/>
  <c r="O376" i="1" s="1"/>
  <c r="N376" i="1"/>
  <c r="M376" i="1"/>
  <c r="O375" i="1" a="1"/>
  <c r="O375" i="1" s="1"/>
  <c r="N375" i="1"/>
  <c r="M375" i="1"/>
  <c r="O374" i="1"/>
  <c r="O374" i="1" a="1"/>
  <c r="N374" i="1"/>
  <c r="M374" i="1"/>
  <c r="O373" i="1"/>
  <c r="O373" i="1" a="1"/>
  <c r="N373" i="1"/>
  <c r="M373" i="1"/>
  <c r="O372" i="1" a="1"/>
  <c r="O372" i="1" s="1"/>
  <c r="N372" i="1"/>
  <c r="M372" i="1"/>
  <c r="O371" i="1"/>
  <c r="O371" i="1" a="1"/>
  <c r="N371" i="1"/>
  <c r="M371" i="1"/>
  <c r="O370" i="1"/>
  <c r="O370" i="1" a="1"/>
  <c r="N370" i="1"/>
  <c r="M370" i="1"/>
  <c r="O369" i="1" a="1"/>
  <c r="O369" i="1" s="1"/>
  <c r="N369" i="1"/>
  <c r="M369" i="1"/>
  <c r="O368" i="1" a="1"/>
  <c r="O368" i="1" s="1"/>
  <c r="N368" i="1"/>
  <c r="M368" i="1"/>
  <c r="O367" i="1" a="1"/>
  <c r="O367" i="1" s="1"/>
  <c r="N367" i="1"/>
  <c r="M367" i="1"/>
  <c r="O366" i="1"/>
  <c r="O366" i="1" a="1"/>
  <c r="N366" i="1"/>
  <c r="M366" i="1"/>
  <c r="O365" i="1" a="1"/>
  <c r="O365" i="1" s="1"/>
  <c r="N365" i="1"/>
  <c r="M365" i="1"/>
  <c r="O364" i="1" a="1"/>
  <c r="O364" i="1" s="1"/>
  <c r="N364" i="1"/>
  <c r="M364" i="1"/>
  <c r="O363" i="1"/>
  <c r="O363" i="1" a="1"/>
  <c r="N363" i="1"/>
  <c r="M363" i="1"/>
  <c r="O362" i="1" a="1"/>
  <c r="O362" i="1" s="1"/>
  <c r="N362" i="1"/>
  <c r="M362" i="1"/>
  <c r="O361" i="1"/>
  <c r="O361" i="1" a="1"/>
  <c r="N361" i="1"/>
  <c r="M361" i="1"/>
  <c r="O360" i="1" a="1"/>
  <c r="O360" i="1" s="1"/>
  <c r="N360" i="1"/>
  <c r="M360" i="1"/>
  <c r="O359" i="1" a="1"/>
  <c r="O359" i="1" s="1"/>
  <c r="N359" i="1"/>
  <c r="M359" i="1"/>
  <c r="O358" i="1" a="1"/>
  <c r="O358" i="1" s="1"/>
  <c r="N358" i="1"/>
  <c r="M358" i="1"/>
  <c r="O357" i="1" a="1"/>
  <c r="O357" i="1" s="1"/>
  <c r="N357" i="1"/>
  <c r="M357" i="1"/>
  <c r="O356" i="1"/>
  <c r="O356" i="1" a="1"/>
  <c r="N356" i="1"/>
  <c r="M356" i="1"/>
  <c r="O355" i="1" a="1"/>
  <c r="O355" i="1" s="1"/>
  <c r="N355" i="1"/>
  <c r="M355" i="1"/>
  <c r="O354" i="1" a="1"/>
  <c r="O354" i="1" s="1"/>
  <c r="N354" i="1"/>
  <c r="M354" i="1"/>
  <c r="O353" i="1"/>
  <c r="O353" i="1" a="1"/>
  <c r="N353" i="1"/>
  <c r="M353" i="1"/>
  <c r="O352" i="1" a="1"/>
  <c r="O352" i="1" s="1"/>
  <c r="N352" i="1"/>
  <c r="M352" i="1"/>
  <c r="O351" i="1" a="1"/>
  <c r="O351" i="1" s="1"/>
  <c r="N351" i="1"/>
  <c r="M351" i="1"/>
  <c r="O350" i="1"/>
  <c r="O350" i="1" a="1"/>
  <c r="N350" i="1"/>
  <c r="M350" i="1"/>
  <c r="O349" i="1"/>
  <c r="O349" i="1" a="1"/>
  <c r="N349" i="1"/>
  <c r="M349" i="1"/>
  <c r="O348" i="1" a="1"/>
  <c r="O348" i="1" s="1"/>
  <c r="N348" i="1"/>
  <c r="M348" i="1"/>
  <c r="O347" i="1"/>
  <c r="O347" i="1" a="1"/>
  <c r="N347" i="1"/>
  <c r="M347" i="1"/>
  <c r="O346" i="1" a="1"/>
  <c r="O346" i="1" s="1"/>
  <c r="N346" i="1"/>
  <c r="M346" i="1"/>
  <c r="O345" i="1"/>
  <c r="O345" i="1" a="1"/>
  <c r="N345" i="1"/>
  <c r="M345" i="1"/>
  <c r="O344" i="1"/>
  <c r="O344" i="1" a="1"/>
  <c r="N344" i="1"/>
  <c r="M344" i="1"/>
  <c r="O343" i="1"/>
  <c r="O343" i="1" a="1"/>
  <c r="N343" i="1"/>
  <c r="M343" i="1"/>
  <c r="O342" i="1"/>
  <c r="O342" i="1" a="1"/>
  <c r="N342" i="1"/>
  <c r="M342" i="1"/>
  <c r="O341" i="1" a="1"/>
  <c r="O341" i="1" s="1"/>
  <c r="N341" i="1"/>
  <c r="M341" i="1"/>
  <c r="O340" i="1"/>
  <c r="O340" i="1" a="1"/>
  <c r="N340" i="1"/>
  <c r="M340" i="1"/>
  <c r="O339" i="1" a="1"/>
  <c r="O339" i="1" s="1"/>
  <c r="N339" i="1"/>
  <c r="M339" i="1"/>
  <c r="O338" i="1" a="1"/>
  <c r="O338" i="1" s="1"/>
  <c r="N338" i="1"/>
  <c r="M338" i="1"/>
  <c r="O337" i="1" a="1"/>
  <c r="O337" i="1" s="1"/>
  <c r="N337" i="1"/>
  <c r="M337" i="1"/>
  <c r="O336" i="1"/>
  <c r="O336" i="1" a="1"/>
  <c r="N336" i="1"/>
  <c r="M336" i="1"/>
  <c r="O335" i="1"/>
  <c r="O335" i="1" a="1"/>
  <c r="N335" i="1"/>
  <c r="M335" i="1"/>
  <c r="O334" i="1" a="1"/>
  <c r="O334" i="1" s="1"/>
  <c r="N334" i="1"/>
  <c r="M334" i="1"/>
  <c r="O333" i="1" a="1"/>
  <c r="O333" i="1" s="1"/>
  <c r="N333" i="1"/>
  <c r="M333" i="1"/>
  <c r="O332" i="1"/>
  <c r="O332" i="1" a="1"/>
  <c r="N332" i="1"/>
  <c r="M332" i="1"/>
  <c r="O331" i="1" a="1"/>
  <c r="O331" i="1" s="1"/>
  <c r="N331" i="1"/>
  <c r="M331" i="1"/>
  <c r="O330" i="1" a="1"/>
  <c r="O330" i="1" s="1"/>
  <c r="N330" i="1"/>
  <c r="M330" i="1"/>
  <c r="O329" i="1" a="1"/>
  <c r="O329" i="1" s="1"/>
  <c r="N329" i="1"/>
  <c r="M329" i="1"/>
  <c r="O328" i="1"/>
  <c r="O328" i="1" a="1"/>
  <c r="N328" i="1"/>
  <c r="M328" i="1"/>
  <c r="O327" i="1" a="1"/>
  <c r="O327" i="1" s="1"/>
  <c r="N327" i="1"/>
  <c r="M327" i="1"/>
  <c r="O326" i="1" a="1"/>
  <c r="O326" i="1" s="1"/>
  <c r="N326" i="1"/>
  <c r="M326" i="1"/>
  <c r="O325" i="1"/>
  <c r="O325" i="1" a="1"/>
  <c r="N325" i="1"/>
  <c r="M325" i="1"/>
  <c r="O324" i="1" a="1"/>
  <c r="O324" i="1" s="1"/>
  <c r="N324" i="1"/>
  <c r="M324" i="1"/>
  <c r="O323" i="1" a="1"/>
  <c r="O323" i="1" s="1"/>
  <c r="N323" i="1"/>
  <c r="M323" i="1"/>
  <c r="O322" i="1" a="1"/>
  <c r="O322" i="1" s="1"/>
  <c r="N322" i="1"/>
  <c r="M322" i="1"/>
  <c r="O321" i="1" a="1"/>
  <c r="O321" i="1" s="1"/>
  <c r="N321" i="1"/>
  <c r="M321" i="1"/>
  <c r="O320" i="1"/>
  <c r="O320" i="1" a="1"/>
  <c r="N320" i="1"/>
  <c r="M320" i="1"/>
  <c r="O319" i="1" a="1"/>
  <c r="O319" i="1" s="1"/>
  <c r="N319" i="1"/>
  <c r="M319" i="1"/>
  <c r="O318" i="1"/>
  <c r="O318" i="1" a="1"/>
  <c r="N318" i="1"/>
  <c r="M318" i="1"/>
  <c r="O317" i="1"/>
  <c r="O317" i="1" a="1"/>
  <c r="N317" i="1"/>
  <c r="M317" i="1"/>
  <c r="O316" i="1" a="1"/>
  <c r="O316" i="1" s="1"/>
  <c r="N316" i="1"/>
  <c r="M316" i="1"/>
  <c r="O315" i="1" a="1"/>
  <c r="O315" i="1" s="1"/>
  <c r="N315" i="1"/>
  <c r="M315" i="1"/>
  <c r="O314" i="1"/>
  <c r="O314" i="1" a="1"/>
  <c r="N314" i="1"/>
  <c r="M314" i="1"/>
  <c r="O313" i="1" a="1"/>
  <c r="O313" i="1" s="1"/>
  <c r="N313" i="1"/>
  <c r="M313" i="1"/>
  <c r="O312" i="1" a="1"/>
  <c r="O312" i="1" s="1"/>
  <c r="N312" i="1"/>
  <c r="M312" i="1"/>
  <c r="O311" i="1"/>
  <c r="O311" i="1" a="1"/>
  <c r="N311" i="1"/>
  <c r="M311" i="1"/>
  <c r="O310" i="1" a="1"/>
  <c r="O310" i="1" s="1"/>
  <c r="N310" i="1"/>
  <c r="M310" i="1"/>
  <c r="O309" i="1" a="1"/>
  <c r="O309" i="1" s="1"/>
  <c r="N309" i="1"/>
  <c r="M309" i="1"/>
  <c r="O308" i="1" a="1"/>
  <c r="O308" i="1" s="1"/>
  <c r="N308" i="1"/>
  <c r="M308" i="1"/>
  <c r="O307" i="1" a="1"/>
  <c r="O307" i="1" s="1"/>
  <c r="N307" i="1"/>
  <c r="M307" i="1"/>
  <c r="O306" i="1" a="1"/>
  <c r="O306" i="1" s="1"/>
  <c r="N306" i="1"/>
  <c r="M306" i="1"/>
  <c r="O305" i="1" a="1"/>
  <c r="O305" i="1" s="1"/>
  <c r="N305" i="1"/>
  <c r="M305" i="1"/>
  <c r="O304" i="1"/>
  <c r="O304" i="1" a="1"/>
  <c r="N304" i="1"/>
  <c r="M304" i="1"/>
  <c r="O303" i="1"/>
  <c r="O303" i="1" a="1"/>
  <c r="N303" i="1"/>
  <c r="M303" i="1"/>
  <c r="O302" i="1"/>
  <c r="O302" i="1" a="1"/>
  <c r="N302" i="1"/>
  <c r="M302" i="1"/>
  <c r="O301" i="1" a="1"/>
  <c r="O301" i="1" s="1"/>
  <c r="N301" i="1"/>
  <c r="M301" i="1"/>
  <c r="O300" i="1" a="1"/>
  <c r="O300" i="1" s="1"/>
  <c r="N300" i="1"/>
  <c r="M300" i="1"/>
  <c r="O299" i="1"/>
  <c r="O299" i="1" a="1"/>
  <c r="N299" i="1"/>
  <c r="M299" i="1"/>
  <c r="O298" i="1" a="1"/>
  <c r="O298" i="1" s="1"/>
  <c r="N298" i="1"/>
  <c r="M298" i="1"/>
  <c r="O297" i="1"/>
  <c r="O297" i="1" a="1"/>
  <c r="N297" i="1"/>
  <c r="M297" i="1"/>
  <c r="O296" i="1" a="1"/>
  <c r="O296" i="1" s="1"/>
  <c r="N296" i="1"/>
  <c r="M296" i="1"/>
  <c r="O295" i="1" a="1"/>
  <c r="O295" i="1" s="1"/>
  <c r="N295" i="1"/>
  <c r="M295" i="1"/>
  <c r="O294" i="1" a="1"/>
  <c r="O294" i="1" s="1"/>
  <c r="N294" i="1"/>
  <c r="M294" i="1"/>
  <c r="O293" i="1"/>
  <c r="O293" i="1" a="1"/>
  <c r="N293" i="1"/>
  <c r="M293" i="1"/>
  <c r="O292" i="1" a="1"/>
  <c r="O292" i="1" s="1"/>
  <c r="N292" i="1"/>
  <c r="M292" i="1"/>
  <c r="O291" i="1" a="1"/>
  <c r="O291" i="1" s="1"/>
  <c r="N291" i="1"/>
  <c r="M291" i="1"/>
  <c r="O290" i="1"/>
  <c r="O290" i="1" a="1"/>
  <c r="N290" i="1"/>
  <c r="M290" i="1"/>
  <c r="O289" i="1" a="1"/>
  <c r="O289" i="1" s="1"/>
  <c r="N289" i="1"/>
  <c r="M289" i="1"/>
  <c r="O288" i="1"/>
  <c r="O288" i="1" a="1"/>
  <c r="N288" i="1"/>
  <c r="M288" i="1"/>
  <c r="O287" i="1" a="1"/>
  <c r="O287" i="1" s="1"/>
  <c r="N287" i="1"/>
  <c r="M287" i="1"/>
  <c r="O286" i="1" a="1"/>
  <c r="O286" i="1" s="1"/>
  <c r="N286" i="1"/>
  <c r="M286" i="1"/>
  <c r="O285" i="1" a="1"/>
  <c r="O285" i="1" s="1"/>
  <c r="N285" i="1"/>
  <c r="M285" i="1"/>
  <c r="O284" i="1" a="1"/>
  <c r="O284" i="1" s="1"/>
  <c r="N284" i="1"/>
  <c r="M284" i="1"/>
  <c r="O283" i="1"/>
  <c r="O283" i="1" a="1"/>
  <c r="N283" i="1"/>
  <c r="M283" i="1"/>
  <c r="O282" i="1" a="1"/>
  <c r="O282" i="1" s="1"/>
  <c r="N282" i="1"/>
  <c r="M282" i="1"/>
  <c r="O281" i="1" a="1"/>
  <c r="O281" i="1" s="1"/>
  <c r="N281" i="1"/>
  <c r="M281" i="1"/>
  <c r="O280" i="1" a="1"/>
  <c r="O280" i="1" s="1"/>
  <c r="N280" i="1"/>
  <c r="M280" i="1"/>
  <c r="O279" i="1" a="1"/>
  <c r="O279" i="1" s="1"/>
  <c r="N279" i="1"/>
  <c r="M279" i="1"/>
  <c r="O278" i="1"/>
  <c r="O278" i="1" a="1"/>
  <c r="N278" i="1"/>
  <c r="M278" i="1"/>
  <c r="O277" i="1" a="1"/>
  <c r="O277" i="1" s="1"/>
  <c r="N277" i="1"/>
  <c r="M277" i="1"/>
  <c r="O276" i="1"/>
  <c r="O276" i="1" a="1"/>
  <c r="N276" i="1"/>
  <c r="M276" i="1"/>
  <c r="O275" i="1"/>
  <c r="O275" i="1" a="1"/>
  <c r="N275" i="1"/>
  <c r="M275" i="1"/>
  <c r="O274" i="1" a="1"/>
  <c r="O274" i="1" s="1"/>
  <c r="N274" i="1"/>
  <c r="M274" i="1"/>
  <c r="O273" i="1" a="1"/>
  <c r="O273" i="1" s="1"/>
  <c r="N273" i="1"/>
  <c r="M273" i="1"/>
  <c r="O272" i="1"/>
  <c r="O272" i="1" a="1"/>
  <c r="N272" i="1"/>
  <c r="M272" i="1"/>
  <c r="O271" i="1" a="1"/>
  <c r="O271" i="1" s="1"/>
  <c r="N271" i="1"/>
  <c r="M271" i="1"/>
  <c r="O270" i="1" a="1"/>
  <c r="O270" i="1" s="1"/>
  <c r="N270" i="1"/>
  <c r="M270" i="1"/>
  <c r="O269" i="1"/>
  <c r="O269" i="1" a="1"/>
  <c r="N269" i="1"/>
  <c r="M269" i="1"/>
  <c r="O268" i="1"/>
  <c r="O268" i="1" a="1"/>
  <c r="N268" i="1"/>
  <c r="M268" i="1"/>
  <c r="O267" i="1" a="1"/>
  <c r="O267" i="1" s="1"/>
  <c r="N267" i="1"/>
  <c r="M267" i="1"/>
  <c r="O266" i="1" a="1"/>
  <c r="O266" i="1" s="1"/>
  <c r="N266" i="1"/>
  <c r="M266" i="1"/>
  <c r="O265" i="1" a="1"/>
  <c r="O265" i="1" s="1"/>
  <c r="N265" i="1"/>
  <c r="M265" i="1"/>
  <c r="O264" i="1" a="1"/>
  <c r="O264" i="1" s="1"/>
  <c r="N264" i="1"/>
  <c r="M264" i="1"/>
  <c r="O263" i="1" a="1"/>
  <c r="O263" i="1" s="1"/>
  <c r="N263" i="1"/>
  <c r="M263" i="1"/>
  <c r="O262" i="1"/>
  <c r="O262" i="1" a="1"/>
  <c r="N262" i="1"/>
  <c r="M262" i="1"/>
  <c r="O261" i="1" a="1"/>
  <c r="O261" i="1" s="1"/>
  <c r="N261" i="1"/>
  <c r="M261" i="1"/>
  <c r="O260" i="1"/>
  <c r="O260" i="1" a="1"/>
  <c r="N260" i="1"/>
  <c r="M260" i="1"/>
  <c r="O259" i="1" a="1"/>
  <c r="O259" i="1" s="1"/>
  <c r="N259" i="1"/>
  <c r="M259" i="1"/>
  <c r="O258" i="1" a="1"/>
  <c r="O258" i="1" s="1"/>
  <c r="N258" i="1"/>
  <c r="M258" i="1"/>
  <c r="O257" i="1"/>
  <c r="O257" i="1" a="1"/>
  <c r="N257" i="1"/>
  <c r="M257" i="1"/>
  <c r="O256" i="1" a="1"/>
  <c r="O256" i="1" s="1"/>
  <c r="N256" i="1"/>
  <c r="M256" i="1"/>
  <c r="O255" i="1" a="1"/>
  <c r="O255" i="1" s="1"/>
  <c r="N255" i="1"/>
  <c r="M255" i="1"/>
  <c r="O254" i="1" a="1"/>
  <c r="O254" i="1" s="1"/>
  <c r="N254" i="1"/>
  <c r="M254" i="1"/>
  <c r="O253" i="1"/>
  <c r="O253" i="1" a="1"/>
  <c r="N253" i="1"/>
  <c r="M253" i="1"/>
  <c r="O252" i="1" a="1"/>
  <c r="O252" i="1" s="1"/>
  <c r="N252" i="1"/>
  <c r="M252" i="1"/>
  <c r="O251" i="1" a="1"/>
  <c r="O251" i="1" s="1"/>
  <c r="N251" i="1"/>
  <c r="M251" i="1"/>
  <c r="O250" i="1" a="1"/>
  <c r="O250" i="1" s="1"/>
  <c r="N250" i="1"/>
  <c r="M250" i="1"/>
  <c r="O249" i="1" a="1"/>
  <c r="O249" i="1" s="1"/>
  <c r="N249" i="1"/>
  <c r="M249" i="1"/>
  <c r="O248" i="1" a="1"/>
  <c r="O248" i="1" s="1"/>
  <c r="N248" i="1"/>
  <c r="M248" i="1"/>
  <c r="O247" i="1" a="1"/>
  <c r="O247" i="1" s="1"/>
  <c r="N247" i="1"/>
  <c r="M247" i="1"/>
  <c r="O246" i="1" a="1"/>
  <c r="O246" i="1" s="1"/>
  <c r="N246" i="1"/>
  <c r="M246" i="1"/>
  <c r="O245" i="1" a="1"/>
  <c r="O245" i="1" s="1"/>
  <c r="N245" i="1"/>
  <c r="M245" i="1"/>
  <c r="O244" i="1" a="1"/>
  <c r="O244" i="1" s="1"/>
  <c r="N244" i="1"/>
  <c r="M244" i="1"/>
  <c r="O243" i="1" a="1"/>
  <c r="O243" i="1" s="1"/>
  <c r="N243" i="1"/>
  <c r="M243" i="1"/>
  <c r="O242" i="1" a="1"/>
  <c r="O242" i="1" s="1"/>
  <c r="N242" i="1"/>
  <c r="M242" i="1"/>
  <c r="O241" i="1" a="1"/>
  <c r="O241" i="1" s="1"/>
  <c r="N241" i="1"/>
  <c r="M241" i="1"/>
  <c r="O240" i="1" a="1"/>
  <c r="O240" i="1" s="1"/>
  <c r="N240" i="1"/>
  <c r="M240" i="1"/>
  <c r="O239" i="1" a="1"/>
  <c r="O239" i="1" s="1"/>
  <c r="N239" i="1"/>
  <c r="M239" i="1"/>
  <c r="O238" i="1" a="1"/>
  <c r="O238" i="1" s="1"/>
  <c r="N238" i="1"/>
  <c r="M238" i="1"/>
  <c r="O237" i="1"/>
  <c r="O237" i="1" a="1"/>
  <c r="N237" i="1"/>
  <c r="M237" i="1"/>
  <c r="O236" i="1" a="1"/>
  <c r="O236" i="1" s="1"/>
  <c r="N236" i="1"/>
  <c r="M236" i="1"/>
  <c r="O235" i="1" a="1"/>
  <c r="O235" i="1" s="1"/>
  <c r="N235" i="1"/>
  <c r="M235" i="1"/>
  <c r="O234" i="1"/>
  <c r="O234" i="1" a="1"/>
  <c r="N234" i="1"/>
  <c r="M234" i="1"/>
  <c r="O233" i="1" a="1"/>
  <c r="O233" i="1" s="1"/>
  <c r="N233" i="1"/>
  <c r="M233" i="1"/>
  <c r="O232" i="1" a="1"/>
  <c r="O232" i="1" s="1"/>
  <c r="N232" i="1"/>
  <c r="M232" i="1"/>
  <c r="O231" i="1" a="1"/>
  <c r="O231" i="1" s="1"/>
  <c r="N231" i="1"/>
  <c r="M231" i="1"/>
  <c r="O230" i="1" a="1"/>
  <c r="O230" i="1" s="1"/>
  <c r="N230" i="1"/>
  <c r="M230" i="1"/>
  <c r="O229" i="1" a="1"/>
  <c r="O229" i="1" s="1"/>
  <c r="N229" i="1"/>
  <c r="M229" i="1"/>
  <c r="O228" i="1" a="1"/>
  <c r="O228" i="1" s="1"/>
  <c r="N228" i="1"/>
  <c r="M228" i="1"/>
  <c r="O227" i="1" a="1"/>
  <c r="O227" i="1" s="1"/>
  <c r="N227" i="1"/>
  <c r="M227" i="1"/>
  <c r="O226" i="1" a="1"/>
  <c r="O226" i="1" s="1"/>
  <c r="N226" i="1"/>
  <c r="M226" i="1"/>
  <c r="O225" i="1" a="1"/>
  <c r="O225" i="1" s="1"/>
  <c r="N225" i="1"/>
  <c r="M225" i="1"/>
  <c r="O224" i="1" a="1"/>
  <c r="O224" i="1" s="1"/>
  <c r="N224" i="1"/>
  <c r="M224" i="1"/>
  <c r="O223" i="1" a="1"/>
  <c r="O223" i="1" s="1"/>
  <c r="N223" i="1"/>
  <c r="M223" i="1"/>
  <c r="O222" i="1" a="1"/>
  <c r="O222" i="1" s="1"/>
  <c r="N222" i="1"/>
  <c r="M222" i="1"/>
  <c r="O221" i="1" a="1"/>
  <c r="O221" i="1" s="1"/>
  <c r="N221" i="1"/>
  <c r="M221" i="1"/>
  <c r="O220" i="1"/>
  <c r="O220" i="1" a="1"/>
  <c r="N220" i="1"/>
  <c r="M220" i="1"/>
  <c r="O219" i="1"/>
  <c r="O219" i="1" a="1"/>
  <c r="N219" i="1"/>
  <c r="M219" i="1"/>
  <c r="O218" i="1" a="1"/>
  <c r="O218" i="1" s="1"/>
  <c r="N218" i="1"/>
  <c r="M218" i="1"/>
  <c r="O217" i="1" a="1"/>
  <c r="O217" i="1" s="1"/>
  <c r="N217" i="1"/>
  <c r="M217" i="1"/>
  <c r="O216" i="1"/>
  <c r="O216" i="1" a="1"/>
  <c r="N216" i="1"/>
  <c r="M216" i="1"/>
  <c r="O215" i="1" a="1"/>
  <c r="O215" i="1" s="1"/>
  <c r="N215" i="1"/>
  <c r="M215" i="1"/>
  <c r="O214" i="1" a="1"/>
  <c r="O214" i="1" s="1"/>
  <c r="N214" i="1"/>
  <c r="M214" i="1"/>
  <c r="O213" i="1" a="1"/>
  <c r="O213" i="1" s="1"/>
  <c r="N213" i="1"/>
  <c r="M213" i="1"/>
  <c r="O212" i="1" a="1"/>
  <c r="O212" i="1" s="1"/>
  <c r="N212" i="1"/>
  <c r="M212" i="1"/>
  <c r="O211" i="1" a="1"/>
  <c r="O211" i="1" s="1"/>
  <c r="N211" i="1"/>
  <c r="M211" i="1"/>
  <c r="O210" i="1" a="1"/>
  <c r="O210" i="1" s="1"/>
  <c r="N210" i="1"/>
  <c r="M210" i="1"/>
  <c r="O209" i="1" a="1"/>
  <c r="O209" i="1" s="1"/>
  <c r="N209" i="1"/>
  <c r="M209" i="1"/>
  <c r="O208" i="1" a="1"/>
  <c r="O208" i="1" s="1"/>
  <c r="N208" i="1"/>
  <c r="M208" i="1"/>
  <c r="O207" i="1" a="1"/>
  <c r="O207" i="1" s="1"/>
  <c r="N207" i="1"/>
  <c r="M207" i="1"/>
  <c r="O206" i="1" a="1"/>
  <c r="O206" i="1" s="1"/>
  <c r="N206" i="1"/>
  <c r="M206" i="1"/>
  <c r="O205" i="1"/>
  <c r="O205" i="1" a="1"/>
  <c r="N205" i="1"/>
  <c r="M205" i="1"/>
  <c r="O204" i="1"/>
  <c r="O204" i="1" a="1"/>
  <c r="N204" i="1"/>
  <c r="M204" i="1"/>
  <c r="O203" i="1" a="1"/>
  <c r="O203" i="1" s="1"/>
  <c r="N203" i="1"/>
  <c r="M203" i="1"/>
  <c r="O202" i="1" a="1"/>
  <c r="O202" i="1" s="1"/>
  <c r="N202" i="1"/>
  <c r="M202" i="1"/>
  <c r="O201" i="1"/>
  <c r="O201" i="1" a="1"/>
  <c r="N201" i="1"/>
  <c r="M201" i="1"/>
  <c r="O200" i="1" a="1"/>
  <c r="O200" i="1" s="1"/>
  <c r="N200" i="1"/>
  <c r="M200" i="1"/>
  <c r="O199" i="1" a="1"/>
  <c r="O199" i="1" s="1"/>
  <c r="N199" i="1"/>
  <c r="M199" i="1"/>
  <c r="O198" i="1" a="1"/>
  <c r="O198" i="1" s="1"/>
  <c r="N198" i="1"/>
  <c r="M198" i="1"/>
  <c r="O197" i="1" a="1"/>
  <c r="O197" i="1" s="1"/>
  <c r="N197" i="1"/>
  <c r="M197" i="1"/>
  <c r="O196" i="1" a="1"/>
  <c r="O196" i="1" s="1"/>
  <c r="N196" i="1"/>
  <c r="M196" i="1"/>
  <c r="O195" i="1"/>
  <c r="O195" i="1" a="1"/>
  <c r="N195" i="1"/>
  <c r="M195" i="1"/>
  <c r="O194" i="1" a="1"/>
  <c r="O194" i="1" s="1"/>
  <c r="N194" i="1"/>
  <c r="M194" i="1"/>
  <c r="O193" i="1" a="1"/>
  <c r="O193" i="1" s="1"/>
  <c r="N193" i="1"/>
  <c r="M193" i="1"/>
  <c r="O192" i="1"/>
  <c r="O192" i="1" a="1"/>
  <c r="N192" i="1"/>
  <c r="M192" i="1"/>
  <c r="O191" i="1" a="1"/>
  <c r="O191" i="1" s="1"/>
  <c r="N191" i="1"/>
  <c r="M191" i="1"/>
  <c r="O190" i="1"/>
  <c r="O190" i="1" a="1"/>
  <c r="N190" i="1"/>
  <c r="M190" i="1"/>
  <c r="O189" i="1" a="1"/>
  <c r="O189" i="1" s="1"/>
  <c r="N189" i="1"/>
  <c r="M189" i="1"/>
  <c r="O188" i="1" a="1"/>
  <c r="O188" i="1" s="1"/>
  <c r="N188" i="1"/>
  <c r="M188" i="1"/>
  <c r="O187" i="1" a="1"/>
  <c r="O187" i="1" s="1"/>
  <c r="N187" i="1"/>
  <c r="M187" i="1"/>
  <c r="O186" i="1" a="1"/>
  <c r="O186" i="1" s="1"/>
  <c r="N186" i="1"/>
  <c r="M186" i="1"/>
  <c r="O185" i="1"/>
  <c r="O185" i="1" a="1"/>
  <c r="N185" i="1"/>
  <c r="M185" i="1"/>
  <c r="O184" i="1" a="1"/>
  <c r="O184" i="1" s="1"/>
  <c r="N184" i="1"/>
  <c r="M184" i="1"/>
  <c r="O183" i="1" a="1"/>
  <c r="O183" i="1" s="1"/>
  <c r="N183" i="1"/>
  <c r="M183" i="1"/>
  <c r="O182" i="1" a="1"/>
  <c r="O182" i="1" s="1"/>
  <c r="N182" i="1"/>
  <c r="M182" i="1"/>
  <c r="O181" i="1" a="1"/>
  <c r="O181" i="1" s="1"/>
  <c r="N181" i="1"/>
  <c r="M181" i="1"/>
  <c r="O180" i="1"/>
  <c r="O180" i="1" a="1"/>
  <c r="N180" i="1"/>
  <c r="M180" i="1"/>
  <c r="O179" i="1" a="1"/>
  <c r="O179" i="1" s="1"/>
  <c r="N179" i="1"/>
  <c r="M179" i="1"/>
  <c r="O178" i="1" a="1"/>
  <c r="O178" i="1" s="1"/>
  <c r="N178" i="1"/>
  <c r="M178" i="1"/>
  <c r="O177" i="1"/>
  <c r="O177" i="1" a="1"/>
  <c r="N177" i="1"/>
  <c r="M177" i="1"/>
  <c r="O176" i="1" a="1"/>
  <c r="O176" i="1" s="1"/>
  <c r="N176" i="1"/>
  <c r="M176" i="1"/>
  <c r="O175" i="1" a="1"/>
  <c r="O175" i="1" s="1"/>
  <c r="N175" i="1"/>
  <c r="M175" i="1"/>
  <c r="O174" i="1"/>
  <c r="O174" i="1" a="1"/>
  <c r="N174" i="1"/>
  <c r="M174" i="1"/>
  <c r="O173" i="1" a="1"/>
  <c r="O173" i="1" s="1"/>
  <c r="N173" i="1"/>
  <c r="M173" i="1"/>
  <c r="O172" i="1" a="1"/>
  <c r="O172" i="1" s="1"/>
  <c r="N172" i="1"/>
  <c r="M172" i="1"/>
  <c r="O171" i="1" a="1"/>
  <c r="O171" i="1" s="1"/>
  <c r="N171" i="1"/>
  <c r="M171" i="1"/>
  <c r="O170" i="1"/>
  <c r="O170" i="1" a="1"/>
  <c r="N170" i="1"/>
  <c r="M170" i="1"/>
  <c r="O169" i="1" a="1"/>
  <c r="O169" i="1" s="1"/>
  <c r="N169" i="1"/>
  <c r="M169" i="1"/>
  <c r="O168" i="1" a="1"/>
  <c r="O168" i="1" s="1"/>
  <c r="N168" i="1"/>
  <c r="M168" i="1"/>
  <c r="O167" i="1" a="1"/>
  <c r="O167" i="1" s="1"/>
  <c r="N167" i="1"/>
  <c r="M167" i="1"/>
  <c r="O166" i="1" a="1"/>
  <c r="O166" i="1" s="1"/>
  <c r="N166" i="1"/>
  <c r="M166" i="1"/>
  <c r="O165" i="1" a="1"/>
  <c r="O165" i="1" s="1"/>
  <c r="N165" i="1"/>
  <c r="M165" i="1"/>
  <c r="O164" i="1" a="1"/>
  <c r="O164" i="1" s="1"/>
  <c r="N164" i="1"/>
  <c r="M164" i="1"/>
  <c r="O163" i="1" a="1"/>
  <c r="O163" i="1" s="1"/>
  <c r="N163" i="1"/>
  <c r="M163" i="1"/>
  <c r="O162" i="1"/>
  <c r="O162" i="1" a="1"/>
  <c r="N162" i="1"/>
  <c r="M162" i="1"/>
  <c r="O161" i="1" a="1"/>
  <c r="O161" i="1" s="1"/>
  <c r="N161" i="1"/>
  <c r="M161" i="1"/>
  <c r="O160" i="1" a="1"/>
  <c r="O160" i="1" s="1"/>
  <c r="N160" i="1"/>
  <c r="M160" i="1"/>
  <c r="O159" i="1"/>
  <c r="O159" i="1" a="1"/>
  <c r="N159" i="1"/>
  <c r="M159" i="1"/>
  <c r="O158" i="1" a="1"/>
  <c r="O158" i="1" s="1"/>
  <c r="N158" i="1"/>
  <c r="M158" i="1"/>
  <c r="O157" i="1"/>
  <c r="O157" i="1" a="1"/>
  <c r="N157" i="1"/>
  <c r="M157" i="1"/>
  <c r="O156" i="1" a="1"/>
  <c r="O156" i="1" s="1"/>
  <c r="N156" i="1"/>
  <c r="M156" i="1"/>
  <c r="O155" i="1"/>
  <c r="O155" i="1" a="1"/>
  <c r="N155" i="1"/>
  <c r="M155" i="1"/>
  <c r="O154" i="1" a="1"/>
  <c r="O154" i="1" s="1"/>
  <c r="N154" i="1"/>
  <c r="M154" i="1"/>
  <c r="O153" i="1" a="1"/>
  <c r="O153" i="1" s="1"/>
  <c r="N153" i="1"/>
  <c r="M153" i="1"/>
  <c r="O152" i="1" a="1"/>
  <c r="O152" i="1" s="1"/>
  <c r="N152" i="1"/>
  <c r="M152" i="1"/>
  <c r="O151" i="1" a="1"/>
  <c r="O151" i="1" s="1"/>
  <c r="N151" i="1"/>
  <c r="M151" i="1"/>
  <c r="O150" i="1" a="1"/>
  <c r="O150" i="1" s="1"/>
  <c r="N150" i="1"/>
  <c r="M150" i="1"/>
  <c r="O149" i="1" a="1"/>
  <c r="O149" i="1" s="1"/>
  <c r="N149" i="1"/>
  <c r="M149" i="1"/>
  <c r="O148" i="1" a="1"/>
  <c r="O148" i="1" s="1"/>
  <c r="N148" i="1"/>
  <c r="M148" i="1"/>
  <c r="O147" i="1" a="1"/>
  <c r="O147" i="1" s="1"/>
  <c r="N147" i="1"/>
  <c r="M147" i="1"/>
  <c r="O146" i="1" a="1"/>
  <c r="O146" i="1" s="1"/>
  <c r="N146" i="1"/>
  <c r="M146" i="1"/>
  <c r="O145" i="1" a="1"/>
  <c r="O145" i="1" s="1"/>
  <c r="N145" i="1"/>
  <c r="M145" i="1"/>
  <c r="O144" i="1" a="1"/>
  <c r="O144" i="1" s="1"/>
  <c r="N144" i="1"/>
  <c r="M144" i="1"/>
  <c r="O143" i="1" a="1"/>
  <c r="O143" i="1" s="1"/>
  <c r="N143" i="1"/>
  <c r="M143" i="1"/>
  <c r="O142" i="1"/>
  <c r="O142" i="1" a="1"/>
  <c r="N142" i="1"/>
  <c r="M142" i="1"/>
  <c r="O141" i="1" a="1"/>
  <c r="O141" i="1" s="1"/>
  <c r="N141" i="1"/>
  <c r="M141" i="1"/>
  <c r="O140" i="1" a="1"/>
  <c r="O140" i="1" s="1"/>
  <c r="N140" i="1"/>
  <c r="M140" i="1"/>
  <c r="O139" i="1"/>
  <c r="O139" i="1" a="1"/>
  <c r="N139" i="1"/>
  <c r="M139" i="1"/>
  <c r="O138" i="1" a="1"/>
  <c r="O138" i="1" s="1"/>
  <c r="N138" i="1"/>
  <c r="M138" i="1"/>
  <c r="O137" i="1" a="1"/>
  <c r="O137" i="1" s="1"/>
  <c r="N137" i="1"/>
  <c r="M137" i="1"/>
  <c r="O136" i="1"/>
  <c r="O136" i="1" a="1"/>
  <c r="N136" i="1"/>
  <c r="M136" i="1"/>
  <c r="O135" i="1" a="1"/>
  <c r="O135" i="1" s="1"/>
  <c r="N135" i="1"/>
  <c r="M135" i="1"/>
  <c r="O134" i="1" a="1"/>
  <c r="O134" i="1" s="1"/>
  <c r="N134" i="1"/>
  <c r="M134" i="1"/>
  <c r="O133" i="1" a="1"/>
  <c r="O133" i="1" s="1"/>
  <c r="N133" i="1"/>
  <c r="M133" i="1"/>
  <c r="O132" i="1" a="1"/>
  <c r="O132" i="1" s="1"/>
  <c r="N132" i="1"/>
  <c r="M132" i="1"/>
  <c r="O131" i="1" a="1"/>
  <c r="O131" i="1" s="1"/>
  <c r="N131" i="1"/>
  <c r="M131" i="1"/>
  <c r="O130" i="1" a="1"/>
  <c r="O130" i="1" s="1"/>
  <c r="N130" i="1"/>
  <c r="M130" i="1"/>
  <c r="O129" i="1" a="1"/>
  <c r="O129" i="1" s="1"/>
  <c r="N129" i="1"/>
  <c r="M129" i="1"/>
  <c r="O128" i="1" a="1"/>
  <c r="O128" i="1" s="1"/>
  <c r="N128" i="1"/>
  <c r="M128" i="1"/>
  <c r="O127" i="1"/>
  <c r="O127" i="1" a="1"/>
  <c r="N127" i="1"/>
  <c r="M127" i="1"/>
  <c r="O126" i="1" a="1"/>
  <c r="O126" i="1" s="1"/>
  <c r="N126" i="1"/>
  <c r="M126" i="1"/>
  <c r="O125" i="1" a="1"/>
  <c r="O125" i="1" s="1"/>
  <c r="N125" i="1"/>
  <c r="M125" i="1"/>
  <c r="O124" i="1"/>
  <c r="O124" i="1" a="1"/>
  <c r="N124" i="1"/>
  <c r="M124" i="1"/>
  <c r="O123" i="1" a="1"/>
  <c r="O123" i="1" s="1"/>
  <c r="N123" i="1"/>
  <c r="M123" i="1"/>
  <c r="O122" i="1"/>
  <c r="O122" i="1" a="1"/>
  <c r="N122" i="1"/>
  <c r="M122" i="1"/>
  <c r="O121" i="1"/>
  <c r="O121" i="1" a="1"/>
  <c r="N121" i="1"/>
  <c r="M121" i="1"/>
  <c r="O120" i="1" a="1"/>
  <c r="O120" i="1" s="1"/>
  <c r="N120" i="1"/>
  <c r="M120" i="1"/>
  <c r="O119" i="1" a="1"/>
  <c r="O119" i="1" s="1"/>
  <c r="N119" i="1"/>
  <c r="M119" i="1"/>
  <c r="O118" i="1"/>
  <c r="O118" i="1" a="1"/>
  <c r="N118" i="1"/>
  <c r="M118" i="1"/>
  <c r="O117" i="1" a="1"/>
  <c r="O117" i="1" s="1"/>
  <c r="N117" i="1"/>
  <c r="M117" i="1"/>
  <c r="O116" i="1" a="1"/>
  <c r="O116" i="1" s="1"/>
  <c r="N116" i="1"/>
  <c r="M116" i="1"/>
  <c r="O115" i="1" a="1"/>
  <c r="O115" i="1" s="1"/>
  <c r="N115" i="1"/>
  <c r="M115" i="1"/>
  <c r="O114" i="1" a="1"/>
  <c r="O114" i="1" s="1"/>
  <c r="N114" i="1"/>
  <c r="M114" i="1"/>
  <c r="O113" i="1" a="1"/>
  <c r="O113" i="1" s="1"/>
  <c r="N113" i="1"/>
  <c r="M113" i="1"/>
  <c r="O112" i="1" a="1"/>
  <c r="O112" i="1" s="1"/>
  <c r="N112" i="1"/>
  <c r="M112" i="1"/>
  <c r="O111" i="1" a="1"/>
  <c r="O111" i="1" s="1"/>
  <c r="N111" i="1"/>
  <c r="M111" i="1"/>
  <c r="O110" i="1" a="1"/>
  <c r="O110" i="1" s="1"/>
  <c r="N110" i="1"/>
  <c r="M110" i="1"/>
  <c r="O109" i="1" a="1"/>
  <c r="O109" i="1" s="1"/>
  <c r="N109" i="1"/>
  <c r="M109" i="1"/>
  <c r="O108" i="1" a="1"/>
  <c r="O108" i="1" s="1"/>
  <c r="N108" i="1"/>
  <c r="M108" i="1"/>
  <c r="O107" i="1"/>
  <c r="O107" i="1" a="1"/>
  <c r="N107" i="1"/>
  <c r="M107" i="1"/>
  <c r="O106" i="1"/>
  <c r="O106" i="1" a="1"/>
  <c r="N106" i="1"/>
  <c r="M106" i="1"/>
  <c r="O105" i="1" a="1"/>
  <c r="O105" i="1" s="1"/>
  <c r="N105" i="1"/>
  <c r="M105" i="1"/>
  <c r="O104" i="1" a="1"/>
  <c r="O104" i="1" s="1"/>
  <c r="N104" i="1"/>
  <c r="M104" i="1"/>
  <c r="O103" i="1"/>
  <c r="O103" i="1" a="1"/>
  <c r="N103" i="1"/>
  <c r="M103" i="1"/>
  <c r="O102" i="1" a="1"/>
  <c r="O102" i="1" s="1"/>
  <c r="N102" i="1"/>
  <c r="M102" i="1"/>
  <c r="O101" i="1" a="1"/>
  <c r="O101" i="1" s="1"/>
  <c r="N101" i="1"/>
  <c r="M101" i="1"/>
  <c r="O100" i="1" a="1"/>
  <c r="O100" i="1" s="1"/>
  <c r="N100" i="1"/>
  <c r="M100" i="1"/>
  <c r="O99" i="1" a="1"/>
  <c r="O99" i="1" s="1"/>
  <c r="N99" i="1"/>
  <c r="M99" i="1"/>
  <c r="O98" i="1" a="1"/>
  <c r="O98" i="1" s="1"/>
  <c r="N98" i="1"/>
  <c r="M98" i="1"/>
  <c r="O97" i="1"/>
  <c r="O97" i="1" a="1"/>
  <c r="N97" i="1"/>
  <c r="M97" i="1"/>
  <c r="O96" i="1" a="1"/>
  <c r="O96" i="1" s="1"/>
  <c r="N96" i="1"/>
  <c r="M96" i="1"/>
  <c r="O95" i="1" a="1"/>
  <c r="O95" i="1" s="1"/>
  <c r="N95" i="1"/>
  <c r="M95" i="1"/>
  <c r="O94" i="1"/>
  <c r="O94" i="1" a="1"/>
  <c r="N94" i="1"/>
  <c r="M94" i="1"/>
  <c r="O93" i="1" a="1"/>
  <c r="O93" i="1" s="1"/>
  <c r="N93" i="1"/>
  <c r="M93" i="1"/>
  <c r="O92" i="1"/>
  <c r="O92" i="1" a="1"/>
  <c r="N92" i="1"/>
  <c r="M92" i="1"/>
  <c r="O91" i="1" a="1"/>
  <c r="O91" i="1" s="1"/>
  <c r="N91" i="1"/>
  <c r="M91" i="1"/>
  <c r="O90" i="1" a="1"/>
  <c r="O90" i="1" s="1"/>
  <c r="N90" i="1"/>
  <c r="M90" i="1"/>
  <c r="O89" i="1" a="1"/>
  <c r="O89" i="1" s="1"/>
  <c r="N89" i="1"/>
  <c r="M89" i="1"/>
  <c r="O88" i="1" a="1"/>
  <c r="O88" i="1" s="1"/>
  <c r="N88" i="1"/>
  <c r="M88" i="1"/>
  <c r="O87" i="1"/>
  <c r="O87" i="1" a="1"/>
  <c r="N87" i="1"/>
  <c r="M87" i="1"/>
  <c r="O86" i="1" a="1"/>
  <c r="O86" i="1" s="1"/>
  <c r="N86" i="1"/>
  <c r="M86" i="1"/>
  <c r="O85" i="1" a="1"/>
  <c r="O85" i="1" s="1"/>
  <c r="N85" i="1"/>
  <c r="M85" i="1"/>
  <c r="O84" i="1" a="1"/>
  <c r="O84" i="1" s="1"/>
  <c r="N84" i="1"/>
  <c r="M84" i="1"/>
  <c r="O83" i="1" a="1"/>
  <c r="O83" i="1" s="1"/>
  <c r="N83" i="1"/>
  <c r="M83" i="1"/>
  <c r="O82" i="1"/>
  <c r="O82" i="1" a="1"/>
  <c r="N82" i="1"/>
  <c r="M82" i="1"/>
  <c r="O81" i="1" a="1"/>
  <c r="O81" i="1" s="1"/>
  <c r="N81" i="1"/>
  <c r="M81" i="1"/>
  <c r="O80" i="1" a="1"/>
  <c r="O80" i="1" s="1"/>
  <c r="N80" i="1"/>
  <c r="M80" i="1"/>
  <c r="O79" i="1"/>
  <c r="O79" i="1" a="1"/>
  <c r="N79" i="1"/>
  <c r="M79" i="1"/>
  <c r="O78" i="1" a="1"/>
  <c r="O78" i="1" s="1"/>
  <c r="N78" i="1"/>
  <c r="M78" i="1"/>
  <c r="O77" i="1" a="1"/>
  <c r="O77" i="1" s="1"/>
  <c r="N77" i="1"/>
  <c r="M77" i="1"/>
  <c r="O76" i="1"/>
  <c r="O76" i="1" a="1"/>
  <c r="N76" i="1"/>
  <c r="M76" i="1"/>
  <c r="O75" i="1" a="1"/>
  <c r="O75" i="1" s="1"/>
  <c r="N75" i="1"/>
  <c r="M75" i="1"/>
  <c r="O74" i="1" a="1"/>
  <c r="O74" i="1" s="1"/>
  <c r="N74" i="1"/>
  <c r="M74" i="1"/>
  <c r="O73" i="1" a="1"/>
  <c r="O73" i="1" s="1"/>
  <c r="N73" i="1"/>
  <c r="M73" i="1"/>
  <c r="O72" i="1"/>
  <c r="O72" i="1" a="1"/>
  <c r="N72" i="1"/>
  <c r="M72" i="1"/>
  <c r="O71" i="1" a="1"/>
  <c r="O71" i="1" s="1"/>
  <c r="N71" i="1"/>
  <c r="M71" i="1"/>
  <c r="O70" i="1" a="1"/>
  <c r="O70" i="1" s="1"/>
  <c r="N70" i="1"/>
  <c r="M70" i="1"/>
  <c r="O69" i="1" a="1"/>
  <c r="O69" i="1" s="1"/>
  <c r="N69" i="1"/>
  <c r="M69" i="1"/>
  <c r="O68" i="1" a="1"/>
  <c r="O68" i="1" s="1"/>
  <c r="N68" i="1"/>
  <c r="M68" i="1"/>
  <c r="O67" i="1" a="1"/>
  <c r="O67" i="1" s="1"/>
  <c r="N67" i="1"/>
  <c r="M67" i="1"/>
  <c r="O66" i="1" a="1"/>
  <c r="O66" i="1" s="1"/>
  <c r="N66" i="1"/>
  <c r="M66" i="1"/>
  <c r="O65" i="1" a="1"/>
  <c r="O65" i="1" s="1"/>
  <c r="N65" i="1"/>
  <c r="M65" i="1"/>
  <c r="O64" i="1"/>
  <c r="O64" i="1" a="1"/>
  <c r="N64" i="1"/>
  <c r="M64" i="1"/>
  <c r="O63" i="1" a="1"/>
  <c r="O63" i="1" s="1"/>
  <c r="N63" i="1"/>
  <c r="M63" i="1"/>
  <c r="O62" i="1" a="1"/>
  <c r="O62" i="1" s="1"/>
  <c r="N62" i="1"/>
  <c r="M62" i="1"/>
  <c r="O61" i="1"/>
  <c r="O61" i="1" a="1"/>
  <c r="N61" i="1"/>
  <c r="M61" i="1"/>
  <c r="O60" i="1" a="1"/>
  <c r="O60" i="1" s="1"/>
  <c r="N60" i="1"/>
  <c r="M60" i="1"/>
  <c r="O59" i="1"/>
  <c r="O59" i="1" a="1"/>
  <c r="N59" i="1"/>
  <c r="M59" i="1"/>
  <c r="O58" i="1" a="1"/>
  <c r="O58" i="1" s="1"/>
  <c r="N58" i="1"/>
  <c r="M58" i="1"/>
  <c r="O57" i="1"/>
  <c r="O57" i="1" a="1"/>
  <c r="N57" i="1"/>
  <c r="M57" i="1"/>
  <c r="O56" i="1" a="1"/>
  <c r="O56" i="1" s="1"/>
  <c r="N56" i="1"/>
  <c r="M56" i="1"/>
  <c r="O55" i="1" a="1"/>
  <c r="O55" i="1" s="1"/>
  <c r="N55" i="1"/>
  <c r="M55" i="1"/>
  <c r="O54" i="1" a="1"/>
  <c r="O54" i="1" s="1"/>
  <c r="N54" i="1"/>
  <c r="M54" i="1"/>
  <c r="O53" i="1" a="1"/>
  <c r="O53" i="1" s="1"/>
  <c r="N53" i="1"/>
  <c r="M53" i="1"/>
  <c r="O52" i="1" a="1"/>
  <c r="O52" i="1" s="1"/>
  <c r="N52" i="1"/>
  <c r="M52" i="1"/>
  <c r="O51" i="1" a="1"/>
  <c r="O51" i="1" s="1"/>
  <c r="N51" i="1"/>
  <c r="M51" i="1"/>
  <c r="O50" i="1" a="1"/>
  <c r="O50" i="1" s="1"/>
  <c r="N50" i="1"/>
  <c r="M50" i="1"/>
  <c r="O49" i="1" a="1"/>
  <c r="O49" i="1" s="1"/>
  <c r="N49" i="1"/>
  <c r="M49" i="1"/>
  <c r="O48" i="1" a="1"/>
  <c r="O48" i="1" s="1"/>
  <c r="N48" i="1"/>
  <c r="M48" i="1"/>
  <c r="O47" i="1" a="1"/>
  <c r="O47" i="1" s="1"/>
  <c r="N47" i="1"/>
  <c r="M47" i="1"/>
  <c r="O46" i="1" a="1"/>
  <c r="O46" i="1" s="1"/>
  <c r="N46" i="1"/>
  <c r="M46" i="1"/>
  <c r="O45" i="1" a="1"/>
  <c r="O45" i="1" s="1"/>
  <c r="N45" i="1"/>
  <c r="M45" i="1"/>
  <c r="O44" i="1"/>
  <c r="O44" i="1" a="1"/>
  <c r="N44" i="1"/>
  <c r="M44" i="1"/>
  <c r="O43" i="1" a="1"/>
  <c r="O43" i="1" s="1"/>
  <c r="N43" i="1"/>
  <c r="M43" i="1"/>
  <c r="O42" i="1" a="1"/>
  <c r="O42" i="1" s="1"/>
  <c r="N42" i="1"/>
  <c r="M42" i="1"/>
  <c r="O41" i="1"/>
  <c r="O41" i="1" a="1"/>
  <c r="N41" i="1"/>
  <c r="M41" i="1"/>
  <c r="O40" i="1" a="1"/>
  <c r="O40" i="1" s="1"/>
  <c r="N40" i="1"/>
  <c r="M40" i="1"/>
  <c r="O39" i="1" a="1"/>
  <c r="O39" i="1" s="1"/>
  <c r="N39" i="1"/>
  <c r="M39" i="1"/>
  <c r="O38" i="1"/>
  <c r="O38" i="1" a="1"/>
  <c r="N38" i="1"/>
  <c r="M38" i="1"/>
  <c r="O37" i="1" a="1"/>
  <c r="O37" i="1" s="1"/>
  <c r="N37" i="1"/>
  <c r="M37" i="1"/>
  <c r="O36" i="1" a="1"/>
  <c r="O36" i="1" s="1"/>
  <c r="N36" i="1"/>
  <c r="M36" i="1"/>
  <c r="O35" i="1" a="1"/>
  <c r="O35" i="1" s="1"/>
  <c r="N35" i="1"/>
  <c r="M35" i="1"/>
  <c r="O34" i="1" a="1"/>
  <c r="O34" i="1" s="1"/>
  <c r="N34" i="1"/>
  <c r="M34" i="1"/>
  <c r="O33" i="1" a="1"/>
  <c r="O33" i="1" s="1"/>
  <c r="N33" i="1"/>
  <c r="M33" i="1"/>
  <c r="O32" i="1" a="1"/>
  <c r="O32" i="1" s="1"/>
  <c r="N32" i="1"/>
  <c r="M32" i="1"/>
  <c r="O31" i="1" a="1"/>
  <c r="O31" i="1" s="1"/>
  <c r="N31" i="1"/>
  <c r="M31" i="1"/>
  <c r="O30" i="1" a="1"/>
  <c r="O30" i="1" s="1"/>
  <c r="N30" i="1"/>
  <c r="M30" i="1"/>
  <c r="O29" i="1"/>
  <c r="O29" i="1" a="1"/>
  <c r="N29" i="1"/>
  <c r="M29" i="1"/>
  <c r="O28" i="1" a="1"/>
  <c r="O28" i="1" s="1"/>
  <c r="N28" i="1"/>
  <c r="M28" i="1"/>
  <c r="O27" i="1" a="1"/>
  <c r="O27" i="1" s="1"/>
  <c r="N27" i="1"/>
  <c r="M27" i="1"/>
  <c r="O26" i="1" a="1"/>
  <c r="O26" i="1" s="1"/>
  <c r="N26" i="1"/>
  <c r="M26" i="1"/>
  <c r="O25" i="1" a="1"/>
  <c r="O25" i="1" s="1"/>
  <c r="N25" i="1"/>
  <c r="M25" i="1"/>
  <c r="O24" i="1"/>
  <c r="O24" i="1" a="1"/>
  <c r="N24" i="1"/>
  <c r="M24" i="1"/>
  <c r="O23" i="1"/>
  <c r="O23" i="1" a="1"/>
  <c r="N23" i="1"/>
  <c r="M23" i="1"/>
  <c r="O22" i="1" a="1"/>
  <c r="O22" i="1" s="1"/>
  <c r="N22" i="1"/>
  <c r="M22" i="1"/>
  <c r="O21" i="1" a="1"/>
  <c r="O21" i="1" s="1"/>
  <c r="N21" i="1"/>
  <c r="M21" i="1"/>
  <c r="O20" i="1"/>
  <c r="O20" i="1" a="1"/>
  <c r="N20" i="1"/>
  <c r="M20" i="1"/>
  <c r="O19" i="1" a="1"/>
  <c r="O19" i="1" s="1"/>
  <c r="N19" i="1"/>
  <c r="M19" i="1"/>
  <c r="O18" i="1" a="1"/>
  <c r="O18" i="1" s="1"/>
  <c r="N18" i="1"/>
  <c r="M18" i="1"/>
  <c r="O17" i="1" a="1"/>
  <c r="O17" i="1" s="1"/>
  <c r="N17" i="1"/>
  <c r="M17" i="1"/>
  <c r="O16" i="1" a="1"/>
  <c r="O16" i="1" s="1"/>
  <c r="N16" i="1"/>
  <c r="M16" i="1"/>
  <c r="O15" i="1" a="1"/>
  <c r="O15" i="1" s="1"/>
  <c r="N15" i="1"/>
  <c r="M15" i="1"/>
  <c r="O14" i="1" a="1"/>
  <c r="O14" i="1" s="1"/>
  <c r="N14" i="1"/>
  <c r="M14" i="1"/>
  <c r="O13" i="1" a="1"/>
  <c r="O13" i="1" s="1"/>
  <c r="N13" i="1"/>
  <c r="M13" i="1"/>
  <c r="O12" i="1" a="1"/>
  <c r="O12" i="1" s="1"/>
  <c r="N12" i="1"/>
  <c r="M12" i="1"/>
  <c r="O11" i="1" a="1"/>
  <c r="O11" i="1" s="1"/>
  <c r="N11" i="1"/>
  <c r="M11" i="1"/>
  <c r="O10" i="1" a="1"/>
  <c r="O10" i="1" s="1"/>
  <c r="N10" i="1"/>
  <c r="M10" i="1"/>
  <c r="O9" i="1"/>
  <c r="O9" i="1" a="1"/>
  <c r="N9" i="1"/>
  <c r="M9" i="1"/>
  <c r="O8" i="1"/>
  <c r="O8" i="1" a="1"/>
  <c r="N8" i="1"/>
  <c r="M8" i="1"/>
  <c r="O7" i="1" a="1"/>
  <c r="O7" i="1" s="1"/>
  <c r="N7" i="1"/>
  <c r="M7" i="1"/>
  <c r="O6" i="1" a="1"/>
  <c r="O6" i="1" s="1"/>
  <c r="N6" i="1"/>
  <c r="M6" i="1"/>
  <c r="O5" i="1"/>
  <c r="O5" i="1" a="1"/>
  <c r="N5" i="1"/>
  <c r="M5" i="1"/>
  <c r="O4" i="1" a="1"/>
  <c r="O4" i="1" s="1"/>
  <c r="N4" i="1"/>
  <c r="M4" i="1"/>
  <c r="O3" i="1" a="1"/>
  <c r="O3" i="1" s="1"/>
  <c r="N3" i="1"/>
  <c r="M3" i="1"/>
  <c r="O2" i="1" a="1"/>
  <c r="O2" i="1" s="1"/>
  <c r="N2" i="1"/>
  <c r="M2" i="1"/>
  <c r="K5" i="5"/>
  <c r="J5" i="5"/>
  <c r="I5" i="5"/>
  <c r="H5" i="5"/>
  <c r="G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<sst xmlns="http://schemas.openxmlformats.org/spreadsheetml/2006/main" count="14666" uniqueCount="2576">
  <si>
    <t>TX ID</t>
  </si>
  <si>
    <t>Product</t>
  </si>
  <si>
    <t>Quantity</t>
  </si>
  <si>
    <t>Unit Price</t>
  </si>
  <si>
    <t>Amount</t>
  </si>
  <si>
    <t>Order Date</t>
  </si>
  <si>
    <t>Ship Date</t>
  </si>
  <si>
    <t>Customer Gender</t>
  </si>
  <si>
    <t>Order Mode</t>
  </si>
  <si>
    <t>Rating C</t>
  </si>
  <si>
    <t>State</t>
  </si>
  <si>
    <t>County</t>
  </si>
  <si>
    <t>Days to Deliver</t>
  </si>
  <si>
    <t>Weeknum</t>
  </si>
  <si>
    <t>Gender Value</t>
  </si>
  <si>
    <t>TX500001</t>
  </si>
  <si>
    <t>Shorts</t>
  </si>
  <si>
    <t/>
  </si>
  <si>
    <t>App</t>
  </si>
  <si>
    <t>California</t>
  </si>
  <si>
    <t>Alpine County</t>
  </si>
  <si>
    <t>TX500002</t>
  </si>
  <si>
    <t>Tank Tops</t>
  </si>
  <si>
    <t>M</t>
  </si>
  <si>
    <t>Contra Costa County</t>
  </si>
  <si>
    <t>TX500003</t>
  </si>
  <si>
    <t>Sneakers</t>
  </si>
  <si>
    <t>F</t>
  </si>
  <si>
    <t>Fresno County</t>
  </si>
  <si>
    <t>TX500004</t>
  </si>
  <si>
    <t>Workout Tops</t>
  </si>
  <si>
    <t>TX500005</t>
  </si>
  <si>
    <t>Graphic Tees</t>
  </si>
  <si>
    <t>Los Angeles County</t>
  </si>
  <si>
    <t>TX500006</t>
  </si>
  <si>
    <t>Website</t>
  </si>
  <si>
    <t>TX500007</t>
  </si>
  <si>
    <t>Sandals</t>
  </si>
  <si>
    <t>TX500008</t>
  </si>
  <si>
    <t>Jeans</t>
  </si>
  <si>
    <t>Target.com</t>
  </si>
  <si>
    <t>TX500009</t>
  </si>
  <si>
    <t>Hoodies &amp; Sweatshirts</t>
  </si>
  <si>
    <t>TX500010</t>
  </si>
  <si>
    <t>T-Shirts</t>
  </si>
  <si>
    <t>TX500011</t>
  </si>
  <si>
    <t>Sundresses</t>
  </si>
  <si>
    <t>TX500012</t>
  </si>
  <si>
    <t>TX500013</t>
  </si>
  <si>
    <t>Nevada County</t>
  </si>
  <si>
    <t>TX500014</t>
  </si>
  <si>
    <t>Instagram</t>
  </si>
  <si>
    <t>Placer County</t>
  </si>
  <si>
    <t>TX500015</t>
  </si>
  <si>
    <t>Bikinis</t>
  </si>
  <si>
    <t>Sacramento County</t>
  </si>
  <si>
    <t>TX500016</t>
  </si>
  <si>
    <t>TX500017</t>
  </si>
  <si>
    <t>TX500018</t>
  </si>
  <si>
    <t>San Bernardino County</t>
  </si>
  <si>
    <t>TX500019</t>
  </si>
  <si>
    <t>TX500020</t>
  </si>
  <si>
    <t>San Diego County</t>
  </si>
  <si>
    <t>TX500021</t>
  </si>
  <si>
    <t>TX500022</t>
  </si>
  <si>
    <t>TX500023</t>
  </si>
  <si>
    <t>TX500024</t>
  </si>
  <si>
    <t>Maxi Dresses</t>
  </si>
  <si>
    <t>TX500025</t>
  </si>
  <si>
    <t>Casual Dresses</t>
  </si>
  <si>
    <t>Partner App</t>
  </si>
  <si>
    <t>TX500026</t>
  </si>
  <si>
    <t>San Mateo County</t>
  </si>
  <si>
    <t>TX500027</t>
  </si>
  <si>
    <t>Santa Barbara County</t>
  </si>
  <si>
    <t>TX500028</t>
  </si>
  <si>
    <t>Tote Bags</t>
  </si>
  <si>
    <t>Santa Clara County</t>
  </si>
  <si>
    <t>TX500029</t>
  </si>
  <si>
    <t>Tehama County</t>
  </si>
  <si>
    <t>TX500030</t>
  </si>
  <si>
    <t>Baseball Caps</t>
  </si>
  <si>
    <t>Ventura County</t>
  </si>
  <si>
    <t>TX500031</t>
  </si>
  <si>
    <t>Calaveras County</t>
  </si>
  <si>
    <t>TX500032</t>
  </si>
  <si>
    <t>Inyo County</t>
  </si>
  <si>
    <t>TX500033</t>
  </si>
  <si>
    <t>TX500034</t>
  </si>
  <si>
    <t>O</t>
  </si>
  <si>
    <t>TX500035</t>
  </si>
  <si>
    <t>TX500036</t>
  </si>
  <si>
    <t>TX500037</t>
  </si>
  <si>
    <t>TX500038</t>
  </si>
  <si>
    <t>TX500039</t>
  </si>
  <si>
    <t>TX500040</t>
  </si>
  <si>
    <t>TX500041</t>
  </si>
  <si>
    <t>TX500042</t>
  </si>
  <si>
    <t>Napa County</t>
  </si>
  <si>
    <t>TX500043</t>
  </si>
  <si>
    <t>TX500044</t>
  </si>
  <si>
    <t>TX500045</t>
  </si>
  <si>
    <t>TX500046</t>
  </si>
  <si>
    <t>San Francisco</t>
  </si>
  <si>
    <t>TX500047</t>
  </si>
  <si>
    <t>TX500048</t>
  </si>
  <si>
    <t>TX500049</t>
  </si>
  <si>
    <t>TX500050</t>
  </si>
  <si>
    <t>Sonoma County</t>
  </si>
  <si>
    <t>TX500051</t>
  </si>
  <si>
    <t>Stanislaus County</t>
  </si>
  <si>
    <t>TX500052</t>
  </si>
  <si>
    <t>TX500053</t>
  </si>
  <si>
    <t>Tulare County</t>
  </si>
  <si>
    <t>TX500054</t>
  </si>
  <si>
    <t>Alameda County</t>
  </si>
  <si>
    <t>TX500055</t>
  </si>
  <si>
    <t>TX500056</t>
  </si>
  <si>
    <t>TX500057</t>
  </si>
  <si>
    <t>TX500058</t>
  </si>
  <si>
    <t>TX500059</t>
  </si>
  <si>
    <t>TX500060</t>
  </si>
  <si>
    <t>TX500061</t>
  </si>
  <si>
    <t>Crop Tops</t>
  </si>
  <si>
    <t>TX500062</t>
  </si>
  <si>
    <t>TX500063</t>
  </si>
  <si>
    <t>TX500064</t>
  </si>
  <si>
    <t>TX500065</t>
  </si>
  <si>
    <t>Sunglasses</t>
  </si>
  <si>
    <t>TX500066</t>
  </si>
  <si>
    <t>TX500067</t>
  </si>
  <si>
    <t>TX500068</t>
  </si>
  <si>
    <t>TX500069</t>
  </si>
  <si>
    <t>TX500070</t>
  </si>
  <si>
    <t>TX500071</t>
  </si>
  <si>
    <t>Pajama Sets</t>
  </si>
  <si>
    <t>TX500072</t>
  </si>
  <si>
    <t>TX500073</t>
  </si>
  <si>
    <t>TX500074</t>
  </si>
  <si>
    <t>TX500075</t>
  </si>
  <si>
    <t>TX500076</t>
  </si>
  <si>
    <t>TX500077</t>
  </si>
  <si>
    <t>TX500078</t>
  </si>
  <si>
    <t>TX500079</t>
  </si>
  <si>
    <t>TX500080</t>
  </si>
  <si>
    <t>TX500081</t>
  </si>
  <si>
    <t>Leggings</t>
  </si>
  <si>
    <t>Kern County</t>
  </si>
  <si>
    <t>TX500082</t>
  </si>
  <si>
    <t>TX500083</t>
  </si>
  <si>
    <t>TX500084</t>
  </si>
  <si>
    <t>TX500085</t>
  </si>
  <si>
    <t>TX500086</t>
  </si>
  <si>
    <t>TX500087</t>
  </si>
  <si>
    <t>TX500088</t>
  </si>
  <si>
    <t>TX500089</t>
  </si>
  <si>
    <t>TX500090</t>
  </si>
  <si>
    <t>TX500091</t>
  </si>
  <si>
    <t>Riverside County</t>
  </si>
  <si>
    <t>TX500092</t>
  </si>
  <si>
    <t>TX500093</t>
  </si>
  <si>
    <t>TX500094</t>
  </si>
  <si>
    <t>TX500095</t>
  </si>
  <si>
    <t>TX500096</t>
  </si>
  <si>
    <t>TX500097</t>
  </si>
  <si>
    <t>TX500098</t>
  </si>
  <si>
    <t>TX500099</t>
  </si>
  <si>
    <t>TX500100</t>
  </si>
  <si>
    <t>TX500101</t>
  </si>
  <si>
    <t>TX500102</t>
  </si>
  <si>
    <t>TX500103</t>
  </si>
  <si>
    <t>Jewelry</t>
  </si>
  <si>
    <t>TX500104</t>
  </si>
  <si>
    <t>TX500105</t>
  </si>
  <si>
    <t>TX500106</t>
  </si>
  <si>
    <t>TX500107</t>
  </si>
  <si>
    <t>TX500108</t>
  </si>
  <si>
    <t>TX500109</t>
  </si>
  <si>
    <t>TX500110</t>
  </si>
  <si>
    <t>TX500111</t>
  </si>
  <si>
    <t>TX500112</t>
  </si>
  <si>
    <t>TX500113</t>
  </si>
  <si>
    <t>TX500114</t>
  </si>
  <si>
    <t>TX500115</t>
  </si>
  <si>
    <t>TX500116</t>
  </si>
  <si>
    <t>TX500117</t>
  </si>
  <si>
    <t>Merced County</t>
  </si>
  <si>
    <t>TX500118</t>
  </si>
  <si>
    <t>Orange County</t>
  </si>
  <si>
    <t>TX500119</t>
  </si>
  <si>
    <t>TX500120</t>
  </si>
  <si>
    <t>TX500121</t>
  </si>
  <si>
    <t>TX500122</t>
  </si>
  <si>
    <t>TX500123</t>
  </si>
  <si>
    <t>TX500124</t>
  </si>
  <si>
    <t>TX500125</t>
  </si>
  <si>
    <t>TX500126</t>
  </si>
  <si>
    <t>TX500127</t>
  </si>
  <si>
    <t>TX500128</t>
  </si>
  <si>
    <t>TX500129</t>
  </si>
  <si>
    <t>TX500130</t>
  </si>
  <si>
    <t>San Joaquin County</t>
  </si>
  <si>
    <t>TX500131</t>
  </si>
  <si>
    <t>TX500132</t>
  </si>
  <si>
    <t>TX500133</t>
  </si>
  <si>
    <t>TX500134</t>
  </si>
  <si>
    <t>TX500135</t>
  </si>
  <si>
    <t>TX500136</t>
  </si>
  <si>
    <t>Glenn County</t>
  </si>
  <si>
    <t>TX500137</t>
  </si>
  <si>
    <t>TX500138</t>
  </si>
  <si>
    <t>TX500139</t>
  </si>
  <si>
    <t>TX500140</t>
  </si>
  <si>
    <t>TX500141</t>
  </si>
  <si>
    <t>TX500142</t>
  </si>
  <si>
    <t>TX500143</t>
  </si>
  <si>
    <t>TX500144</t>
  </si>
  <si>
    <t>TX500145</t>
  </si>
  <si>
    <t>TX500146</t>
  </si>
  <si>
    <t>TX500147</t>
  </si>
  <si>
    <t>TX500148</t>
  </si>
  <si>
    <t>TX500149</t>
  </si>
  <si>
    <t>TX500150</t>
  </si>
  <si>
    <t>TX500151</t>
  </si>
  <si>
    <t>TX500152</t>
  </si>
  <si>
    <t>TX500153</t>
  </si>
  <si>
    <t>TX500154</t>
  </si>
  <si>
    <t>TX500155</t>
  </si>
  <si>
    <t>TX500156</t>
  </si>
  <si>
    <t>TX500157</t>
  </si>
  <si>
    <t>TX500158</t>
  </si>
  <si>
    <t>TX500159</t>
  </si>
  <si>
    <t>TX500160</t>
  </si>
  <si>
    <t>TX500161</t>
  </si>
  <si>
    <t>TX500162</t>
  </si>
  <si>
    <t>TX500163</t>
  </si>
  <si>
    <t>TX500164</t>
  </si>
  <si>
    <t>TX500165</t>
  </si>
  <si>
    <t>TX500166</t>
  </si>
  <si>
    <t>TX500167</t>
  </si>
  <si>
    <t>TX500168</t>
  </si>
  <si>
    <t>TX500169</t>
  </si>
  <si>
    <t>TX500170</t>
  </si>
  <si>
    <t>Yolo County</t>
  </si>
  <si>
    <t>TX500171</t>
  </si>
  <si>
    <t>TX500172</t>
  </si>
  <si>
    <t>TX500173</t>
  </si>
  <si>
    <t>TX500174</t>
  </si>
  <si>
    <t>TX500175</t>
  </si>
  <si>
    <t>TX500176</t>
  </si>
  <si>
    <t>TX500177</t>
  </si>
  <si>
    <t>TX500178</t>
  </si>
  <si>
    <t>TX500179</t>
  </si>
  <si>
    <t>TX500180</t>
  </si>
  <si>
    <t>TX500181</t>
  </si>
  <si>
    <t>TX500182</t>
  </si>
  <si>
    <t>TX500183</t>
  </si>
  <si>
    <t>TX500184</t>
  </si>
  <si>
    <t>Mendocino County</t>
  </si>
  <si>
    <t>TX500185</t>
  </si>
  <si>
    <t>TX500186</t>
  </si>
  <si>
    <t>TX500187</t>
  </si>
  <si>
    <t>TX500188</t>
  </si>
  <si>
    <t>TX500189</t>
  </si>
  <si>
    <t>TX500190</t>
  </si>
  <si>
    <t>TX500191</t>
  </si>
  <si>
    <t>TX500192</t>
  </si>
  <si>
    <t>TX500193</t>
  </si>
  <si>
    <t>Siskiyou County</t>
  </si>
  <si>
    <t>TX500194</t>
  </si>
  <si>
    <t>TX500195</t>
  </si>
  <si>
    <t>TX500196</t>
  </si>
  <si>
    <t>TX500197</t>
  </si>
  <si>
    <t>TX500198</t>
  </si>
  <si>
    <t>TX500199</t>
  </si>
  <si>
    <t>TX500200</t>
  </si>
  <si>
    <t>TX500201</t>
  </si>
  <si>
    <t>TX500202</t>
  </si>
  <si>
    <t>TX500203</t>
  </si>
  <si>
    <t>TX500204</t>
  </si>
  <si>
    <t>TX500205</t>
  </si>
  <si>
    <t>TX500206</t>
  </si>
  <si>
    <t>TX500207</t>
  </si>
  <si>
    <t>TX500208</t>
  </si>
  <si>
    <t>TX500209</t>
  </si>
  <si>
    <t>TX500210</t>
  </si>
  <si>
    <t>TX500211</t>
  </si>
  <si>
    <t>TX500212</t>
  </si>
  <si>
    <t>TX500213</t>
  </si>
  <si>
    <t>TX500214</t>
  </si>
  <si>
    <t>TX500215</t>
  </si>
  <si>
    <t>TX500216</t>
  </si>
  <si>
    <t>Sutter County</t>
  </si>
  <si>
    <t>TX500217</t>
  </si>
  <si>
    <t>TX500218</t>
  </si>
  <si>
    <t>TX500219</t>
  </si>
  <si>
    <t>TX500220</t>
  </si>
  <si>
    <t>TX500221</t>
  </si>
  <si>
    <t>TX500222</t>
  </si>
  <si>
    <t>TX500223</t>
  </si>
  <si>
    <t>TX500224</t>
  </si>
  <si>
    <t>TX500225</t>
  </si>
  <si>
    <t>TX500226</t>
  </si>
  <si>
    <t>TX500227</t>
  </si>
  <si>
    <t>TX500228</t>
  </si>
  <si>
    <t>TX500229</t>
  </si>
  <si>
    <t>TX500230</t>
  </si>
  <si>
    <t>TX500231</t>
  </si>
  <si>
    <t>TX500232</t>
  </si>
  <si>
    <t>Santa Cruz County</t>
  </si>
  <si>
    <t>TX500233</t>
  </si>
  <si>
    <t>TX500234</t>
  </si>
  <si>
    <t>TX500235</t>
  </si>
  <si>
    <t>TX500236</t>
  </si>
  <si>
    <t>TX500237</t>
  </si>
  <si>
    <t>TX500238</t>
  </si>
  <si>
    <t>TX500239</t>
  </si>
  <si>
    <t>TX500240</t>
  </si>
  <si>
    <t>TX500241</t>
  </si>
  <si>
    <t>TX500242</t>
  </si>
  <si>
    <t>TX500243</t>
  </si>
  <si>
    <t>TX500244</t>
  </si>
  <si>
    <t>TX500245</t>
  </si>
  <si>
    <t>TX500246</t>
  </si>
  <si>
    <t>TX500247</t>
  </si>
  <si>
    <t>TX500248</t>
  </si>
  <si>
    <t>TX500249</t>
  </si>
  <si>
    <t>TX500250</t>
  </si>
  <si>
    <t>TX500251</t>
  </si>
  <si>
    <t>TX500252</t>
  </si>
  <si>
    <t>TX500253</t>
  </si>
  <si>
    <t>Imperial County</t>
  </si>
  <si>
    <t>TX500254</t>
  </si>
  <si>
    <t>TX500255</t>
  </si>
  <si>
    <t>Kings County</t>
  </si>
  <si>
    <t>TX500256</t>
  </si>
  <si>
    <t>TX500257</t>
  </si>
  <si>
    <t>TX500258</t>
  </si>
  <si>
    <t>Plumas County</t>
  </si>
  <si>
    <t>TX500259</t>
  </si>
  <si>
    <t>TX500260</t>
  </si>
  <si>
    <t>TX500261</t>
  </si>
  <si>
    <t>San Benito County</t>
  </si>
  <si>
    <t>TX500262</t>
  </si>
  <si>
    <t>TX500263</t>
  </si>
  <si>
    <t>TX500264</t>
  </si>
  <si>
    <t>TX500265</t>
  </si>
  <si>
    <t>TX500266</t>
  </si>
  <si>
    <t>TX500267</t>
  </si>
  <si>
    <t>TX500268</t>
  </si>
  <si>
    <t>TX500269</t>
  </si>
  <si>
    <t>TX500270</t>
  </si>
  <si>
    <t>TX500271</t>
  </si>
  <si>
    <t>TX500272</t>
  </si>
  <si>
    <t>TX500273</t>
  </si>
  <si>
    <t>TX500274</t>
  </si>
  <si>
    <t>TX500275</t>
  </si>
  <si>
    <t>TX500276</t>
  </si>
  <si>
    <t>TX500277</t>
  </si>
  <si>
    <t>TX500278</t>
  </si>
  <si>
    <t>TX500279</t>
  </si>
  <si>
    <t>TX500280</t>
  </si>
  <si>
    <t>TX500281</t>
  </si>
  <si>
    <t>TX500282</t>
  </si>
  <si>
    <t>Madera County</t>
  </si>
  <si>
    <t>TX500283</t>
  </si>
  <si>
    <t>TX500284</t>
  </si>
  <si>
    <t>TX500285</t>
  </si>
  <si>
    <t>TX500286</t>
  </si>
  <si>
    <t>TX500287</t>
  </si>
  <si>
    <t>TX500288</t>
  </si>
  <si>
    <t>TX500289</t>
  </si>
  <si>
    <t>TX500290</t>
  </si>
  <si>
    <t>TX500291</t>
  </si>
  <si>
    <t>TX500292</t>
  </si>
  <si>
    <t>TX500293</t>
  </si>
  <si>
    <t>TX500294</t>
  </si>
  <si>
    <t>Solano County</t>
  </si>
  <si>
    <t>TX500295</t>
  </si>
  <si>
    <t>TX500296</t>
  </si>
  <si>
    <t>TX500297</t>
  </si>
  <si>
    <t>TX500298</t>
  </si>
  <si>
    <t>TX500299</t>
  </si>
  <si>
    <t>TX500300</t>
  </si>
  <si>
    <t>TX500301</t>
  </si>
  <si>
    <t>TX500302</t>
  </si>
  <si>
    <t>TX500303</t>
  </si>
  <si>
    <t>TX500304</t>
  </si>
  <si>
    <t>TX500305</t>
  </si>
  <si>
    <t>TX500306</t>
  </si>
  <si>
    <t>TX500307</t>
  </si>
  <si>
    <t>TX500308</t>
  </si>
  <si>
    <t>Modoc County</t>
  </si>
  <si>
    <t>TX500309</t>
  </si>
  <si>
    <t>TX500310</t>
  </si>
  <si>
    <t>TX500311</t>
  </si>
  <si>
    <t>TX500312</t>
  </si>
  <si>
    <t>TX500313</t>
  </si>
  <si>
    <t>TX500314</t>
  </si>
  <si>
    <t>TX500315</t>
  </si>
  <si>
    <t>TX500316</t>
  </si>
  <si>
    <t>TX500317</t>
  </si>
  <si>
    <t>TX500318</t>
  </si>
  <si>
    <t>TX500319</t>
  </si>
  <si>
    <t>TX500320</t>
  </si>
  <si>
    <t>TX500321</t>
  </si>
  <si>
    <t>TX500322</t>
  </si>
  <si>
    <t>TX500323</t>
  </si>
  <si>
    <t>TX500324</t>
  </si>
  <si>
    <t>TX500325</t>
  </si>
  <si>
    <t>TX500326</t>
  </si>
  <si>
    <t>TX500327</t>
  </si>
  <si>
    <t>TX500328</t>
  </si>
  <si>
    <t>TX500329</t>
  </si>
  <si>
    <t>TX500330</t>
  </si>
  <si>
    <t>TX500331</t>
  </si>
  <si>
    <t>Mariposa County</t>
  </si>
  <si>
    <t>TX500332</t>
  </si>
  <si>
    <t>TX500333</t>
  </si>
  <si>
    <t>TX500334</t>
  </si>
  <si>
    <t>TX500335</t>
  </si>
  <si>
    <t>TX500336</t>
  </si>
  <si>
    <t>TX500337</t>
  </si>
  <si>
    <t>TX500338</t>
  </si>
  <si>
    <t>TX500339</t>
  </si>
  <si>
    <t>TX500340</t>
  </si>
  <si>
    <t>TX500341</t>
  </si>
  <si>
    <t>TX500342</t>
  </si>
  <si>
    <t>TX500343</t>
  </si>
  <si>
    <t>San Luis Obispo County</t>
  </si>
  <si>
    <t>TX500344</t>
  </si>
  <si>
    <t>TX500345</t>
  </si>
  <si>
    <t>TX500346</t>
  </si>
  <si>
    <t>TX500347</t>
  </si>
  <si>
    <t>TX500348</t>
  </si>
  <si>
    <t>TX500349</t>
  </si>
  <si>
    <t>TX500350</t>
  </si>
  <si>
    <t>El Dorado County</t>
  </si>
  <si>
    <t>TX500351</t>
  </si>
  <si>
    <t>TX500352</t>
  </si>
  <si>
    <t>TX500353</t>
  </si>
  <si>
    <t>TX500354</t>
  </si>
  <si>
    <t>TX500355</t>
  </si>
  <si>
    <t>TX500356</t>
  </si>
  <si>
    <t>TX500357</t>
  </si>
  <si>
    <t>TX500358</t>
  </si>
  <si>
    <t>TX500359</t>
  </si>
  <si>
    <t>TX500360</t>
  </si>
  <si>
    <t>TX500361</t>
  </si>
  <si>
    <t>TX500362</t>
  </si>
  <si>
    <t>TX500363</t>
  </si>
  <si>
    <t>TX500364</t>
  </si>
  <si>
    <t>TX500365</t>
  </si>
  <si>
    <t>TX500366</t>
  </si>
  <si>
    <t>TX500367</t>
  </si>
  <si>
    <t>TX500368</t>
  </si>
  <si>
    <t>TX500369</t>
  </si>
  <si>
    <t>TX500370</t>
  </si>
  <si>
    <t>TX500371</t>
  </si>
  <si>
    <t>TX500372</t>
  </si>
  <si>
    <t>TX500373</t>
  </si>
  <si>
    <t>TX500374</t>
  </si>
  <si>
    <t>TX500375</t>
  </si>
  <si>
    <t>TX500376</t>
  </si>
  <si>
    <t>TX500377</t>
  </si>
  <si>
    <t>TX500378</t>
  </si>
  <si>
    <t>TX500379</t>
  </si>
  <si>
    <t>TX500380</t>
  </si>
  <si>
    <t>TX500381</t>
  </si>
  <si>
    <t>TX500382</t>
  </si>
  <si>
    <t>TX500383</t>
  </si>
  <si>
    <t>TX500384</t>
  </si>
  <si>
    <t>TX500385</t>
  </si>
  <si>
    <t>TX500386</t>
  </si>
  <si>
    <t>TX500387</t>
  </si>
  <si>
    <t>TX500388</t>
  </si>
  <si>
    <t>TX500389</t>
  </si>
  <si>
    <t>TX500390</t>
  </si>
  <si>
    <t>TX500391</t>
  </si>
  <si>
    <t>TX500392</t>
  </si>
  <si>
    <t>TX500393</t>
  </si>
  <si>
    <t>TX500394</t>
  </si>
  <si>
    <t>TX500395</t>
  </si>
  <si>
    <t>TX500396</t>
  </si>
  <si>
    <t>TX500397</t>
  </si>
  <si>
    <t>TX500398</t>
  </si>
  <si>
    <t>TX500399</t>
  </si>
  <si>
    <t>TX500400</t>
  </si>
  <si>
    <t>TX500401</t>
  </si>
  <si>
    <t>TX500402</t>
  </si>
  <si>
    <t>TX500403</t>
  </si>
  <si>
    <t>TX500404</t>
  </si>
  <si>
    <t>TX500405</t>
  </si>
  <si>
    <t>TX500406</t>
  </si>
  <si>
    <t>TX500407</t>
  </si>
  <si>
    <t>TX500408</t>
  </si>
  <si>
    <t>TX500409</t>
  </si>
  <si>
    <t>TX500410</t>
  </si>
  <si>
    <t>TX500411</t>
  </si>
  <si>
    <t>TX500412</t>
  </si>
  <si>
    <t>TX500413</t>
  </si>
  <si>
    <t>TX500414</t>
  </si>
  <si>
    <t>TX500415</t>
  </si>
  <si>
    <t>TX500416</t>
  </si>
  <si>
    <t>TX500417</t>
  </si>
  <si>
    <t>TX500418</t>
  </si>
  <si>
    <t>TX500419</t>
  </si>
  <si>
    <t>TX500420</t>
  </si>
  <si>
    <t>TX500421</t>
  </si>
  <si>
    <t>TX500422</t>
  </si>
  <si>
    <t>TX500423</t>
  </si>
  <si>
    <t>TX500424</t>
  </si>
  <si>
    <t>TX500425</t>
  </si>
  <si>
    <t>TX500426</t>
  </si>
  <si>
    <t>TX500427</t>
  </si>
  <si>
    <t>TX500428</t>
  </si>
  <si>
    <t>TX500429</t>
  </si>
  <si>
    <t>TX500430</t>
  </si>
  <si>
    <t>TX500431</t>
  </si>
  <si>
    <t>TX500432</t>
  </si>
  <si>
    <t>TX500433</t>
  </si>
  <si>
    <t>TX500434</t>
  </si>
  <si>
    <t>TX500435</t>
  </si>
  <si>
    <t>TX500436</t>
  </si>
  <si>
    <t>TX500437</t>
  </si>
  <si>
    <t>TX500438</t>
  </si>
  <si>
    <t>TX500439</t>
  </si>
  <si>
    <t>TX500440</t>
  </si>
  <si>
    <t>TX500441</t>
  </si>
  <si>
    <t>TX500442</t>
  </si>
  <si>
    <t>TX500443</t>
  </si>
  <si>
    <t>TX500444</t>
  </si>
  <si>
    <t>TX500445</t>
  </si>
  <si>
    <t>TX500446</t>
  </si>
  <si>
    <t>TX500447</t>
  </si>
  <si>
    <t>TX500448</t>
  </si>
  <si>
    <t>TX500449</t>
  </si>
  <si>
    <t>TX500450</t>
  </si>
  <si>
    <t>TX500451</t>
  </si>
  <si>
    <t>TX500452</t>
  </si>
  <si>
    <t>TX500453</t>
  </si>
  <si>
    <t>TX500454</t>
  </si>
  <si>
    <t>TX500455</t>
  </si>
  <si>
    <t>TX500456</t>
  </si>
  <si>
    <t>TX500457</t>
  </si>
  <si>
    <t>Marin County</t>
  </si>
  <si>
    <t>TX500458</t>
  </si>
  <si>
    <t>TX500459</t>
  </si>
  <si>
    <t>TX500460</t>
  </si>
  <si>
    <t>TX500461</t>
  </si>
  <si>
    <t>TX500462</t>
  </si>
  <si>
    <t>TX500463</t>
  </si>
  <si>
    <t>TX500464</t>
  </si>
  <si>
    <t>TX500465</t>
  </si>
  <si>
    <t>TX500466</t>
  </si>
  <si>
    <t>TX500467</t>
  </si>
  <si>
    <t>TX500468</t>
  </si>
  <si>
    <t>TX500469</t>
  </si>
  <si>
    <t>TX500470</t>
  </si>
  <si>
    <t>TX500471</t>
  </si>
  <si>
    <t>TX500472</t>
  </si>
  <si>
    <t>TX500473</t>
  </si>
  <si>
    <t>TX500474</t>
  </si>
  <si>
    <t>TX500475</t>
  </si>
  <si>
    <t>TX500476</t>
  </si>
  <si>
    <t>TX500477</t>
  </si>
  <si>
    <t>TX500478</t>
  </si>
  <si>
    <t>TX500479</t>
  </si>
  <si>
    <t>TX500480</t>
  </si>
  <si>
    <t>TX500481</t>
  </si>
  <si>
    <t>TX500482</t>
  </si>
  <si>
    <t>TX500483</t>
  </si>
  <si>
    <t>TX500484</t>
  </si>
  <si>
    <t>TX500485</t>
  </si>
  <si>
    <t>TX500486</t>
  </si>
  <si>
    <t>TX500487</t>
  </si>
  <si>
    <t>TX500488</t>
  </si>
  <si>
    <t>TX500489</t>
  </si>
  <si>
    <t>TX500490</t>
  </si>
  <si>
    <t>TX500491</t>
  </si>
  <si>
    <t>TX500492</t>
  </si>
  <si>
    <t>TX500493</t>
  </si>
  <si>
    <t>TX500494</t>
  </si>
  <si>
    <t>TX500495</t>
  </si>
  <si>
    <t>TX500496</t>
  </si>
  <si>
    <t>TX500497</t>
  </si>
  <si>
    <t>TX500498</t>
  </si>
  <si>
    <t>Humboldt County</t>
  </si>
  <si>
    <t>TX500499</t>
  </si>
  <si>
    <t>TX500500</t>
  </si>
  <si>
    <t>TX500501</t>
  </si>
  <si>
    <t>TX500502</t>
  </si>
  <si>
    <t>TX500503</t>
  </si>
  <si>
    <t>TX500504</t>
  </si>
  <si>
    <t>TX500505</t>
  </si>
  <si>
    <t>TX500506</t>
  </si>
  <si>
    <t>TX500507</t>
  </si>
  <si>
    <t>TX500508</t>
  </si>
  <si>
    <t>TX500509</t>
  </si>
  <si>
    <t>TX500510</t>
  </si>
  <si>
    <t>TX500511</t>
  </si>
  <si>
    <t>TX500512</t>
  </si>
  <si>
    <t>TX500513</t>
  </si>
  <si>
    <t>TX500514</t>
  </si>
  <si>
    <t>TX500515</t>
  </si>
  <si>
    <t>TX500516</t>
  </si>
  <si>
    <t>TX500517</t>
  </si>
  <si>
    <t>TX500518</t>
  </si>
  <si>
    <t>Trinity County</t>
  </si>
  <si>
    <t>TX500519</t>
  </si>
  <si>
    <t>TX500520</t>
  </si>
  <si>
    <t>TX500521</t>
  </si>
  <si>
    <t>TX500522</t>
  </si>
  <si>
    <t>TX500523</t>
  </si>
  <si>
    <t>TX500524</t>
  </si>
  <si>
    <t>TX500525</t>
  </si>
  <si>
    <t>TX500526</t>
  </si>
  <si>
    <t>TX500527</t>
  </si>
  <si>
    <t>TX500528</t>
  </si>
  <si>
    <t>TX500529</t>
  </si>
  <si>
    <t>TX500530</t>
  </si>
  <si>
    <t>TX500531</t>
  </si>
  <si>
    <t>TX500532</t>
  </si>
  <si>
    <t>TX500533</t>
  </si>
  <si>
    <t>TX500534</t>
  </si>
  <si>
    <t>TX500535</t>
  </si>
  <si>
    <t>TX500536</t>
  </si>
  <si>
    <t>TX500537</t>
  </si>
  <si>
    <t>TX500538</t>
  </si>
  <si>
    <t>TX500539</t>
  </si>
  <si>
    <t>TX500540</t>
  </si>
  <si>
    <t>TX500541</t>
  </si>
  <si>
    <t>TX500542</t>
  </si>
  <si>
    <t>TX500543</t>
  </si>
  <si>
    <t>TX500544</t>
  </si>
  <si>
    <t>TX500545</t>
  </si>
  <si>
    <t>TX500546</t>
  </si>
  <si>
    <t>TX500547</t>
  </si>
  <si>
    <t>TX500548</t>
  </si>
  <si>
    <t>TX500549</t>
  </si>
  <si>
    <t>TX500550</t>
  </si>
  <si>
    <t>Amador County</t>
  </si>
  <si>
    <t>TX500551</t>
  </si>
  <si>
    <t>TX500552</t>
  </si>
  <si>
    <t>TX500553</t>
  </si>
  <si>
    <t>TX500554</t>
  </si>
  <si>
    <t>TX500555</t>
  </si>
  <si>
    <t>TX500556</t>
  </si>
  <si>
    <t>TX500557</t>
  </si>
  <si>
    <t>TX500558</t>
  </si>
  <si>
    <t>TX500559</t>
  </si>
  <si>
    <t>TX500560</t>
  </si>
  <si>
    <t>TX500561</t>
  </si>
  <si>
    <t>TX500562</t>
  </si>
  <si>
    <t>TX500563</t>
  </si>
  <si>
    <t>TX500564</t>
  </si>
  <si>
    <t>TX500565</t>
  </si>
  <si>
    <t>TX500566</t>
  </si>
  <si>
    <t>TX500567</t>
  </si>
  <si>
    <t>TX500568</t>
  </si>
  <si>
    <t>TX500569</t>
  </si>
  <si>
    <t>TX500570</t>
  </si>
  <si>
    <t>TX500571</t>
  </si>
  <si>
    <t>TX500572</t>
  </si>
  <si>
    <t>TX500573</t>
  </si>
  <si>
    <t>TX500574</t>
  </si>
  <si>
    <t>TX500575</t>
  </si>
  <si>
    <t>TX500576</t>
  </si>
  <si>
    <t>TX500577</t>
  </si>
  <si>
    <t>TX500578</t>
  </si>
  <si>
    <t>Mono County</t>
  </si>
  <si>
    <t>TX500579</t>
  </si>
  <si>
    <t>TX500580</t>
  </si>
  <si>
    <t>TX500581</t>
  </si>
  <si>
    <t>TX500582</t>
  </si>
  <si>
    <t>TX500583</t>
  </si>
  <si>
    <t>TX500584</t>
  </si>
  <si>
    <t>TX500585</t>
  </si>
  <si>
    <t>TX500586</t>
  </si>
  <si>
    <t>TX500587</t>
  </si>
  <si>
    <t>TX500588</t>
  </si>
  <si>
    <t>TX500589</t>
  </si>
  <si>
    <t>TX500590</t>
  </si>
  <si>
    <t>TX500591</t>
  </si>
  <si>
    <t>TX500592</t>
  </si>
  <si>
    <t>TX500593</t>
  </si>
  <si>
    <t>TX500594</t>
  </si>
  <si>
    <t>TX500595</t>
  </si>
  <si>
    <t>TX500596</t>
  </si>
  <si>
    <t>TX500597</t>
  </si>
  <si>
    <t>TX500598</t>
  </si>
  <si>
    <t>TX500599</t>
  </si>
  <si>
    <t>TX500600</t>
  </si>
  <si>
    <t>TX500601</t>
  </si>
  <si>
    <t>TX500602</t>
  </si>
  <si>
    <t>TX500603</t>
  </si>
  <si>
    <t>TX500604</t>
  </si>
  <si>
    <t>TX500605</t>
  </si>
  <si>
    <t>TX500606</t>
  </si>
  <si>
    <t>TX500607</t>
  </si>
  <si>
    <t>Sierra County</t>
  </si>
  <si>
    <t>TX500608</t>
  </si>
  <si>
    <t>TX500609</t>
  </si>
  <si>
    <t>TX500610</t>
  </si>
  <si>
    <t>TX500611</t>
  </si>
  <si>
    <t>TX500612</t>
  </si>
  <si>
    <t>TX500613</t>
  </si>
  <si>
    <t>TX500614</t>
  </si>
  <si>
    <t>TX500615</t>
  </si>
  <si>
    <t>TX500616</t>
  </si>
  <si>
    <t>TX500617</t>
  </si>
  <si>
    <t>TX500618</t>
  </si>
  <si>
    <t>TX500619</t>
  </si>
  <si>
    <t>TX500620</t>
  </si>
  <si>
    <t>TX500621</t>
  </si>
  <si>
    <t>TX500622</t>
  </si>
  <si>
    <t>TX500623</t>
  </si>
  <si>
    <t>TX500624</t>
  </si>
  <si>
    <t>TX500625</t>
  </si>
  <si>
    <t>TX500626</t>
  </si>
  <si>
    <t>TX500627</t>
  </si>
  <si>
    <t>TX500628</t>
  </si>
  <si>
    <t>TX500629</t>
  </si>
  <si>
    <t>TX500630</t>
  </si>
  <si>
    <t>TX500631</t>
  </si>
  <si>
    <t>TX500632</t>
  </si>
  <si>
    <t>TX500633</t>
  </si>
  <si>
    <t>TX500634</t>
  </si>
  <si>
    <t>TX500635</t>
  </si>
  <si>
    <t>TX500636</t>
  </si>
  <si>
    <t>TX500637</t>
  </si>
  <si>
    <t>TX500638</t>
  </si>
  <si>
    <t>TX500639</t>
  </si>
  <si>
    <t>TX500640</t>
  </si>
  <si>
    <t>TX500641</t>
  </si>
  <si>
    <t>TX500642</t>
  </si>
  <si>
    <t>TX500643</t>
  </si>
  <si>
    <t>TX500644</t>
  </si>
  <si>
    <t>TX500645</t>
  </si>
  <si>
    <t>TX500646</t>
  </si>
  <si>
    <t>TX500647</t>
  </si>
  <si>
    <t>TX500648</t>
  </si>
  <si>
    <t>TX500649</t>
  </si>
  <si>
    <t>TX500650</t>
  </si>
  <si>
    <t>TX500651</t>
  </si>
  <si>
    <t>TX500652</t>
  </si>
  <si>
    <t>TX500653</t>
  </si>
  <si>
    <t>TX500654</t>
  </si>
  <si>
    <t>TX500655</t>
  </si>
  <si>
    <t>TX500656</t>
  </si>
  <si>
    <t>TX500657</t>
  </si>
  <si>
    <t>TX500658</t>
  </si>
  <si>
    <t>TX500659</t>
  </si>
  <si>
    <t>TX500660</t>
  </si>
  <si>
    <t>TX500661</t>
  </si>
  <si>
    <t>TX500662</t>
  </si>
  <si>
    <t>TX500663</t>
  </si>
  <si>
    <t>TX500664</t>
  </si>
  <si>
    <t>TX500665</t>
  </si>
  <si>
    <t>TX500666</t>
  </si>
  <si>
    <t>TX500667</t>
  </si>
  <si>
    <t>TX500668</t>
  </si>
  <si>
    <t>TX500669</t>
  </si>
  <si>
    <t>TX500670</t>
  </si>
  <si>
    <t>TX500671</t>
  </si>
  <si>
    <t>TX500672</t>
  </si>
  <si>
    <t>TX500673</t>
  </si>
  <si>
    <t>TX500674</t>
  </si>
  <si>
    <t>TX500675</t>
  </si>
  <si>
    <t>TX500676</t>
  </si>
  <si>
    <t>TX500677</t>
  </si>
  <si>
    <t>TX500678</t>
  </si>
  <si>
    <t>TX500679</t>
  </si>
  <si>
    <t>TX500680</t>
  </si>
  <si>
    <t>TX500681</t>
  </si>
  <si>
    <t>TX500682</t>
  </si>
  <si>
    <t>TX500683</t>
  </si>
  <si>
    <t>TX500684</t>
  </si>
  <si>
    <t>TX500685</t>
  </si>
  <si>
    <t>TX500686</t>
  </si>
  <si>
    <t>TX500687</t>
  </si>
  <si>
    <t>TX500688</t>
  </si>
  <si>
    <t>TX500689</t>
  </si>
  <si>
    <t>TX500690</t>
  </si>
  <si>
    <t>TX500691</t>
  </si>
  <si>
    <t>TX500692</t>
  </si>
  <si>
    <t>TX500693</t>
  </si>
  <si>
    <t>TX500694</t>
  </si>
  <si>
    <t>TX500695</t>
  </si>
  <si>
    <t>TX500696</t>
  </si>
  <si>
    <t>TX500697</t>
  </si>
  <si>
    <t>TX500698</t>
  </si>
  <si>
    <t>TX500699</t>
  </si>
  <si>
    <t>TX500700</t>
  </si>
  <si>
    <t>TX500701</t>
  </si>
  <si>
    <t>TX500702</t>
  </si>
  <si>
    <t>TX500703</t>
  </si>
  <si>
    <t>TX500704</t>
  </si>
  <si>
    <t>TX500705</t>
  </si>
  <si>
    <t>TX500706</t>
  </si>
  <si>
    <t>TX500707</t>
  </si>
  <si>
    <t>TX500708</t>
  </si>
  <si>
    <t>Monterey County</t>
  </si>
  <si>
    <t>TX500709</t>
  </si>
  <si>
    <t>TX500710</t>
  </si>
  <si>
    <t>TX500711</t>
  </si>
  <si>
    <t>TX500712</t>
  </si>
  <si>
    <t>TX500713</t>
  </si>
  <si>
    <t>TX500714</t>
  </si>
  <si>
    <t>TX500715</t>
  </si>
  <si>
    <t>TX500716</t>
  </si>
  <si>
    <t>TX500717</t>
  </si>
  <si>
    <t>TX500718</t>
  </si>
  <si>
    <t>TX500719</t>
  </si>
  <si>
    <t>TX500720</t>
  </si>
  <si>
    <t>TX500721</t>
  </si>
  <si>
    <t>TX500722</t>
  </si>
  <si>
    <t>TX500723</t>
  </si>
  <si>
    <t>TX500724</t>
  </si>
  <si>
    <t>TX500725</t>
  </si>
  <si>
    <t>TX500726</t>
  </si>
  <si>
    <t>TX500727</t>
  </si>
  <si>
    <t>TX500728</t>
  </si>
  <si>
    <t>TX500729</t>
  </si>
  <si>
    <t>TX500730</t>
  </si>
  <si>
    <t>TX500731</t>
  </si>
  <si>
    <t>TX500732</t>
  </si>
  <si>
    <t>TX500733</t>
  </si>
  <si>
    <t>TX500734</t>
  </si>
  <si>
    <t>TX500735</t>
  </si>
  <si>
    <t>TX500736</t>
  </si>
  <si>
    <t>TX500737</t>
  </si>
  <si>
    <t>TX500738</t>
  </si>
  <si>
    <t>TX500739</t>
  </si>
  <si>
    <t>TX500740</t>
  </si>
  <si>
    <t>TX500741</t>
  </si>
  <si>
    <t>TX500742</t>
  </si>
  <si>
    <t>TX500743</t>
  </si>
  <si>
    <t>TX500744</t>
  </si>
  <si>
    <t>TX500745</t>
  </si>
  <si>
    <t>TX500746</t>
  </si>
  <si>
    <t>TX500747</t>
  </si>
  <si>
    <t>TX500748</t>
  </si>
  <si>
    <t>TX500749</t>
  </si>
  <si>
    <t>TX500750</t>
  </si>
  <si>
    <t>TX500751</t>
  </si>
  <si>
    <t>TX500752</t>
  </si>
  <si>
    <t>TX500753</t>
  </si>
  <si>
    <t>TX500754</t>
  </si>
  <si>
    <t>TX500755</t>
  </si>
  <si>
    <t>TX500756</t>
  </si>
  <si>
    <t>TX500757</t>
  </si>
  <si>
    <t>TX500758</t>
  </si>
  <si>
    <t>TX500759</t>
  </si>
  <si>
    <t>TX500760</t>
  </si>
  <si>
    <t>TX500761</t>
  </si>
  <si>
    <t>TX500762</t>
  </si>
  <si>
    <t>TX500763</t>
  </si>
  <si>
    <t>TX500764</t>
  </si>
  <si>
    <t>TX500765</t>
  </si>
  <si>
    <t>TX500766</t>
  </si>
  <si>
    <t>TX500767</t>
  </si>
  <si>
    <t>TX500768</t>
  </si>
  <si>
    <t>TX500769</t>
  </si>
  <si>
    <t>TX500770</t>
  </si>
  <si>
    <t>TX500771</t>
  </si>
  <si>
    <t>TX500772</t>
  </si>
  <si>
    <t>TX500773</t>
  </si>
  <si>
    <t>TX500774</t>
  </si>
  <si>
    <t>TX500775</t>
  </si>
  <si>
    <t>TX500776</t>
  </si>
  <si>
    <t>TX500777</t>
  </si>
  <si>
    <t>TX500778</t>
  </si>
  <si>
    <t>TX500779</t>
  </si>
  <si>
    <t>TX500780</t>
  </si>
  <si>
    <t>TX500781</t>
  </si>
  <si>
    <t>TX500782</t>
  </si>
  <si>
    <t>TX500783</t>
  </si>
  <si>
    <t>TX500784</t>
  </si>
  <si>
    <t>TX500785</t>
  </si>
  <si>
    <t>TX500786</t>
  </si>
  <si>
    <t>TX500787</t>
  </si>
  <si>
    <t>TX500788</t>
  </si>
  <si>
    <t>TX500789</t>
  </si>
  <si>
    <t>TX500790</t>
  </si>
  <si>
    <t>TX500791</t>
  </si>
  <si>
    <t>TX500792</t>
  </si>
  <si>
    <t>TX500793</t>
  </si>
  <si>
    <t>TX500794</t>
  </si>
  <si>
    <t>TX500795</t>
  </si>
  <si>
    <t>TX500796</t>
  </si>
  <si>
    <t>TX500797</t>
  </si>
  <si>
    <t>TX500798</t>
  </si>
  <si>
    <t>TX500799</t>
  </si>
  <si>
    <t>TX500800</t>
  </si>
  <si>
    <t>TX500801</t>
  </si>
  <si>
    <t>TX500802</t>
  </si>
  <si>
    <t>TX500803</t>
  </si>
  <si>
    <t>TX500804</t>
  </si>
  <si>
    <t>TX500805</t>
  </si>
  <si>
    <t>TX500806</t>
  </si>
  <si>
    <t>TX500807</t>
  </si>
  <si>
    <t>TX500808</t>
  </si>
  <si>
    <t>TX500809</t>
  </si>
  <si>
    <t>TX500810</t>
  </si>
  <si>
    <t>TX500811</t>
  </si>
  <si>
    <t>TX500812</t>
  </si>
  <si>
    <t>TX500813</t>
  </si>
  <si>
    <t>TX500814</t>
  </si>
  <si>
    <t>TX500815</t>
  </si>
  <si>
    <t>TX500816</t>
  </si>
  <si>
    <t>TX500817</t>
  </si>
  <si>
    <t>TX500818</t>
  </si>
  <si>
    <t>TX500819</t>
  </si>
  <si>
    <t>TX500820</t>
  </si>
  <si>
    <t>TX500821</t>
  </si>
  <si>
    <t>TX500822</t>
  </si>
  <si>
    <t>TX500823</t>
  </si>
  <si>
    <t>TX500824</t>
  </si>
  <si>
    <t>TX500825</t>
  </si>
  <si>
    <t>TX500826</t>
  </si>
  <si>
    <t>TX500827</t>
  </si>
  <si>
    <t>TX500828</t>
  </si>
  <si>
    <t>TX500829</t>
  </si>
  <si>
    <t>TX500830</t>
  </si>
  <si>
    <t>TX500831</t>
  </si>
  <si>
    <t>TX500832</t>
  </si>
  <si>
    <t>TX500833</t>
  </si>
  <si>
    <t>TX500834</t>
  </si>
  <si>
    <t>TX500835</t>
  </si>
  <si>
    <t>TX500836</t>
  </si>
  <si>
    <t>TX500837</t>
  </si>
  <si>
    <t>TX500838</t>
  </si>
  <si>
    <t>TX500839</t>
  </si>
  <si>
    <t>TX500840</t>
  </si>
  <si>
    <t>TX500841</t>
  </si>
  <si>
    <t>TX500842</t>
  </si>
  <si>
    <t>TX500843</t>
  </si>
  <si>
    <t>TX500844</t>
  </si>
  <si>
    <t>TX500845</t>
  </si>
  <si>
    <t>TX500846</t>
  </si>
  <si>
    <t>TX500847</t>
  </si>
  <si>
    <t>TX500848</t>
  </si>
  <si>
    <t>TX500849</t>
  </si>
  <si>
    <t>TX500850</t>
  </si>
  <si>
    <t>TX500851</t>
  </si>
  <si>
    <t>TX500852</t>
  </si>
  <si>
    <t>TX500853</t>
  </si>
  <si>
    <t>TX500854</t>
  </si>
  <si>
    <t>Lake County</t>
  </si>
  <si>
    <t>TX500855</t>
  </si>
  <si>
    <t>TX500856</t>
  </si>
  <si>
    <t>TX500857</t>
  </si>
  <si>
    <t>TX500858</t>
  </si>
  <si>
    <t>TX500859</t>
  </si>
  <si>
    <t>TX500860</t>
  </si>
  <si>
    <t>TX500861</t>
  </si>
  <si>
    <t>TX500862</t>
  </si>
  <si>
    <t>TX500863</t>
  </si>
  <si>
    <t>TX500864</t>
  </si>
  <si>
    <t>TX500865</t>
  </si>
  <si>
    <t>TX500866</t>
  </si>
  <si>
    <t>TX500867</t>
  </si>
  <si>
    <t>TX500868</t>
  </si>
  <si>
    <t>TX500869</t>
  </si>
  <si>
    <t>TX500870</t>
  </si>
  <si>
    <t>TX500871</t>
  </si>
  <si>
    <t>Butte County</t>
  </si>
  <si>
    <t>TX500872</t>
  </si>
  <si>
    <t>TX500873</t>
  </si>
  <si>
    <t>TX500874</t>
  </si>
  <si>
    <t>TX500875</t>
  </si>
  <si>
    <t>TX500876</t>
  </si>
  <si>
    <t>TX500877</t>
  </si>
  <si>
    <t>TX500878</t>
  </si>
  <si>
    <t>TX500879</t>
  </si>
  <si>
    <t>TX500880</t>
  </si>
  <si>
    <t>TX500881</t>
  </si>
  <si>
    <t>TX500882</t>
  </si>
  <si>
    <t>TX500883</t>
  </si>
  <si>
    <t>TX500884</t>
  </si>
  <si>
    <t>TX500885</t>
  </si>
  <si>
    <t>TX500886</t>
  </si>
  <si>
    <t>TX500887</t>
  </si>
  <si>
    <t>TX500888</t>
  </si>
  <si>
    <t>TX500889</t>
  </si>
  <si>
    <t>TX500890</t>
  </si>
  <si>
    <t>TX500891</t>
  </si>
  <si>
    <t>TX500892</t>
  </si>
  <si>
    <t>TX500893</t>
  </si>
  <si>
    <t>TX500894</t>
  </si>
  <si>
    <t>TX500895</t>
  </si>
  <si>
    <t>TX500896</t>
  </si>
  <si>
    <t>TX500897</t>
  </si>
  <si>
    <t>TX500898</t>
  </si>
  <si>
    <t>TX500899</t>
  </si>
  <si>
    <t>TX500900</t>
  </si>
  <si>
    <t>Tuolumne County</t>
  </si>
  <si>
    <t>TX500901</t>
  </si>
  <si>
    <t>TX500902</t>
  </si>
  <si>
    <t>TX500903</t>
  </si>
  <si>
    <t>TX500904</t>
  </si>
  <si>
    <t>TX500905</t>
  </si>
  <si>
    <t>TX500906</t>
  </si>
  <si>
    <t>TX500907</t>
  </si>
  <si>
    <t>TX500908</t>
  </si>
  <si>
    <t>TX500909</t>
  </si>
  <si>
    <t>TX500910</t>
  </si>
  <si>
    <t>TX500911</t>
  </si>
  <si>
    <t>TX500912</t>
  </si>
  <si>
    <t>TX500913</t>
  </si>
  <si>
    <t>TX500914</t>
  </si>
  <si>
    <t>TX500915</t>
  </si>
  <si>
    <t>TX500916</t>
  </si>
  <si>
    <t>TX500917</t>
  </si>
  <si>
    <t>TX500918</t>
  </si>
  <si>
    <t>TX500919</t>
  </si>
  <si>
    <t>TX500920</t>
  </si>
  <si>
    <t>TX500921</t>
  </si>
  <si>
    <t>TX500922</t>
  </si>
  <si>
    <t>TX500923</t>
  </si>
  <si>
    <t>TX500924</t>
  </si>
  <si>
    <t>TX500925</t>
  </si>
  <si>
    <t>TX500926</t>
  </si>
  <si>
    <t>TX500927</t>
  </si>
  <si>
    <t>TX500928</t>
  </si>
  <si>
    <t>TX500929</t>
  </si>
  <si>
    <t>TX500930</t>
  </si>
  <si>
    <t>TX500931</t>
  </si>
  <si>
    <t>TX500932</t>
  </si>
  <si>
    <t>TX500933</t>
  </si>
  <si>
    <t>TX500934</t>
  </si>
  <si>
    <t>TX500935</t>
  </si>
  <si>
    <t>TX500936</t>
  </si>
  <si>
    <t>TX500937</t>
  </si>
  <si>
    <t>TX500938</t>
  </si>
  <si>
    <t>TX500939</t>
  </si>
  <si>
    <t>TX500940</t>
  </si>
  <si>
    <t>TX500941</t>
  </si>
  <si>
    <t>TX500942</t>
  </si>
  <si>
    <t>TX500943</t>
  </si>
  <si>
    <t>TX500944</t>
  </si>
  <si>
    <t>TX500945</t>
  </si>
  <si>
    <t>TX500946</t>
  </si>
  <si>
    <t>TX500947</t>
  </si>
  <si>
    <t>TX500948</t>
  </si>
  <si>
    <t>TX500949</t>
  </si>
  <si>
    <t>TX500950</t>
  </si>
  <si>
    <t>TX500951</t>
  </si>
  <si>
    <t>TX500952</t>
  </si>
  <si>
    <t>TX500953</t>
  </si>
  <si>
    <t>TX500954</t>
  </si>
  <si>
    <t>TX500955</t>
  </si>
  <si>
    <t>TX500956</t>
  </si>
  <si>
    <t>TX500957</t>
  </si>
  <si>
    <t>TX500958</t>
  </si>
  <si>
    <t>TX500959</t>
  </si>
  <si>
    <t>TX500960</t>
  </si>
  <si>
    <t>TX500961</t>
  </si>
  <si>
    <t>TX500962</t>
  </si>
  <si>
    <t>TX500963</t>
  </si>
  <si>
    <t>TX500964</t>
  </si>
  <si>
    <t>TX500965</t>
  </si>
  <si>
    <t>TX500966</t>
  </si>
  <si>
    <t>TX500967</t>
  </si>
  <si>
    <t>TX500968</t>
  </si>
  <si>
    <t>TX500969</t>
  </si>
  <si>
    <t>TX500970</t>
  </si>
  <si>
    <t>TX500971</t>
  </si>
  <si>
    <t>TX500972</t>
  </si>
  <si>
    <t>TX500973</t>
  </si>
  <si>
    <t>TX500974</t>
  </si>
  <si>
    <t>TX500975</t>
  </si>
  <si>
    <t>TX500976</t>
  </si>
  <si>
    <t>TX500977</t>
  </si>
  <si>
    <t>TX500978</t>
  </si>
  <si>
    <t>TX500979</t>
  </si>
  <si>
    <t>TX500980</t>
  </si>
  <si>
    <t>TX500981</t>
  </si>
  <si>
    <t>TX500982</t>
  </si>
  <si>
    <t>TX500983</t>
  </si>
  <si>
    <t>TX500984</t>
  </si>
  <si>
    <t>TX500985</t>
  </si>
  <si>
    <t>TX500986</t>
  </si>
  <si>
    <t>TX500987</t>
  </si>
  <si>
    <t>TX500988</t>
  </si>
  <si>
    <t>TX500989</t>
  </si>
  <si>
    <t>TX500990</t>
  </si>
  <si>
    <t>TX500991</t>
  </si>
  <si>
    <t>TX500992</t>
  </si>
  <si>
    <t>TX500993</t>
  </si>
  <si>
    <t>TX500994</t>
  </si>
  <si>
    <t>TX500995</t>
  </si>
  <si>
    <t>TX500996</t>
  </si>
  <si>
    <t>TX500997</t>
  </si>
  <si>
    <t>TX500998</t>
  </si>
  <si>
    <t>TX500999</t>
  </si>
  <si>
    <t>TX501000</t>
  </si>
  <si>
    <t>TX501001</t>
  </si>
  <si>
    <t>TX501002</t>
  </si>
  <si>
    <t>TX501003</t>
  </si>
  <si>
    <t>TX501004</t>
  </si>
  <si>
    <t>TX501005</t>
  </si>
  <si>
    <t>TX501006</t>
  </si>
  <si>
    <t>TX501007</t>
  </si>
  <si>
    <t>TX501008</t>
  </si>
  <si>
    <t>TX501009</t>
  </si>
  <si>
    <t>TX501010</t>
  </si>
  <si>
    <t>TX501011</t>
  </si>
  <si>
    <t>TX501012</t>
  </si>
  <si>
    <t>TX501013</t>
  </si>
  <si>
    <t>TX501014</t>
  </si>
  <si>
    <t>TX501015</t>
  </si>
  <si>
    <t>TX501016</t>
  </si>
  <si>
    <t>TX501017</t>
  </si>
  <si>
    <t>TX501018</t>
  </si>
  <si>
    <t>Shasta County</t>
  </si>
  <si>
    <t>TX501019</t>
  </si>
  <si>
    <t>TX501020</t>
  </si>
  <si>
    <t>TX501021</t>
  </si>
  <si>
    <t>TX501022</t>
  </si>
  <si>
    <t>TX501023</t>
  </si>
  <si>
    <t>TX501024</t>
  </si>
  <si>
    <t>TX501025</t>
  </si>
  <si>
    <t>TX501026</t>
  </si>
  <si>
    <t>TX501027</t>
  </si>
  <si>
    <t>TX501028</t>
  </si>
  <si>
    <t>TX501029</t>
  </si>
  <si>
    <t>TX501030</t>
  </si>
  <si>
    <t>TX501031</t>
  </si>
  <si>
    <t>TX501032</t>
  </si>
  <si>
    <t>TX501033</t>
  </si>
  <si>
    <t>TX501034</t>
  </si>
  <si>
    <t>TX501035</t>
  </si>
  <si>
    <t>TX501036</t>
  </si>
  <si>
    <t>TX501037</t>
  </si>
  <si>
    <t>TX501038</t>
  </si>
  <si>
    <t>TX501039</t>
  </si>
  <si>
    <t>TX501040</t>
  </si>
  <si>
    <t>TX501041</t>
  </si>
  <si>
    <t>TX501042</t>
  </si>
  <si>
    <t>TX501043</t>
  </si>
  <si>
    <t>TX501044</t>
  </si>
  <si>
    <t>TX501045</t>
  </si>
  <si>
    <t>TX501046</t>
  </si>
  <si>
    <t>TX501047</t>
  </si>
  <si>
    <t>TX501048</t>
  </si>
  <si>
    <t>TX501049</t>
  </si>
  <si>
    <t>TX501050</t>
  </si>
  <si>
    <t>TX501051</t>
  </si>
  <si>
    <t>TX501052</t>
  </si>
  <si>
    <t>TX501053</t>
  </si>
  <si>
    <t>TX501054</t>
  </si>
  <si>
    <t>TX501055</t>
  </si>
  <si>
    <t>TX501056</t>
  </si>
  <si>
    <t>TX501057</t>
  </si>
  <si>
    <t>TX501058</t>
  </si>
  <si>
    <t>TX501059</t>
  </si>
  <si>
    <t>TX501060</t>
  </si>
  <si>
    <t>TX501061</t>
  </si>
  <si>
    <t>TX501062</t>
  </si>
  <si>
    <t>TX501063</t>
  </si>
  <si>
    <t>TX501064</t>
  </si>
  <si>
    <t>TX501065</t>
  </si>
  <si>
    <t>TX501066</t>
  </si>
  <si>
    <t>TX501067</t>
  </si>
  <si>
    <t>TX501068</t>
  </si>
  <si>
    <t>TX501069</t>
  </si>
  <si>
    <t>TX501070</t>
  </si>
  <si>
    <t>TX501071</t>
  </si>
  <si>
    <t>TX501072</t>
  </si>
  <si>
    <t>TX501073</t>
  </si>
  <si>
    <t>TX501074</t>
  </si>
  <si>
    <t>TX501075</t>
  </si>
  <si>
    <t>TX501076</t>
  </si>
  <si>
    <t>TX501077</t>
  </si>
  <si>
    <t>TX501078</t>
  </si>
  <si>
    <t>TX501079</t>
  </si>
  <si>
    <t>TX501080</t>
  </si>
  <si>
    <t>TX501081</t>
  </si>
  <si>
    <t>TX501082</t>
  </si>
  <si>
    <t>TX501083</t>
  </si>
  <si>
    <t>TX501084</t>
  </si>
  <si>
    <t>TX501085</t>
  </si>
  <si>
    <t>TX501086</t>
  </si>
  <si>
    <t>TX501087</t>
  </si>
  <si>
    <t>TX501088</t>
  </si>
  <si>
    <t>TX501089</t>
  </si>
  <si>
    <t>TX501090</t>
  </si>
  <si>
    <t>TX501091</t>
  </si>
  <si>
    <t>TX501092</t>
  </si>
  <si>
    <t>TX501093</t>
  </si>
  <si>
    <t>TX501094</t>
  </si>
  <si>
    <t>TX501095</t>
  </si>
  <si>
    <t>TX501096</t>
  </si>
  <si>
    <t>TX501097</t>
  </si>
  <si>
    <t>TX501098</t>
  </si>
  <si>
    <t>TX501099</t>
  </si>
  <si>
    <t>TX501100</t>
  </si>
  <si>
    <t>TX501101</t>
  </si>
  <si>
    <t>TX501102</t>
  </si>
  <si>
    <t>TX501103</t>
  </si>
  <si>
    <t>TX501104</t>
  </si>
  <si>
    <t>TX501105</t>
  </si>
  <si>
    <t>TX501106</t>
  </si>
  <si>
    <t>TX501107</t>
  </si>
  <si>
    <t>TX501108</t>
  </si>
  <si>
    <t>TX501109</t>
  </si>
  <si>
    <t>TX501110</t>
  </si>
  <si>
    <t>TX501111</t>
  </si>
  <si>
    <t>TX501112</t>
  </si>
  <si>
    <t>TX501113</t>
  </si>
  <si>
    <t>TX501114</t>
  </si>
  <si>
    <t>TX501115</t>
  </si>
  <si>
    <t>TX501116</t>
  </si>
  <si>
    <t>TX501117</t>
  </si>
  <si>
    <t>TX501118</t>
  </si>
  <si>
    <t>TX501119</t>
  </si>
  <si>
    <t>TX501120</t>
  </si>
  <si>
    <t>TX501121</t>
  </si>
  <si>
    <t>TX501122</t>
  </si>
  <si>
    <t>TX501123</t>
  </si>
  <si>
    <t>TX501124</t>
  </si>
  <si>
    <t>TX501125</t>
  </si>
  <si>
    <t>TX501126</t>
  </si>
  <si>
    <t>TX501127</t>
  </si>
  <si>
    <t>TX501128</t>
  </si>
  <si>
    <t>TX501129</t>
  </si>
  <si>
    <t>TX501130</t>
  </si>
  <si>
    <t>TX501131</t>
  </si>
  <si>
    <t>TX501132</t>
  </si>
  <si>
    <t>TX501133</t>
  </si>
  <si>
    <t>TX501134</t>
  </si>
  <si>
    <t>TX501135</t>
  </si>
  <si>
    <t>TX501136</t>
  </si>
  <si>
    <t>TX501137</t>
  </si>
  <si>
    <t>TX501138</t>
  </si>
  <si>
    <t>TX501139</t>
  </si>
  <si>
    <t>TX501140</t>
  </si>
  <si>
    <t>TX501141</t>
  </si>
  <si>
    <t>TX501142</t>
  </si>
  <si>
    <t>TX501143</t>
  </si>
  <si>
    <t>TX501144</t>
  </si>
  <si>
    <t>TX501145</t>
  </si>
  <si>
    <t>TX501146</t>
  </si>
  <si>
    <t>TX501147</t>
  </si>
  <si>
    <t>TX501148</t>
  </si>
  <si>
    <t>TX501149</t>
  </si>
  <si>
    <t>TX501150</t>
  </si>
  <si>
    <t>TX501151</t>
  </si>
  <si>
    <t>TX501152</t>
  </si>
  <si>
    <t>TX501153</t>
  </si>
  <si>
    <t>TX501154</t>
  </si>
  <si>
    <t>TX501155</t>
  </si>
  <si>
    <t>TX501156</t>
  </si>
  <si>
    <t>TX501157</t>
  </si>
  <si>
    <t>TX501158</t>
  </si>
  <si>
    <t>TX501159</t>
  </si>
  <si>
    <t>TX501160</t>
  </si>
  <si>
    <t>TX501161</t>
  </si>
  <si>
    <t>TX501162</t>
  </si>
  <si>
    <t>TX501163</t>
  </si>
  <si>
    <t>TX501164</t>
  </si>
  <si>
    <t>TX501165</t>
  </si>
  <si>
    <t>TX501166</t>
  </si>
  <si>
    <t>TX501167</t>
  </si>
  <si>
    <t>TX501168</t>
  </si>
  <si>
    <t>TX501169</t>
  </si>
  <si>
    <t>TX501170</t>
  </si>
  <si>
    <t>TX501171</t>
  </si>
  <si>
    <t>TX501172</t>
  </si>
  <si>
    <t>TX501173</t>
  </si>
  <si>
    <t>TX501174</t>
  </si>
  <si>
    <t>TX501175</t>
  </si>
  <si>
    <t>TX501176</t>
  </si>
  <si>
    <t>TX501177</t>
  </si>
  <si>
    <t>TX501178</t>
  </si>
  <si>
    <t>TX501179</t>
  </si>
  <si>
    <t>TX501180</t>
  </si>
  <si>
    <t>TX501181</t>
  </si>
  <si>
    <t>TX501182</t>
  </si>
  <si>
    <t>TX501183</t>
  </si>
  <si>
    <t>TX501184</t>
  </si>
  <si>
    <t>TX501185</t>
  </si>
  <si>
    <t>TX501186</t>
  </si>
  <si>
    <t>TX501187</t>
  </si>
  <si>
    <t>TX501188</t>
  </si>
  <si>
    <t>TX501189</t>
  </si>
  <si>
    <t>TX501190</t>
  </si>
  <si>
    <t>TX501191</t>
  </si>
  <si>
    <t>TX501192</t>
  </si>
  <si>
    <t>TX501193</t>
  </si>
  <si>
    <t>TX501194</t>
  </si>
  <si>
    <t>TX501195</t>
  </si>
  <si>
    <t>TX501196</t>
  </si>
  <si>
    <t>TX501197</t>
  </si>
  <si>
    <t>TX501198</t>
  </si>
  <si>
    <t>TX501199</t>
  </si>
  <si>
    <t>TX501200</t>
  </si>
  <si>
    <t>TX501201</t>
  </si>
  <si>
    <t>TX501202</t>
  </si>
  <si>
    <t>TX501203</t>
  </si>
  <si>
    <t>TX501204</t>
  </si>
  <si>
    <t>TX501205</t>
  </si>
  <si>
    <t>TX501206</t>
  </si>
  <si>
    <t>TX501207</t>
  </si>
  <si>
    <t>TX501208</t>
  </si>
  <si>
    <t>TX501209</t>
  </si>
  <si>
    <t>TX501210</t>
  </si>
  <si>
    <t>TX501211</t>
  </si>
  <si>
    <t>TX501212</t>
  </si>
  <si>
    <t>TX501213</t>
  </si>
  <si>
    <t>TX501214</t>
  </si>
  <si>
    <t>TX501215</t>
  </si>
  <si>
    <t>TX501216</t>
  </si>
  <si>
    <t>TX501217</t>
  </si>
  <si>
    <t>TX501218</t>
  </si>
  <si>
    <t>TX501219</t>
  </si>
  <si>
    <t>TX501220</t>
  </si>
  <si>
    <t>TX501221</t>
  </si>
  <si>
    <t>TX501222</t>
  </si>
  <si>
    <t>TX501223</t>
  </si>
  <si>
    <t>TX501224</t>
  </si>
  <si>
    <t>TX501225</t>
  </si>
  <si>
    <t>TX501226</t>
  </si>
  <si>
    <t>TX501227</t>
  </si>
  <si>
    <t>TX501228</t>
  </si>
  <si>
    <t>TX501229</t>
  </si>
  <si>
    <t>TX501230</t>
  </si>
  <si>
    <t>TX501231</t>
  </si>
  <si>
    <t>TX501232</t>
  </si>
  <si>
    <t>TX501233</t>
  </si>
  <si>
    <t>TX501234</t>
  </si>
  <si>
    <t>TX501235</t>
  </si>
  <si>
    <t>TX501236</t>
  </si>
  <si>
    <t>TX501237</t>
  </si>
  <si>
    <t>TX501238</t>
  </si>
  <si>
    <t>TX501239</t>
  </si>
  <si>
    <t>TX501240</t>
  </si>
  <si>
    <t>TX501241</t>
  </si>
  <si>
    <t>TX501242</t>
  </si>
  <si>
    <t>TX501243</t>
  </si>
  <si>
    <t>TX501244</t>
  </si>
  <si>
    <t>TX501245</t>
  </si>
  <si>
    <t>TX501246</t>
  </si>
  <si>
    <t>TX501247</t>
  </si>
  <si>
    <t>TX501248</t>
  </si>
  <si>
    <t>TX501249</t>
  </si>
  <si>
    <t>TX501250</t>
  </si>
  <si>
    <t>TX501251</t>
  </si>
  <si>
    <t>TX501252</t>
  </si>
  <si>
    <t>TX501253</t>
  </si>
  <si>
    <t>TX501254</t>
  </si>
  <si>
    <t>TX501255</t>
  </si>
  <si>
    <t>TX501256</t>
  </si>
  <si>
    <t>TX501257</t>
  </si>
  <si>
    <t>TX501258</t>
  </si>
  <si>
    <t>TX501259</t>
  </si>
  <si>
    <t>TX501260</t>
  </si>
  <si>
    <t>TX501261</t>
  </si>
  <si>
    <t>TX501262</t>
  </si>
  <si>
    <t>TX501263</t>
  </si>
  <si>
    <t>TX501264</t>
  </si>
  <si>
    <t>TX501265</t>
  </si>
  <si>
    <t>TX501266</t>
  </si>
  <si>
    <t>TX501267</t>
  </si>
  <si>
    <t>TX501268</t>
  </si>
  <si>
    <t>TX501269</t>
  </si>
  <si>
    <t>TX501270</t>
  </si>
  <si>
    <t>TX501271</t>
  </si>
  <si>
    <t>TX501272</t>
  </si>
  <si>
    <t>TX501273</t>
  </si>
  <si>
    <t>TX501274</t>
  </si>
  <si>
    <t>TX501275</t>
  </si>
  <si>
    <t>TX501276</t>
  </si>
  <si>
    <t>TX501277</t>
  </si>
  <si>
    <t>TX501278</t>
  </si>
  <si>
    <t>TX501279</t>
  </si>
  <si>
    <t>TX501280</t>
  </si>
  <si>
    <t>TX501281</t>
  </si>
  <si>
    <t>TX501282</t>
  </si>
  <si>
    <t>TX501283</t>
  </si>
  <si>
    <t>TX501284</t>
  </si>
  <si>
    <t>Colusa County</t>
  </si>
  <si>
    <t>TX501285</t>
  </si>
  <si>
    <t>TX501286</t>
  </si>
  <si>
    <t>TX501287</t>
  </si>
  <si>
    <t>TX501288</t>
  </si>
  <si>
    <t>TX501289</t>
  </si>
  <si>
    <t>TX501290</t>
  </si>
  <si>
    <t>TX501291</t>
  </si>
  <si>
    <t>TX501292</t>
  </si>
  <si>
    <t>TX501293</t>
  </si>
  <si>
    <t>TX501294</t>
  </si>
  <si>
    <t>TX501295</t>
  </si>
  <si>
    <t>TX501296</t>
  </si>
  <si>
    <t>TX501297</t>
  </si>
  <si>
    <t>TX501298</t>
  </si>
  <si>
    <t>TX501299</t>
  </si>
  <si>
    <t>TX501300</t>
  </si>
  <si>
    <t>TX501301</t>
  </si>
  <si>
    <t>TX501302</t>
  </si>
  <si>
    <t>TX501303</t>
  </si>
  <si>
    <t>TX501304</t>
  </si>
  <si>
    <t>TX501305</t>
  </si>
  <si>
    <t>TX501306</t>
  </si>
  <si>
    <t>TX501307</t>
  </si>
  <si>
    <t>TX501308</t>
  </si>
  <si>
    <t>TX501309</t>
  </si>
  <si>
    <t>TX501310</t>
  </si>
  <si>
    <t>TX501311</t>
  </si>
  <si>
    <t>TX501312</t>
  </si>
  <si>
    <t>TX501313</t>
  </si>
  <si>
    <t>TX501314</t>
  </si>
  <si>
    <t>TX501315</t>
  </si>
  <si>
    <t>TX501316</t>
  </si>
  <si>
    <t>TX501317</t>
  </si>
  <si>
    <t>TX501318</t>
  </si>
  <si>
    <t>TX501319</t>
  </si>
  <si>
    <t>TX501320</t>
  </si>
  <si>
    <t>TX501321</t>
  </si>
  <si>
    <t>TX501322</t>
  </si>
  <si>
    <t>TX501323</t>
  </si>
  <si>
    <t>TX501324</t>
  </si>
  <si>
    <t>TX501325</t>
  </si>
  <si>
    <t>TX501326</t>
  </si>
  <si>
    <t>Lassen County</t>
  </si>
  <si>
    <t>TX501327</t>
  </si>
  <si>
    <t>TX501328</t>
  </si>
  <si>
    <t>TX501329</t>
  </si>
  <si>
    <t>TX501330</t>
  </si>
  <si>
    <t>TX501331</t>
  </si>
  <si>
    <t>TX501332</t>
  </si>
  <si>
    <t>TX501333</t>
  </si>
  <si>
    <t>TX501334</t>
  </si>
  <si>
    <t>TX501335</t>
  </si>
  <si>
    <t>TX501336</t>
  </si>
  <si>
    <t>TX501337</t>
  </si>
  <si>
    <t>TX501338</t>
  </si>
  <si>
    <t>TX501339</t>
  </si>
  <si>
    <t>TX501340</t>
  </si>
  <si>
    <t>TX501341</t>
  </si>
  <si>
    <t>TX501342</t>
  </si>
  <si>
    <t>TX501343</t>
  </si>
  <si>
    <t>TX501344</t>
  </si>
  <si>
    <t>TX501345</t>
  </si>
  <si>
    <t>TX501346</t>
  </si>
  <si>
    <t>TX501347</t>
  </si>
  <si>
    <t>TX501348</t>
  </si>
  <si>
    <t>TX501349</t>
  </si>
  <si>
    <t>TX501350</t>
  </si>
  <si>
    <t>TX501351</t>
  </si>
  <si>
    <t>TX501352</t>
  </si>
  <si>
    <t>TX501353</t>
  </si>
  <si>
    <t>TX501354</t>
  </si>
  <si>
    <t>TX501355</t>
  </si>
  <si>
    <t>TX501356</t>
  </si>
  <si>
    <t>TX501357</t>
  </si>
  <si>
    <t>TX501358</t>
  </si>
  <si>
    <t>TX501359</t>
  </si>
  <si>
    <t>TX501360</t>
  </si>
  <si>
    <t>TX501361</t>
  </si>
  <si>
    <t>TX501362</t>
  </si>
  <si>
    <t>TX501363</t>
  </si>
  <si>
    <t>TX501364</t>
  </si>
  <si>
    <t>TX501365</t>
  </si>
  <si>
    <t>TX501366</t>
  </si>
  <si>
    <t>TX501367</t>
  </si>
  <si>
    <t>TX501368</t>
  </si>
  <si>
    <t>TX501369</t>
  </si>
  <si>
    <t>TX501370</t>
  </si>
  <si>
    <t>TX501371</t>
  </si>
  <si>
    <t>TX501372</t>
  </si>
  <si>
    <t>TX501373</t>
  </si>
  <si>
    <t>TX501374</t>
  </si>
  <si>
    <t>TX501375</t>
  </si>
  <si>
    <t>TX501376</t>
  </si>
  <si>
    <t>TX501377</t>
  </si>
  <si>
    <t>TX501378</t>
  </si>
  <si>
    <t>TX501379</t>
  </si>
  <si>
    <t>TX501380</t>
  </si>
  <si>
    <t>TX501381</t>
  </si>
  <si>
    <t>TX501382</t>
  </si>
  <si>
    <t>TX501383</t>
  </si>
  <si>
    <t>TX501384</t>
  </si>
  <si>
    <t>TX501385</t>
  </si>
  <si>
    <t>TX501386</t>
  </si>
  <si>
    <t>TX501387</t>
  </si>
  <si>
    <t>TX501388</t>
  </si>
  <si>
    <t>TX501389</t>
  </si>
  <si>
    <t>TX501390</t>
  </si>
  <si>
    <t>TX501391</t>
  </si>
  <si>
    <t>TX501392</t>
  </si>
  <si>
    <t>TX501393</t>
  </si>
  <si>
    <t>TX501394</t>
  </si>
  <si>
    <t>TX501395</t>
  </si>
  <si>
    <t>TX501396</t>
  </si>
  <si>
    <t>TX501397</t>
  </si>
  <si>
    <t>TX501398</t>
  </si>
  <si>
    <t>TX501399</t>
  </si>
  <si>
    <t>TX501400</t>
  </si>
  <si>
    <t>TX501401</t>
  </si>
  <si>
    <t>TX501402</t>
  </si>
  <si>
    <t>TX501403</t>
  </si>
  <si>
    <t>TX501404</t>
  </si>
  <si>
    <t>TX501405</t>
  </si>
  <si>
    <t>TX501406</t>
  </si>
  <si>
    <t>TX501407</t>
  </si>
  <si>
    <t>TX501408</t>
  </si>
  <si>
    <t>TX501409</t>
  </si>
  <si>
    <t>TX501410</t>
  </si>
  <si>
    <t>TX501411</t>
  </si>
  <si>
    <t>TX501412</t>
  </si>
  <si>
    <t>TX501413</t>
  </si>
  <si>
    <t>TX501414</t>
  </si>
  <si>
    <t>TX501415</t>
  </si>
  <si>
    <t>TX501416</t>
  </si>
  <si>
    <t>TX501417</t>
  </si>
  <si>
    <t>TX501418</t>
  </si>
  <si>
    <t>TX501419</t>
  </si>
  <si>
    <t>TX501420</t>
  </si>
  <si>
    <t>TX501421</t>
  </si>
  <si>
    <t>TX501422</t>
  </si>
  <si>
    <t>TX501423</t>
  </si>
  <si>
    <t>TX501424</t>
  </si>
  <si>
    <t>TX501425</t>
  </si>
  <si>
    <t>TX501426</t>
  </si>
  <si>
    <t>TX501427</t>
  </si>
  <si>
    <t>TX501428</t>
  </si>
  <si>
    <t>TX501429</t>
  </si>
  <si>
    <t>TX501430</t>
  </si>
  <si>
    <t>TX501431</t>
  </si>
  <si>
    <t>TX501432</t>
  </si>
  <si>
    <t>TX501433</t>
  </si>
  <si>
    <t>TX501434</t>
  </si>
  <si>
    <t>TX501435</t>
  </si>
  <si>
    <t>TX501436</t>
  </si>
  <si>
    <t>TX501437</t>
  </si>
  <si>
    <t>TX501438</t>
  </si>
  <si>
    <t>TX501439</t>
  </si>
  <si>
    <t>TX501440</t>
  </si>
  <si>
    <t>TX501441</t>
  </si>
  <si>
    <t>TX501442</t>
  </si>
  <si>
    <t>TX501443</t>
  </si>
  <si>
    <t>TX501444</t>
  </si>
  <si>
    <t>TX501445</t>
  </si>
  <si>
    <t>TX501446</t>
  </si>
  <si>
    <t>TX501447</t>
  </si>
  <si>
    <t>TX501448</t>
  </si>
  <si>
    <t>TX501449</t>
  </si>
  <si>
    <t>TX501450</t>
  </si>
  <si>
    <t>TX501451</t>
  </si>
  <si>
    <t>TX501452</t>
  </si>
  <si>
    <t>TX501453</t>
  </si>
  <si>
    <t>TX501454</t>
  </si>
  <si>
    <t>TX501455</t>
  </si>
  <si>
    <t>TX501456</t>
  </si>
  <si>
    <t>TX501457</t>
  </si>
  <si>
    <t>TX501458</t>
  </si>
  <si>
    <t>TX501459</t>
  </si>
  <si>
    <t>TX501460</t>
  </si>
  <si>
    <t>TX501461</t>
  </si>
  <si>
    <t>TX501462</t>
  </si>
  <si>
    <t>TX501463</t>
  </si>
  <si>
    <t>TX501464</t>
  </si>
  <si>
    <t>TX501465</t>
  </si>
  <si>
    <t>TX501466</t>
  </si>
  <si>
    <t>TX501467</t>
  </si>
  <si>
    <t>TX501468</t>
  </si>
  <si>
    <t>TX501469</t>
  </si>
  <si>
    <t>TX501470</t>
  </si>
  <si>
    <t>TX501471</t>
  </si>
  <si>
    <t>TX501472</t>
  </si>
  <si>
    <t>TX501473</t>
  </si>
  <si>
    <t>TX501474</t>
  </si>
  <si>
    <t>TX501475</t>
  </si>
  <si>
    <t>TX501476</t>
  </si>
  <si>
    <t>TX501477</t>
  </si>
  <si>
    <t>TX501478</t>
  </si>
  <si>
    <t>TX501479</t>
  </si>
  <si>
    <t>TX501480</t>
  </si>
  <si>
    <t>TX501481</t>
  </si>
  <si>
    <t>TX501482</t>
  </si>
  <si>
    <t>TX501483</t>
  </si>
  <si>
    <t>TX501484</t>
  </si>
  <si>
    <t>TX501485</t>
  </si>
  <si>
    <t>TX501486</t>
  </si>
  <si>
    <t>TX501487</t>
  </si>
  <si>
    <t>TX501488</t>
  </si>
  <si>
    <t>TX501489</t>
  </si>
  <si>
    <t>TX501490</t>
  </si>
  <si>
    <t>TX501491</t>
  </si>
  <si>
    <t>TX501492</t>
  </si>
  <si>
    <t>TX501493</t>
  </si>
  <si>
    <t>TX501494</t>
  </si>
  <si>
    <t>TX501495</t>
  </si>
  <si>
    <t>TX501496</t>
  </si>
  <si>
    <t>TX501497</t>
  </si>
  <si>
    <t>TX501498</t>
  </si>
  <si>
    <t>TX501499</t>
  </si>
  <si>
    <t>TX501500</t>
  </si>
  <si>
    <t>TX501501</t>
  </si>
  <si>
    <t>TX501502</t>
  </si>
  <si>
    <t>TX501503</t>
  </si>
  <si>
    <t>TX501504</t>
  </si>
  <si>
    <t>TX501505</t>
  </si>
  <si>
    <t>TX501506</t>
  </si>
  <si>
    <t>TX501507</t>
  </si>
  <si>
    <t>TX501508</t>
  </si>
  <si>
    <t>TX501509</t>
  </si>
  <si>
    <t>TX501510</t>
  </si>
  <si>
    <t>TX501511</t>
  </si>
  <si>
    <t>TX501512</t>
  </si>
  <si>
    <t>TX501513</t>
  </si>
  <si>
    <t>TX501514</t>
  </si>
  <si>
    <t>TX501515</t>
  </si>
  <si>
    <t>TX501516</t>
  </si>
  <si>
    <t>TX501517</t>
  </si>
  <si>
    <t>TX501518</t>
  </si>
  <si>
    <t>TX501519</t>
  </si>
  <si>
    <t>TX501520</t>
  </si>
  <si>
    <t>TX501521</t>
  </si>
  <si>
    <t>TX501522</t>
  </si>
  <si>
    <t>TX501523</t>
  </si>
  <si>
    <t>TX501524</t>
  </si>
  <si>
    <t>TX501525</t>
  </si>
  <si>
    <t>TX501526</t>
  </si>
  <si>
    <t>TX501527</t>
  </si>
  <si>
    <t>TX501528</t>
  </si>
  <si>
    <t>TX501529</t>
  </si>
  <si>
    <t>TX501530</t>
  </si>
  <si>
    <t>TX501531</t>
  </si>
  <si>
    <t>TX501532</t>
  </si>
  <si>
    <t>TX501533</t>
  </si>
  <si>
    <t>TX501534</t>
  </si>
  <si>
    <t>TX501535</t>
  </si>
  <si>
    <t>TX501536</t>
  </si>
  <si>
    <t>TX501537</t>
  </si>
  <si>
    <t>TX501538</t>
  </si>
  <si>
    <t>TX501539</t>
  </si>
  <si>
    <t>TX501540</t>
  </si>
  <si>
    <t>TX501541</t>
  </si>
  <si>
    <t>TX501542</t>
  </si>
  <si>
    <t>TX501543</t>
  </si>
  <si>
    <t>TX501544</t>
  </si>
  <si>
    <t>TX501545</t>
  </si>
  <si>
    <t>TX501546</t>
  </si>
  <si>
    <t>TX501547</t>
  </si>
  <si>
    <t>TX501548</t>
  </si>
  <si>
    <t>TX501549</t>
  </si>
  <si>
    <t>TX501550</t>
  </si>
  <si>
    <t>TX501551</t>
  </si>
  <si>
    <t>TX501552</t>
  </si>
  <si>
    <t>TX501553</t>
  </si>
  <si>
    <t>TX501554</t>
  </si>
  <si>
    <t>TX501555</t>
  </si>
  <si>
    <t>TX501556</t>
  </si>
  <si>
    <t>TX501557</t>
  </si>
  <si>
    <t>TX501558</t>
  </si>
  <si>
    <t>TX501559</t>
  </si>
  <si>
    <t>TX501560</t>
  </si>
  <si>
    <t>TX501561</t>
  </si>
  <si>
    <t>TX501562</t>
  </si>
  <si>
    <t>TX501563</t>
  </si>
  <si>
    <t>TX501564</t>
  </si>
  <si>
    <t>TX501565</t>
  </si>
  <si>
    <t>TX501566</t>
  </si>
  <si>
    <t>TX501567</t>
  </si>
  <si>
    <t>TX501568</t>
  </si>
  <si>
    <t>TX501569</t>
  </si>
  <si>
    <t>TX501570</t>
  </si>
  <si>
    <t>TX501571</t>
  </si>
  <si>
    <t>TX501572</t>
  </si>
  <si>
    <t>TX501573</t>
  </si>
  <si>
    <t>TX501574</t>
  </si>
  <si>
    <t>TX501575</t>
  </si>
  <si>
    <t>TX501576</t>
  </si>
  <si>
    <t>TX501577</t>
  </si>
  <si>
    <t>TX501578</t>
  </si>
  <si>
    <t>TX501579</t>
  </si>
  <si>
    <t>TX501580</t>
  </si>
  <si>
    <t>TX501581</t>
  </si>
  <si>
    <t>TX501582</t>
  </si>
  <si>
    <t>TX501583</t>
  </si>
  <si>
    <t>TX501584</t>
  </si>
  <si>
    <t>TX501585</t>
  </si>
  <si>
    <t>TX501586</t>
  </si>
  <si>
    <t>TX501587</t>
  </si>
  <si>
    <t>TX501588</t>
  </si>
  <si>
    <t>TX501589</t>
  </si>
  <si>
    <t>TX501590</t>
  </si>
  <si>
    <t>TX501591</t>
  </si>
  <si>
    <t>TX501592</t>
  </si>
  <si>
    <t>TX501593</t>
  </si>
  <si>
    <t>TX501594</t>
  </si>
  <si>
    <t>TX501595</t>
  </si>
  <si>
    <t>TX501596</t>
  </si>
  <si>
    <t>TX501597</t>
  </si>
  <si>
    <t>TX501598</t>
  </si>
  <si>
    <t>TX501599</t>
  </si>
  <si>
    <t>TX501600</t>
  </si>
  <si>
    <t>TX501601</t>
  </si>
  <si>
    <t>TX501602</t>
  </si>
  <si>
    <t>TX501603</t>
  </si>
  <si>
    <t>TX501604</t>
  </si>
  <si>
    <t>TX501605</t>
  </si>
  <si>
    <t>TX501606</t>
  </si>
  <si>
    <t>TX501607</t>
  </si>
  <si>
    <t>TX501608</t>
  </si>
  <si>
    <t>TX501609</t>
  </si>
  <si>
    <t>TX501610</t>
  </si>
  <si>
    <t>TX501611</t>
  </si>
  <si>
    <t>TX501612</t>
  </si>
  <si>
    <t>TX501613</t>
  </si>
  <si>
    <t>TX501614</t>
  </si>
  <si>
    <t>TX501615</t>
  </si>
  <si>
    <t>TX501616</t>
  </si>
  <si>
    <t>TX501617</t>
  </si>
  <si>
    <t>TX501618</t>
  </si>
  <si>
    <t>TX501619</t>
  </si>
  <si>
    <t>TX501620</t>
  </si>
  <si>
    <t>TX501621</t>
  </si>
  <si>
    <t>TX501622</t>
  </si>
  <si>
    <t>TX501623</t>
  </si>
  <si>
    <t>TX501624</t>
  </si>
  <si>
    <t>TX501625</t>
  </si>
  <si>
    <t>TX501626</t>
  </si>
  <si>
    <t>TX501627</t>
  </si>
  <si>
    <t>TX501628</t>
  </si>
  <si>
    <t>TX501629</t>
  </si>
  <si>
    <t>TX501630</t>
  </si>
  <si>
    <t>TX501631</t>
  </si>
  <si>
    <t>TX501632</t>
  </si>
  <si>
    <t>TX501633</t>
  </si>
  <si>
    <t>TX501634</t>
  </si>
  <si>
    <t>TX501635</t>
  </si>
  <si>
    <t>TX501636</t>
  </si>
  <si>
    <t>TX501637</t>
  </si>
  <si>
    <t>TX501638</t>
  </si>
  <si>
    <t>TX501639</t>
  </si>
  <si>
    <t>TX501640</t>
  </si>
  <si>
    <t>TX501641</t>
  </si>
  <si>
    <t>TX501642</t>
  </si>
  <si>
    <t>TX501643</t>
  </si>
  <si>
    <t>TX501644</t>
  </si>
  <si>
    <t>TX501645</t>
  </si>
  <si>
    <t>TX501646</t>
  </si>
  <si>
    <t>TX501647</t>
  </si>
  <si>
    <t>TX501648</t>
  </si>
  <si>
    <t>TX501649</t>
  </si>
  <si>
    <t>TX501650</t>
  </si>
  <si>
    <t>TX501651</t>
  </si>
  <si>
    <t>TX501652</t>
  </si>
  <si>
    <t>TX501653</t>
  </si>
  <si>
    <t>TX501654</t>
  </si>
  <si>
    <t>TX501655</t>
  </si>
  <si>
    <t>TX501656</t>
  </si>
  <si>
    <t>TX501657</t>
  </si>
  <si>
    <t>TX501658</t>
  </si>
  <si>
    <t>TX501659</t>
  </si>
  <si>
    <t>TX501660</t>
  </si>
  <si>
    <t>TX501661</t>
  </si>
  <si>
    <t>TX501662</t>
  </si>
  <si>
    <t>TX501663</t>
  </si>
  <si>
    <t>TX501664</t>
  </si>
  <si>
    <t>TX501665</t>
  </si>
  <si>
    <t>TX501666</t>
  </si>
  <si>
    <t>TX501667</t>
  </si>
  <si>
    <t>TX501668</t>
  </si>
  <si>
    <t>TX501669</t>
  </si>
  <si>
    <t>TX501670</t>
  </si>
  <si>
    <t>TX501671</t>
  </si>
  <si>
    <t>TX501672</t>
  </si>
  <si>
    <t>TX501673</t>
  </si>
  <si>
    <t>TX501674</t>
  </si>
  <si>
    <t>TX501675</t>
  </si>
  <si>
    <t>TX501676</t>
  </si>
  <si>
    <t>TX501677</t>
  </si>
  <si>
    <t>TX501678</t>
  </si>
  <si>
    <t>TX501679</t>
  </si>
  <si>
    <t>TX501680</t>
  </si>
  <si>
    <t>TX501681</t>
  </si>
  <si>
    <t>TX501682</t>
  </si>
  <si>
    <t>TX501683</t>
  </si>
  <si>
    <t>TX501684</t>
  </si>
  <si>
    <t>TX501685</t>
  </si>
  <si>
    <t>TX501686</t>
  </si>
  <si>
    <t>TX501687</t>
  </si>
  <si>
    <t>TX501688</t>
  </si>
  <si>
    <t>TX501689</t>
  </si>
  <si>
    <t>TX501690</t>
  </si>
  <si>
    <t>TX501691</t>
  </si>
  <si>
    <t>TX501692</t>
  </si>
  <si>
    <t>TX501693</t>
  </si>
  <si>
    <t>TX501694</t>
  </si>
  <si>
    <t>TX501695</t>
  </si>
  <si>
    <t>TX501696</t>
  </si>
  <si>
    <t>TX501697</t>
  </si>
  <si>
    <t>TX501698</t>
  </si>
  <si>
    <t>TX501699</t>
  </si>
  <si>
    <t>TX501700</t>
  </si>
  <si>
    <t>TX501701</t>
  </si>
  <si>
    <t>TX501702</t>
  </si>
  <si>
    <t>TX501703</t>
  </si>
  <si>
    <t>TX501704</t>
  </si>
  <si>
    <t>TX501705</t>
  </si>
  <si>
    <t>TX501706</t>
  </si>
  <si>
    <t>TX501707</t>
  </si>
  <si>
    <t>TX501708</t>
  </si>
  <si>
    <t>TX501709</t>
  </si>
  <si>
    <t>TX501710</t>
  </si>
  <si>
    <t>TX501711</t>
  </si>
  <si>
    <t>TX501712</t>
  </si>
  <si>
    <t>TX501713</t>
  </si>
  <si>
    <t>TX501714</t>
  </si>
  <si>
    <t>TX501715</t>
  </si>
  <si>
    <t>TX501716</t>
  </si>
  <si>
    <t>TX501717</t>
  </si>
  <si>
    <t>TX501718</t>
  </si>
  <si>
    <t>TX501719</t>
  </si>
  <si>
    <t>TX501720</t>
  </si>
  <si>
    <t>TX501721</t>
  </si>
  <si>
    <t>TX501722</t>
  </si>
  <si>
    <t>TX501723</t>
  </si>
  <si>
    <t>TX501724</t>
  </si>
  <si>
    <t>TX501725</t>
  </si>
  <si>
    <t>TX501726</t>
  </si>
  <si>
    <t>TX501727</t>
  </si>
  <si>
    <t>TX501728</t>
  </si>
  <si>
    <t>TX501729</t>
  </si>
  <si>
    <t>TX501730</t>
  </si>
  <si>
    <t>TX501731</t>
  </si>
  <si>
    <t>TX501732</t>
  </si>
  <si>
    <t>TX501733</t>
  </si>
  <si>
    <t>TX501734</t>
  </si>
  <si>
    <t>TX501735</t>
  </si>
  <si>
    <t>TX501736</t>
  </si>
  <si>
    <t>TX501737</t>
  </si>
  <si>
    <t>TX501738</t>
  </si>
  <si>
    <t>TX501739</t>
  </si>
  <si>
    <t>TX501740</t>
  </si>
  <si>
    <t>TX501741</t>
  </si>
  <si>
    <t>TX501742</t>
  </si>
  <si>
    <t>TX501743</t>
  </si>
  <si>
    <t>TX501744</t>
  </si>
  <si>
    <t>TX501745</t>
  </si>
  <si>
    <t>TX501746</t>
  </si>
  <si>
    <t>TX501747</t>
  </si>
  <si>
    <t>TX501748</t>
  </si>
  <si>
    <t>TX501749</t>
  </si>
  <si>
    <t>TX501750</t>
  </si>
  <si>
    <t>TX501751</t>
  </si>
  <si>
    <t>TX501752</t>
  </si>
  <si>
    <t>TX501753</t>
  </si>
  <si>
    <t>TX501754</t>
  </si>
  <si>
    <t>TX501755</t>
  </si>
  <si>
    <t>TX501756</t>
  </si>
  <si>
    <t>TX501757</t>
  </si>
  <si>
    <t>TX501758</t>
  </si>
  <si>
    <t>TX501759</t>
  </si>
  <si>
    <t>TX501760</t>
  </si>
  <si>
    <t>TX501761</t>
  </si>
  <si>
    <t>TX501762</t>
  </si>
  <si>
    <t>TX501763</t>
  </si>
  <si>
    <t>TX501764</t>
  </si>
  <si>
    <t>TX501765</t>
  </si>
  <si>
    <t>TX501766</t>
  </si>
  <si>
    <t>TX501767</t>
  </si>
  <si>
    <t>TX501768</t>
  </si>
  <si>
    <t>TX501769</t>
  </si>
  <si>
    <t>TX501770</t>
  </si>
  <si>
    <t>TX501771</t>
  </si>
  <si>
    <t>TX501772</t>
  </si>
  <si>
    <t>TX501773</t>
  </si>
  <si>
    <t>TX501774</t>
  </si>
  <si>
    <t>TX501775</t>
  </si>
  <si>
    <t>TX501776</t>
  </si>
  <si>
    <t>TX501777</t>
  </si>
  <si>
    <t>TX501778</t>
  </si>
  <si>
    <t>TX501779</t>
  </si>
  <si>
    <t>TX501780</t>
  </si>
  <si>
    <t>TX501781</t>
  </si>
  <si>
    <t>TX501782</t>
  </si>
  <si>
    <t>TX501783</t>
  </si>
  <si>
    <t>TX501784</t>
  </si>
  <si>
    <t>TX501785</t>
  </si>
  <si>
    <t>TX501786</t>
  </si>
  <si>
    <t>TX501787</t>
  </si>
  <si>
    <t>TX501788</t>
  </si>
  <si>
    <t>TX501789</t>
  </si>
  <si>
    <t>TX501790</t>
  </si>
  <si>
    <t>TX501791</t>
  </si>
  <si>
    <t>TX501792</t>
  </si>
  <si>
    <t>TX501793</t>
  </si>
  <si>
    <t>TX501794</t>
  </si>
  <si>
    <t>TX501795</t>
  </si>
  <si>
    <t>TX501796</t>
  </si>
  <si>
    <t>TX501797</t>
  </si>
  <si>
    <t>TX501798</t>
  </si>
  <si>
    <t>TX501799</t>
  </si>
  <si>
    <t>TX501800</t>
  </si>
  <si>
    <t>TX501801</t>
  </si>
  <si>
    <t>TX501802</t>
  </si>
  <si>
    <t>TX501803</t>
  </si>
  <si>
    <t>TX501804</t>
  </si>
  <si>
    <t>TX501805</t>
  </si>
  <si>
    <t>TX501806</t>
  </si>
  <si>
    <t>TX501807</t>
  </si>
  <si>
    <t>TX501808</t>
  </si>
  <si>
    <t>TX501809</t>
  </si>
  <si>
    <t>TX501810</t>
  </si>
  <si>
    <t>Yuba County</t>
  </si>
  <si>
    <t>TX501811</t>
  </si>
  <si>
    <t>TX501812</t>
  </si>
  <si>
    <t>TX501813</t>
  </si>
  <si>
    <t>TX501814</t>
  </si>
  <si>
    <t>TX501815</t>
  </si>
  <si>
    <t>TX501816</t>
  </si>
  <si>
    <t>TX501817</t>
  </si>
  <si>
    <t>TX501818</t>
  </si>
  <si>
    <t>TX501819</t>
  </si>
  <si>
    <t>TX501820</t>
  </si>
  <si>
    <t>TX501821</t>
  </si>
  <si>
    <t>TX501822</t>
  </si>
  <si>
    <t>TX501823</t>
  </si>
  <si>
    <t>TX501824</t>
  </si>
  <si>
    <t>TX501825</t>
  </si>
  <si>
    <t>TX501826</t>
  </si>
  <si>
    <t>TX501827</t>
  </si>
  <si>
    <t>TX501828</t>
  </si>
  <si>
    <t>TX501829</t>
  </si>
  <si>
    <t>TX501830</t>
  </si>
  <si>
    <t>TX501831</t>
  </si>
  <si>
    <t>TX501832</t>
  </si>
  <si>
    <t>TX501833</t>
  </si>
  <si>
    <t>TX501834</t>
  </si>
  <si>
    <t>TX501835</t>
  </si>
  <si>
    <t>TX501836</t>
  </si>
  <si>
    <t>TX501837</t>
  </si>
  <si>
    <t>TX501838</t>
  </si>
  <si>
    <t>TX501839</t>
  </si>
  <si>
    <t>TX501840</t>
  </si>
  <si>
    <t>TX501841</t>
  </si>
  <si>
    <t>TX501842</t>
  </si>
  <si>
    <t>TX501843</t>
  </si>
  <si>
    <t>TX501844</t>
  </si>
  <si>
    <t>TX501845</t>
  </si>
  <si>
    <t>TX501846</t>
  </si>
  <si>
    <t>TX501847</t>
  </si>
  <si>
    <t>TX501848</t>
  </si>
  <si>
    <t>TX501849</t>
  </si>
  <si>
    <t>TX501850</t>
  </si>
  <si>
    <t>TX501851</t>
  </si>
  <si>
    <t>TX501852</t>
  </si>
  <si>
    <t>TX501853</t>
  </si>
  <si>
    <t>TX501854</t>
  </si>
  <si>
    <t>TX501855</t>
  </si>
  <si>
    <t>TX501856</t>
  </si>
  <si>
    <t>TX501857</t>
  </si>
  <si>
    <t>TX501858</t>
  </si>
  <si>
    <t>TX501859</t>
  </si>
  <si>
    <t>TX501860</t>
  </si>
  <si>
    <t>TX501861</t>
  </si>
  <si>
    <t>TX501862</t>
  </si>
  <si>
    <t>TX501863</t>
  </si>
  <si>
    <t>TX501864</t>
  </si>
  <si>
    <t>TX501865</t>
  </si>
  <si>
    <t>TX501866</t>
  </si>
  <si>
    <t>TX501867</t>
  </si>
  <si>
    <t>TX501868</t>
  </si>
  <si>
    <t>TX501869</t>
  </si>
  <si>
    <t>TX501870</t>
  </si>
  <si>
    <t>TX501871</t>
  </si>
  <si>
    <t>TX501872</t>
  </si>
  <si>
    <t>TX501873</t>
  </si>
  <si>
    <t>TX501874</t>
  </si>
  <si>
    <t>TX501875</t>
  </si>
  <si>
    <t>TX501876</t>
  </si>
  <si>
    <t>TX501877</t>
  </si>
  <si>
    <t>TX501878</t>
  </si>
  <si>
    <t>TX501879</t>
  </si>
  <si>
    <t>TX501880</t>
  </si>
  <si>
    <t>TX501881</t>
  </si>
  <si>
    <t>TX501882</t>
  </si>
  <si>
    <t>TX501883</t>
  </si>
  <si>
    <t>TX501884</t>
  </si>
  <si>
    <t>TX501885</t>
  </si>
  <si>
    <t>TX501886</t>
  </si>
  <si>
    <t>TX501887</t>
  </si>
  <si>
    <t>TX501888</t>
  </si>
  <si>
    <t>TX501889</t>
  </si>
  <si>
    <t>TX501890</t>
  </si>
  <si>
    <t>TX501891</t>
  </si>
  <si>
    <t>TX501892</t>
  </si>
  <si>
    <t>TX501893</t>
  </si>
  <si>
    <t>TX501894</t>
  </si>
  <si>
    <t>TX501895</t>
  </si>
  <si>
    <t>TX501896</t>
  </si>
  <si>
    <t>TX501897</t>
  </si>
  <si>
    <t>TX501898</t>
  </si>
  <si>
    <t>TX501899</t>
  </si>
  <si>
    <t>TX501900</t>
  </si>
  <si>
    <t>TX501901</t>
  </si>
  <si>
    <t>TX501902</t>
  </si>
  <si>
    <t>TX501903</t>
  </si>
  <si>
    <t>TX501904</t>
  </si>
  <si>
    <t>TX501905</t>
  </si>
  <si>
    <t>TX501906</t>
  </si>
  <si>
    <t>TX501907</t>
  </si>
  <si>
    <t>TX501908</t>
  </si>
  <si>
    <t>TX501909</t>
  </si>
  <si>
    <t>TX501910</t>
  </si>
  <si>
    <t>TX501911</t>
  </si>
  <si>
    <t>TX501912</t>
  </si>
  <si>
    <t>TX501913</t>
  </si>
  <si>
    <t>TX501914</t>
  </si>
  <si>
    <t>TX501915</t>
  </si>
  <si>
    <t>TX501916</t>
  </si>
  <si>
    <t>TX501917</t>
  </si>
  <si>
    <t>TX501918</t>
  </si>
  <si>
    <t>TX501919</t>
  </si>
  <si>
    <t>TX501920</t>
  </si>
  <si>
    <t>TX501921</t>
  </si>
  <si>
    <t>TX501922</t>
  </si>
  <si>
    <t>TX501923</t>
  </si>
  <si>
    <t>TX501924</t>
  </si>
  <si>
    <t>TX501925</t>
  </si>
  <si>
    <t>TX501926</t>
  </si>
  <si>
    <t>TX501927</t>
  </si>
  <si>
    <t>TX501928</t>
  </si>
  <si>
    <t>TX501929</t>
  </si>
  <si>
    <t>TX501930</t>
  </si>
  <si>
    <t>TX501931</t>
  </si>
  <si>
    <t>TX501932</t>
  </si>
  <si>
    <t>TX501933</t>
  </si>
  <si>
    <t>TX501934</t>
  </si>
  <si>
    <t>TX501935</t>
  </si>
  <si>
    <t>TX501936</t>
  </si>
  <si>
    <t>TX501937</t>
  </si>
  <si>
    <t>TX501938</t>
  </si>
  <si>
    <t>TX501939</t>
  </si>
  <si>
    <t>TX501940</t>
  </si>
  <si>
    <t>TX501941</t>
  </si>
  <si>
    <t>TX501942</t>
  </si>
  <si>
    <t>TX501943</t>
  </si>
  <si>
    <t>TX501944</t>
  </si>
  <si>
    <t>TX501945</t>
  </si>
  <si>
    <t>TX501946</t>
  </si>
  <si>
    <t>TX501947</t>
  </si>
  <si>
    <t>TX501948</t>
  </si>
  <si>
    <t>TX501949</t>
  </si>
  <si>
    <t>TX501950</t>
  </si>
  <si>
    <t>TX501951</t>
  </si>
  <si>
    <t>TX501952</t>
  </si>
  <si>
    <t>TX501953</t>
  </si>
  <si>
    <t>TX501954</t>
  </si>
  <si>
    <t>TX501955</t>
  </si>
  <si>
    <t>TX501956</t>
  </si>
  <si>
    <t>TX501957</t>
  </si>
  <si>
    <t>TX501958</t>
  </si>
  <si>
    <t>TX501959</t>
  </si>
  <si>
    <t>TX501960</t>
  </si>
  <si>
    <t>TX501961</t>
  </si>
  <si>
    <t>TX501962</t>
  </si>
  <si>
    <t>TX501963</t>
  </si>
  <si>
    <t>TX501964</t>
  </si>
  <si>
    <t>TX501965</t>
  </si>
  <si>
    <t>TX501966</t>
  </si>
  <si>
    <t>TX501967</t>
  </si>
  <si>
    <t>TX501968</t>
  </si>
  <si>
    <t>TX501969</t>
  </si>
  <si>
    <t>TX501970</t>
  </si>
  <si>
    <t>TX501971</t>
  </si>
  <si>
    <t>TX501972</t>
  </si>
  <si>
    <t>TX501973</t>
  </si>
  <si>
    <t>TX501974</t>
  </si>
  <si>
    <t>TX501975</t>
  </si>
  <si>
    <t>TX501976</t>
  </si>
  <si>
    <t>TX501977</t>
  </si>
  <si>
    <t>TX501978</t>
  </si>
  <si>
    <t>TX501979</t>
  </si>
  <si>
    <t>TX501980</t>
  </si>
  <si>
    <t>TX501981</t>
  </si>
  <si>
    <t>TX501982</t>
  </si>
  <si>
    <t>TX501983</t>
  </si>
  <si>
    <t>TX501984</t>
  </si>
  <si>
    <t>TX501985</t>
  </si>
  <si>
    <t>TX501986</t>
  </si>
  <si>
    <t>TX501987</t>
  </si>
  <si>
    <t>TX501988</t>
  </si>
  <si>
    <t>TX501989</t>
  </si>
  <si>
    <t>TX501990</t>
  </si>
  <si>
    <t>TX501991</t>
  </si>
  <si>
    <t>TX501992</t>
  </si>
  <si>
    <t>TX501993</t>
  </si>
  <si>
    <t>TX501994</t>
  </si>
  <si>
    <t>TX501995</t>
  </si>
  <si>
    <t>TX501996</t>
  </si>
  <si>
    <t>TX501997</t>
  </si>
  <si>
    <t>TX501998</t>
  </si>
  <si>
    <t>TX501999</t>
  </si>
  <si>
    <t>TX502000</t>
  </si>
  <si>
    <t>TX502001</t>
  </si>
  <si>
    <t>TX502002</t>
  </si>
  <si>
    <t>TX502003</t>
  </si>
  <si>
    <t>TX502004</t>
  </si>
  <si>
    <t>TX502005</t>
  </si>
  <si>
    <t>TX502006</t>
  </si>
  <si>
    <t>TX502007</t>
  </si>
  <si>
    <t>TX502008</t>
  </si>
  <si>
    <t>TX502009</t>
  </si>
  <si>
    <t>TX502010</t>
  </si>
  <si>
    <t>TX502011</t>
  </si>
  <si>
    <t>TX502012</t>
  </si>
  <si>
    <t>TX502013</t>
  </si>
  <si>
    <t>TX502014</t>
  </si>
  <si>
    <t>TX502015</t>
  </si>
  <si>
    <t>TX502016</t>
  </si>
  <si>
    <t>TX502017</t>
  </si>
  <si>
    <t>TX502018</t>
  </si>
  <si>
    <t>TX502019</t>
  </si>
  <si>
    <t>TX502020</t>
  </si>
  <si>
    <t>TX502021</t>
  </si>
  <si>
    <t>TX502022</t>
  </si>
  <si>
    <t>TX502023</t>
  </si>
  <si>
    <t>TX502024</t>
  </si>
  <si>
    <t>TX502025</t>
  </si>
  <si>
    <t>TX502026</t>
  </si>
  <si>
    <t>TX502027</t>
  </si>
  <si>
    <t>TX502028</t>
  </si>
  <si>
    <t>TX502029</t>
  </si>
  <si>
    <t>TX502030</t>
  </si>
  <si>
    <t>TX502031</t>
  </si>
  <si>
    <t>TX502032</t>
  </si>
  <si>
    <t>TX502033</t>
  </si>
  <si>
    <t>TX502034</t>
  </si>
  <si>
    <t>TX502035</t>
  </si>
  <si>
    <t>TX502036</t>
  </si>
  <si>
    <t>TX502037</t>
  </si>
  <si>
    <t>TX502038</t>
  </si>
  <si>
    <t>TX502039</t>
  </si>
  <si>
    <t>TX502040</t>
  </si>
  <si>
    <t>TX502041</t>
  </si>
  <si>
    <t>TX502042</t>
  </si>
  <si>
    <t>TX502043</t>
  </si>
  <si>
    <t>TX502044</t>
  </si>
  <si>
    <t>TX502045</t>
  </si>
  <si>
    <t>TX502046</t>
  </si>
  <si>
    <t>TX502047</t>
  </si>
  <si>
    <t>TX502048</t>
  </si>
  <si>
    <t>TX502049</t>
  </si>
  <si>
    <t>TX502050</t>
  </si>
  <si>
    <t>TX502051</t>
  </si>
  <si>
    <t>TX502052</t>
  </si>
  <si>
    <t>TX502053</t>
  </si>
  <si>
    <t>TX502054</t>
  </si>
  <si>
    <t>TX502055</t>
  </si>
  <si>
    <t>TX502056</t>
  </si>
  <si>
    <t>TX502057</t>
  </si>
  <si>
    <t>TX502058</t>
  </si>
  <si>
    <t>TX502059</t>
  </si>
  <si>
    <t>TX502060</t>
  </si>
  <si>
    <t>TX502061</t>
  </si>
  <si>
    <t>TX502062</t>
  </si>
  <si>
    <t>TX502063</t>
  </si>
  <si>
    <t>TX502064</t>
  </si>
  <si>
    <t>TX502065</t>
  </si>
  <si>
    <t>TX502066</t>
  </si>
  <si>
    <t>TX502067</t>
  </si>
  <si>
    <t>TX502068</t>
  </si>
  <si>
    <t>TX502069</t>
  </si>
  <si>
    <t>TX502070</t>
  </si>
  <si>
    <t>TX502071</t>
  </si>
  <si>
    <t>TX502072</t>
  </si>
  <si>
    <t>TX502073</t>
  </si>
  <si>
    <t>TX502074</t>
  </si>
  <si>
    <t>TX502075</t>
  </si>
  <si>
    <t>TX502076</t>
  </si>
  <si>
    <t>TX502077</t>
  </si>
  <si>
    <t>TX502078</t>
  </si>
  <si>
    <t>TX502079</t>
  </si>
  <si>
    <t>TX502080</t>
  </si>
  <si>
    <t>TX502081</t>
  </si>
  <si>
    <t>TX502082</t>
  </si>
  <si>
    <t>TX502083</t>
  </si>
  <si>
    <t>TX502084</t>
  </si>
  <si>
    <t>TX502085</t>
  </si>
  <si>
    <t>TX502086</t>
  </si>
  <si>
    <t>TX502087</t>
  </si>
  <si>
    <t>TX502088</t>
  </si>
  <si>
    <t>TX502089</t>
  </si>
  <si>
    <t>TX502090</t>
  </si>
  <si>
    <t>TX502091</t>
  </si>
  <si>
    <t>TX502092</t>
  </si>
  <si>
    <t>TX502093</t>
  </si>
  <si>
    <t>TX502094</t>
  </si>
  <si>
    <t>TX502095</t>
  </si>
  <si>
    <t>TX502096</t>
  </si>
  <si>
    <t>TX502097</t>
  </si>
  <si>
    <t>TX502098</t>
  </si>
  <si>
    <t>TX502099</t>
  </si>
  <si>
    <t>TX502100</t>
  </si>
  <si>
    <t>TX502101</t>
  </si>
  <si>
    <t>TX502102</t>
  </si>
  <si>
    <t>Del Norte County</t>
  </si>
  <si>
    <t>TX502103</t>
  </si>
  <si>
    <t>TX502104</t>
  </si>
  <si>
    <t>TX502105</t>
  </si>
  <si>
    <t>TX502106</t>
  </si>
  <si>
    <t>TX502107</t>
  </si>
  <si>
    <t>TX502108</t>
  </si>
  <si>
    <t>TX502109</t>
  </si>
  <si>
    <t>TX502110</t>
  </si>
  <si>
    <t>TX502111</t>
  </si>
  <si>
    <t>TX502112</t>
  </si>
  <si>
    <t>TX502113</t>
  </si>
  <si>
    <t>TX502114</t>
  </si>
  <si>
    <t>TX502115</t>
  </si>
  <si>
    <t>TX502116</t>
  </si>
  <si>
    <t>TX502117</t>
  </si>
  <si>
    <t>TX502118</t>
  </si>
  <si>
    <t>TX502119</t>
  </si>
  <si>
    <t>TX502120</t>
  </si>
  <si>
    <t>TX502121</t>
  </si>
  <si>
    <t>TX502122</t>
  </si>
  <si>
    <t>TX502123</t>
  </si>
  <si>
    <t>TX502124</t>
  </si>
  <si>
    <t>TX502125</t>
  </si>
  <si>
    <t>TX502126</t>
  </si>
  <si>
    <t>TX502127</t>
  </si>
  <si>
    <t>TX502128</t>
  </si>
  <si>
    <t>TX502129</t>
  </si>
  <si>
    <t>TX502130</t>
  </si>
  <si>
    <t>TX502131</t>
  </si>
  <si>
    <t>TX502132</t>
  </si>
  <si>
    <t>TX502133</t>
  </si>
  <si>
    <t>TX502134</t>
  </si>
  <si>
    <t>TX502135</t>
  </si>
  <si>
    <t>TX502136</t>
  </si>
  <si>
    <t>TX502137</t>
  </si>
  <si>
    <t>TX502138</t>
  </si>
  <si>
    <t>TX502139</t>
  </si>
  <si>
    <t>TX502140</t>
  </si>
  <si>
    <t>TX502141</t>
  </si>
  <si>
    <t>TX502142</t>
  </si>
  <si>
    <t>TX502143</t>
  </si>
  <si>
    <t>TX502144</t>
  </si>
  <si>
    <t>TX502145</t>
  </si>
  <si>
    <t>TX502146</t>
  </si>
  <si>
    <t>TX502147</t>
  </si>
  <si>
    <t>TX502148</t>
  </si>
  <si>
    <t>TX502149</t>
  </si>
  <si>
    <t>TX502150</t>
  </si>
  <si>
    <t>TX502151</t>
  </si>
  <si>
    <t>TX502152</t>
  </si>
  <si>
    <t>TX502153</t>
  </si>
  <si>
    <t>TX502154</t>
  </si>
  <si>
    <t>TX502155</t>
  </si>
  <si>
    <t>TX502156</t>
  </si>
  <si>
    <t>TX502157</t>
  </si>
  <si>
    <t>TX502158</t>
  </si>
  <si>
    <t>TX502159</t>
  </si>
  <si>
    <t>TX502160</t>
  </si>
  <si>
    <t>TX502161</t>
  </si>
  <si>
    <t>TX502162</t>
  </si>
  <si>
    <t>TX502163</t>
  </si>
  <si>
    <t>TX502164</t>
  </si>
  <si>
    <t>TX502165</t>
  </si>
  <si>
    <t>TX502166</t>
  </si>
  <si>
    <t>TX502167</t>
  </si>
  <si>
    <t>TX502168</t>
  </si>
  <si>
    <t>TX502169</t>
  </si>
  <si>
    <t>TX502170</t>
  </si>
  <si>
    <t>TX502171</t>
  </si>
  <si>
    <t>TX502172</t>
  </si>
  <si>
    <t>TX502173</t>
  </si>
  <si>
    <t>TX502174</t>
  </si>
  <si>
    <t>TX502175</t>
  </si>
  <si>
    <t>TX502176</t>
  </si>
  <si>
    <t>TX502177</t>
  </si>
  <si>
    <t>TX502178</t>
  </si>
  <si>
    <t>TX502179</t>
  </si>
  <si>
    <t>TX502180</t>
  </si>
  <si>
    <t>TX502181</t>
  </si>
  <si>
    <t>TX502182</t>
  </si>
  <si>
    <t>TX502183</t>
  </si>
  <si>
    <t>TX502184</t>
  </si>
  <si>
    <t>TX502185</t>
  </si>
  <si>
    <t>TX502186</t>
  </si>
  <si>
    <t>TX502187</t>
  </si>
  <si>
    <t>TX502188</t>
  </si>
  <si>
    <t>TX502189</t>
  </si>
  <si>
    <t>TX502190</t>
  </si>
  <si>
    <t>TX502191</t>
  </si>
  <si>
    <t>TX502192</t>
  </si>
  <si>
    <t>TX502193</t>
  </si>
  <si>
    <t>TX502194</t>
  </si>
  <si>
    <t>TX502195</t>
  </si>
  <si>
    <t>TX502196</t>
  </si>
  <si>
    <t>TX502197</t>
  </si>
  <si>
    <t>TX502198</t>
  </si>
  <si>
    <t>TX502199</t>
  </si>
  <si>
    <t>TX502200</t>
  </si>
  <si>
    <t>TX502201</t>
  </si>
  <si>
    <t>TX502202</t>
  </si>
  <si>
    <t>TX502203</t>
  </si>
  <si>
    <t>TX502204</t>
  </si>
  <si>
    <t>TX502205</t>
  </si>
  <si>
    <t>TX502206</t>
  </si>
  <si>
    <t>TX502207</t>
  </si>
  <si>
    <t>TX502208</t>
  </si>
  <si>
    <t>TX502209</t>
  </si>
  <si>
    <t>TX502210</t>
  </si>
  <si>
    <t>TX502211</t>
  </si>
  <si>
    <t>TX502212</t>
  </si>
  <si>
    <t>TX502213</t>
  </si>
  <si>
    <t>TX502214</t>
  </si>
  <si>
    <t>TX502215</t>
  </si>
  <si>
    <t>TX502216</t>
  </si>
  <si>
    <t>TX502217</t>
  </si>
  <si>
    <t>TX502218</t>
  </si>
  <si>
    <t>TX502219</t>
  </si>
  <si>
    <t>TX502220</t>
  </si>
  <si>
    <t>TX502221</t>
  </si>
  <si>
    <t>TX502222</t>
  </si>
  <si>
    <t>TX502223</t>
  </si>
  <si>
    <t>TX502224</t>
  </si>
  <si>
    <t>TX502225</t>
  </si>
  <si>
    <t>TX502226</t>
  </si>
  <si>
    <t>TX502227</t>
  </si>
  <si>
    <t>TX502228</t>
  </si>
  <si>
    <t>TX502229</t>
  </si>
  <si>
    <t>TX502230</t>
  </si>
  <si>
    <t>TX502231</t>
  </si>
  <si>
    <t>TX502232</t>
  </si>
  <si>
    <t>TX502233</t>
  </si>
  <si>
    <t>TX502234</t>
  </si>
  <si>
    <t>TX502235</t>
  </si>
  <si>
    <t>TX502236</t>
  </si>
  <si>
    <t>TX502237</t>
  </si>
  <si>
    <t>TX502238</t>
  </si>
  <si>
    <t>TX502239</t>
  </si>
  <si>
    <t>TX502240</t>
  </si>
  <si>
    <t>TX502241</t>
  </si>
  <si>
    <t>TX502242</t>
  </si>
  <si>
    <t>TX502243</t>
  </si>
  <si>
    <t>TX502244</t>
  </si>
  <si>
    <t>TX502245</t>
  </si>
  <si>
    <t>TX502246</t>
  </si>
  <si>
    <t>TX502247</t>
  </si>
  <si>
    <t>TX502248</t>
  </si>
  <si>
    <t>TX502249</t>
  </si>
  <si>
    <t>TX502250</t>
  </si>
  <si>
    <t>TX502251</t>
  </si>
  <si>
    <t>TX502252</t>
  </si>
  <si>
    <t>TX502253</t>
  </si>
  <si>
    <t>TX502254</t>
  </si>
  <si>
    <t>TX502255</t>
  </si>
  <si>
    <t>TX502256</t>
  </si>
  <si>
    <t>TX502257</t>
  </si>
  <si>
    <t>TX502258</t>
  </si>
  <si>
    <t>TX502259</t>
  </si>
  <si>
    <t>TX502260</t>
  </si>
  <si>
    <t>TX502261</t>
  </si>
  <si>
    <t>TX502262</t>
  </si>
  <si>
    <t>TX502263</t>
  </si>
  <si>
    <t>TX502264</t>
  </si>
  <si>
    <t>TX502265</t>
  </si>
  <si>
    <t>TX502266</t>
  </si>
  <si>
    <t>TX502267</t>
  </si>
  <si>
    <t>TX502268</t>
  </si>
  <si>
    <t>TX502269</t>
  </si>
  <si>
    <t>TX502270</t>
  </si>
  <si>
    <t>TX502271</t>
  </si>
  <si>
    <t>TX502272</t>
  </si>
  <si>
    <t>TX502273</t>
  </si>
  <si>
    <t>TX502274</t>
  </si>
  <si>
    <t>TX502275</t>
  </si>
  <si>
    <t>TX502276</t>
  </si>
  <si>
    <t>TX502277</t>
  </si>
  <si>
    <t>TX502278</t>
  </si>
  <si>
    <t>TX502279</t>
  </si>
  <si>
    <t>TX502280</t>
  </si>
  <si>
    <t>TX502281</t>
  </si>
  <si>
    <t>TX502282</t>
  </si>
  <si>
    <t>TX502283</t>
  </si>
  <si>
    <t>TX502284</t>
  </si>
  <si>
    <t>TX502285</t>
  </si>
  <si>
    <t>TX502286</t>
  </si>
  <si>
    <t>TX502287</t>
  </si>
  <si>
    <t>TX502288</t>
  </si>
  <si>
    <t>TX502289</t>
  </si>
  <si>
    <t>TX502290</t>
  </si>
  <si>
    <t>TX502291</t>
  </si>
  <si>
    <t>TX502292</t>
  </si>
  <si>
    <t>TX502293</t>
  </si>
  <si>
    <t>TX502294</t>
  </si>
  <si>
    <t>TX502295</t>
  </si>
  <si>
    <t>TX502296</t>
  </si>
  <si>
    <t>TX502297</t>
  </si>
  <si>
    <t>TX502298</t>
  </si>
  <si>
    <t>TX502299</t>
  </si>
  <si>
    <t>TX502300</t>
  </si>
  <si>
    <t>TX502301</t>
  </si>
  <si>
    <t>TX502302</t>
  </si>
  <si>
    <t>TX502303</t>
  </si>
  <si>
    <t>TX502304</t>
  </si>
  <si>
    <t>TX502305</t>
  </si>
  <si>
    <t>TX502306</t>
  </si>
  <si>
    <t>TX502307</t>
  </si>
  <si>
    <t>TX502308</t>
  </si>
  <si>
    <t>TX502309</t>
  </si>
  <si>
    <t>TX502310</t>
  </si>
  <si>
    <t>TX502311</t>
  </si>
  <si>
    <t>TX502312</t>
  </si>
  <si>
    <t>TX502313</t>
  </si>
  <si>
    <t>TX502314</t>
  </si>
  <si>
    <t>TX502315</t>
  </si>
  <si>
    <t>TX502316</t>
  </si>
  <si>
    <t>TX502317</t>
  </si>
  <si>
    <t>TX502318</t>
  </si>
  <si>
    <t>TX502319</t>
  </si>
  <si>
    <t>TX502320</t>
  </si>
  <si>
    <t>TX502321</t>
  </si>
  <si>
    <t>TX502322</t>
  </si>
  <si>
    <t>TX502323</t>
  </si>
  <si>
    <t>TX502324</t>
  </si>
  <si>
    <t>TX502325</t>
  </si>
  <si>
    <t>TX502326</t>
  </si>
  <si>
    <t>TX502327</t>
  </si>
  <si>
    <t>TX502328</t>
  </si>
  <si>
    <t>TX502329</t>
  </si>
  <si>
    <t>TX502330</t>
  </si>
  <si>
    <t>TX502331</t>
  </si>
  <si>
    <t>TX502332</t>
  </si>
  <si>
    <t>TX502333</t>
  </si>
  <si>
    <t>TX502334</t>
  </si>
  <si>
    <t>TX502335</t>
  </si>
  <si>
    <t>TX502336</t>
  </si>
  <si>
    <t>TX502337</t>
  </si>
  <si>
    <t>TX502338</t>
  </si>
  <si>
    <t>TX502339</t>
  </si>
  <si>
    <t>TX502340</t>
  </si>
  <si>
    <t>TX502341</t>
  </si>
  <si>
    <t>TX502342</t>
  </si>
  <si>
    <t>TX502343</t>
  </si>
  <si>
    <t>TX502344</t>
  </si>
  <si>
    <t>TX502345</t>
  </si>
  <si>
    <t>TX502346</t>
  </si>
  <si>
    <t>TX502347</t>
  </si>
  <si>
    <t>TX502348</t>
  </si>
  <si>
    <t>TX502349</t>
  </si>
  <si>
    <t>TX502350</t>
  </si>
  <si>
    <t>TX502351</t>
  </si>
  <si>
    <t>TX502352</t>
  </si>
  <si>
    <t>TX502353</t>
  </si>
  <si>
    <t>TX502354</t>
  </si>
  <si>
    <t>TX502355</t>
  </si>
  <si>
    <t>TX502356</t>
  </si>
  <si>
    <t>TX502357</t>
  </si>
  <si>
    <t>TX502358</t>
  </si>
  <si>
    <t>TX502359</t>
  </si>
  <si>
    <t>TX502360</t>
  </si>
  <si>
    <t>TX502361</t>
  </si>
  <si>
    <t>TX502362</t>
  </si>
  <si>
    <t>TX502363</t>
  </si>
  <si>
    <t>TX502364</t>
  </si>
  <si>
    <t>TX502365</t>
  </si>
  <si>
    <t>TX502366</t>
  </si>
  <si>
    <t>TX502367</t>
  </si>
  <si>
    <t>TX502368</t>
  </si>
  <si>
    <t>TX502369</t>
  </si>
  <si>
    <t>TX502370</t>
  </si>
  <si>
    <t>TX502371</t>
  </si>
  <si>
    <t>TX502372</t>
  </si>
  <si>
    <t>TX502373</t>
  </si>
  <si>
    <t>TX502374</t>
  </si>
  <si>
    <t>TX502375</t>
  </si>
  <si>
    <t>TX502376</t>
  </si>
  <si>
    <t>TX502377</t>
  </si>
  <si>
    <t>TX502378</t>
  </si>
  <si>
    <t>TX502379</t>
  </si>
  <si>
    <t>TX502380</t>
  </si>
  <si>
    <t>TX502381</t>
  </si>
  <si>
    <t>TX502382</t>
  </si>
  <si>
    <t>TX502383</t>
  </si>
  <si>
    <t>TX502384</t>
  </si>
  <si>
    <t>TX502385</t>
  </si>
  <si>
    <t>TX502386</t>
  </si>
  <si>
    <t>TX502387</t>
  </si>
  <si>
    <t>TX502388</t>
  </si>
  <si>
    <t>TX502389</t>
  </si>
  <si>
    <t>TX502390</t>
  </si>
  <si>
    <t>TX502391</t>
  </si>
  <si>
    <t>TX502392</t>
  </si>
  <si>
    <t>TX502393</t>
  </si>
  <si>
    <t>TX502394</t>
  </si>
  <si>
    <t>TX502395</t>
  </si>
  <si>
    <t>TX502396</t>
  </si>
  <si>
    <t>TX502397</t>
  </si>
  <si>
    <t>TX502398</t>
  </si>
  <si>
    <t>TX502399</t>
  </si>
  <si>
    <t>TX502400</t>
  </si>
  <si>
    <t>KPIs</t>
  </si>
  <si>
    <t>Total Orders</t>
  </si>
  <si>
    <t>Total Quantity</t>
  </si>
  <si>
    <t>Total Amount</t>
  </si>
  <si>
    <t>Avg. Rating</t>
  </si>
  <si>
    <t>Avg. Days to Deliver</t>
  </si>
  <si>
    <t>Questions</t>
  </si>
  <si>
    <t>Trend in the last 13 weeks</t>
  </si>
  <si>
    <t>How our customers like to buy</t>
  </si>
  <si>
    <t>How many they buy?</t>
  </si>
  <si>
    <t>Which products are popular?</t>
  </si>
  <si>
    <t>Overall gender split</t>
  </si>
  <si>
    <t>Where do our customers live?</t>
  </si>
  <si>
    <t>How long we take to ship the orders</t>
  </si>
  <si>
    <t>How happy are our customers?</t>
  </si>
  <si>
    <t>Logo</t>
  </si>
  <si>
    <t>Color Scheme</t>
  </si>
  <si>
    <t>#9FBFAD</t>
  </si>
  <si>
    <t>#748C76</t>
  </si>
  <si>
    <t>#505947</t>
  </si>
  <si>
    <t>#BF7F5A</t>
  </si>
  <si>
    <t>#BF3939</t>
  </si>
  <si>
    <t>#4887E6</t>
  </si>
  <si>
    <t>Accent 1</t>
  </si>
  <si>
    <t>Accent 2</t>
  </si>
  <si>
    <t>Accent 3</t>
  </si>
  <si>
    <t>Accent 4</t>
  </si>
  <si>
    <t>Accent 5</t>
  </si>
  <si>
    <t>Accent 6</t>
  </si>
  <si>
    <t>Emojis</t>
  </si>
  <si>
    <t>🛒</t>
  </si>
  <si>
    <t>👕</t>
  </si>
  <si>
    <t>💰</t>
  </si>
  <si>
    <t>⭐</t>
  </si>
  <si>
    <t>📅</t>
  </si>
  <si>
    <t>Orders</t>
  </si>
  <si>
    <t>Rating</t>
  </si>
  <si>
    <t>Days to deliver</t>
  </si>
  <si>
    <t>Format Codes</t>
  </si>
  <si>
    <t>#,##</t>
  </si>
  <si>
    <t>value with thousand's seperator</t>
  </si>
  <si>
    <t>$#,##,.0k</t>
  </si>
  <si>
    <t>Amount in thousands with one decimal</t>
  </si>
  <si>
    <t>0.0</t>
  </si>
  <si>
    <t>Other numbers</t>
  </si>
  <si>
    <t>Resouces:</t>
  </si>
  <si>
    <t>Excel Dashboard Tutorial Video</t>
  </si>
  <si>
    <t>Adv. Excel Dashboards Course by Chandoo</t>
  </si>
  <si>
    <t>You will get the full workbook in the course!</t>
  </si>
  <si>
    <t>Count of TX ID</t>
  </si>
  <si>
    <t>Sum of Quantity</t>
  </si>
  <si>
    <t>Sum of Amount</t>
  </si>
  <si>
    <t>Average of Rating C</t>
  </si>
  <si>
    <t>Average of Days to Deliver</t>
  </si>
  <si>
    <t>values for display</t>
  </si>
  <si>
    <t>order</t>
  </si>
  <si>
    <t>quantity</t>
  </si>
  <si>
    <t>amount</t>
  </si>
  <si>
    <t>avg rating</t>
  </si>
  <si>
    <t>avg delivery days</t>
  </si>
  <si>
    <t>Row Labels</t>
  </si>
  <si>
    <t>Grand Total</t>
  </si>
  <si>
    <t>Column Labels</t>
  </si>
  <si>
    <t>Female</t>
  </si>
  <si>
    <t>Male</t>
  </si>
  <si>
    <t>Other</t>
  </si>
  <si>
    <t>Unknown</t>
  </si>
  <si>
    <t>for matrix</t>
  </si>
  <si>
    <t>6 to 10</t>
  </si>
  <si>
    <t>more than 10</t>
  </si>
  <si>
    <t>map chart of qty</t>
  </si>
  <si>
    <t>MAP CHART FOR AMT</t>
  </si>
  <si>
    <t>MORE THAN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</si>
</sst>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$-409]#,##0"/>
    <numFmt numFmtId="167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</cellStyleXfs>
  <cellXfs count="21">
    <xf numFmtId="0" fontId="0" fillId="0" borderId="0" xfId="0"/>
    <xf numFmtId="15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quotePrefix="1"/>
    <xf numFmtId="0" fontId="3" fillId="0" borderId="0" xfId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10" fontId="0" fillId="0" borderId="0" xfId="0" applyNumberFormat="1"/>
    <xf numFmtId="0" fontId="5" fillId="0" borderId="0" xfId="0" applyFont="1" applyBorder="1"/>
    <xf numFmtId="167" fontId="5" fillId="11" borderId="0" xfId="3" applyNumberFormat="1" applyFont="1" applyFill="1" applyBorder="1" applyAlignment="1">
      <alignment horizontal="center" vertical="center"/>
    </xf>
    <xf numFmtId="0" fontId="4" fillId="8" borderId="0" xfId="2"/>
    <xf numFmtId="0" fontId="4" fillId="10" borderId="0" xfId="4"/>
  </cellXfs>
  <cellStyles count="5">
    <cellStyle name="20% - Accent1" xfId="2" builtinId="30"/>
    <cellStyle name="20% - Accent5" xfId="3" builtinId="46"/>
    <cellStyle name="40% - Accent5" xfId="4" builtinId="47"/>
    <cellStyle name="Hyperlink" xfId="1" builtinId="8"/>
    <cellStyle name="Normal" xfId="0" builtinId="0"/>
  </cellStyles>
  <dxfs count="9"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\-mmm\-yy"/>
    </dxf>
    <dxf>
      <numFmt numFmtId="164" formatCode="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[ecommerce-blank.xlsx]Sheet3!PivotTable4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 to 10</c:v>
                </c:pt>
                <c:pt idx="6">
                  <c:v>more than 10</c:v>
                </c:pt>
              </c:strCache>
            </c:strRef>
          </c:cat>
          <c:val>
            <c:numRef>
              <c:f>Sheet3!$B$4:$B$11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2-45F8-8C9C-989634758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474431"/>
        <c:axId val="1816488831"/>
      </c:barChart>
      <c:catAx>
        <c:axId val="181647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88831"/>
        <c:crosses val="autoZero"/>
        <c:auto val="1"/>
        <c:lblAlgn val="ctr"/>
        <c:lblOffset val="100"/>
        <c:noMultiLvlLbl val="0"/>
      </c:catAx>
      <c:valAx>
        <c:axId val="181648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7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[ecommerce-blank.xlsx]Sheet4!PivotTable5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Sheet4!$B$5:$B$25</c:f>
              <c:numCache>
                <c:formatCode>General</c:formatCode>
                <c:ptCount val="20"/>
                <c:pt idx="0">
                  <c:v>26</c:v>
                </c:pt>
                <c:pt idx="1">
                  <c:v>43</c:v>
                </c:pt>
                <c:pt idx="2">
                  <c:v>75</c:v>
                </c:pt>
                <c:pt idx="3">
                  <c:v>99</c:v>
                </c:pt>
                <c:pt idx="4">
                  <c:v>179</c:v>
                </c:pt>
                <c:pt idx="5">
                  <c:v>127</c:v>
                </c:pt>
                <c:pt idx="6">
                  <c:v>146</c:v>
                </c:pt>
                <c:pt idx="7">
                  <c:v>234</c:v>
                </c:pt>
                <c:pt idx="8">
                  <c:v>189</c:v>
                </c:pt>
                <c:pt idx="9">
                  <c:v>153</c:v>
                </c:pt>
                <c:pt idx="10">
                  <c:v>296</c:v>
                </c:pt>
                <c:pt idx="11">
                  <c:v>264</c:v>
                </c:pt>
                <c:pt idx="12">
                  <c:v>431</c:v>
                </c:pt>
                <c:pt idx="13">
                  <c:v>445</c:v>
                </c:pt>
                <c:pt idx="14">
                  <c:v>428</c:v>
                </c:pt>
                <c:pt idx="15">
                  <c:v>482</c:v>
                </c:pt>
                <c:pt idx="16">
                  <c:v>568</c:v>
                </c:pt>
                <c:pt idx="17">
                  <c:v>627</c:v>
                </c:pt>
                <c:pt idx="18">
                  <c:v>716</c:v>
                </c:pt>
                <c:pt idx="19">
                  <c:v>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0-4732-BB01-A197972404BF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Sheet4!$C$5:$C$25</c:f>
              <c:numCache>
                <c:formatCode>General</c:formatCode>
                <c:ptCount val="20"/>
                <c:pt idx="0">
                  <c:v>35</c:v>
                </c:pt>
                <c:pt idx="1">
                  <c:v>90</c:v>
                </c:pt>
                <c:pt idx="2">
                  <c:v>103</c:v>
                </c:pt>
                <c:pt idx="3">
                  <c:v>69</c:v>
                </c:pt>
                <c:pt idx="4">
                  <c:v>76</c:v>
                </c:pt>
                <c:pt idx="5">
                  <c:v>118</c:v>
                </c:pt>
                <c:pt idx="6">
                  <c:v>94</c:v>
                </c:pt>
                <c:pt idx="7">
                  <c:v>93</c:v>
                </c:pt>
                <c:pt idx="8">
                  <c:v>168</c:v>
                </c:pt>
                <c:pt idx="9">
                  <c:v>246</c:v>
                </c:pt>
                <c:pt idx="10">
                  <c:v>275</c:v>
                </c:pt>
                <c:pt idx="11">
                  <c:v>318</c:v>
                </c:pt>
                <c:pt idx="12">
                  <c:v>187</c:v>
                </c:pt>
                <c:pt idx="13">
                  <c:v>202</c:v>
                </c:pt>
                <c:pt idx="14">
                  <c:v>293</c:v>
                </c:pt>
                <c:pt idx="15">
                  <c:v>295</c:v>
                </c:pt>
                <c:pt idx="16">
                  <c:v>306</c:v>
                </c:pt>
                <c:pt idx="17">
                  <c:v>393</c:v>
                </c:pt>
                <c:pt idx="18">
                  <c:v>598</c:v>
                </c:pt>
                <c:pt idx="19">
                  <c:v>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0-4732-BB01-A197972404BF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Sheet4!$D$5:$D$25</c:f>
              <c:numCache>
                <c:formatCode>General</c:formatCode>
                <c:ptCount val="20"/>
                <c:pt idx="0">
                  <c:v>4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13</c:v>
                </c:pt>
                <c:pt idx="6">
                  <c:v>4</c:v>
                </c:pt>
                <c:pt idx="7">
                  <c:v>19</c:v>
                </c:pt>
                <c:pt idx="8">
                  <c:v>10</c:v>
                </c:pt>
                <c:pt idx="9">
                  <c:v>30</c:v>
                </c:pt>
                <c:pt idx="10">
                  <c:v>9</c:v>
                </c:pt>
                <c:pt idx="11">
                  <c:v>15</c:v>
                </c:pt>
                <c:pt idx="12">
                  <c:v>14</c:v>
                </c:pt>
                <c:pt idx="13">
                  <c:v>14</c:v>
                </c:pt>
                <c:pt idx="15">
                  <c:v>8</c:v>
                </c:pt>
                <c:pt idx="16">
                  <c:v>22</c:v>
                </c:pt>
                <c:pt idx="17">
                  <c:v>29</c:v>
                </c:pt>
                <c:pt idx="18">
                  <c:v>18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E0-4732-BB01-A197972404BF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Sheet4!$E$5:$E$25</c:f>
              <c:numCache>
                <c:formatCode>General</c:formatCode>
                <c:ptCount val="20"/>
                <c:pt idx="1">
                  <c:v>6</c:v>
                </c:pt>
                <c:pt idx="2">
                  <c:v>6</c:v>
                </c:pt>
                <c:pt idx="3">
                  <c:v>24</c:v>
                </c:pt>
                <c:pt idx="5">
                  <c:v>12</c:v>
                </c:pt>
                <c:pt idx="6">
                  <c:v>28</c:v>
                </c:pt>
                <c:pt idx="7">
                  <c:v>24</c:v>
                </c:pt>
                <c:pt idx="8">
                  <c:v>31</c:v>
                </c:pt>
                <c:pt idx="9">
                  <c:v>8</c:v>
                </c:pt>
                <c:pt idx="10">
                  <c:v>23</c:v>
                </c:pt>
                <c:pt idx="11">
                  <c:v>9</c:v>
                </c:pt>
                <c:pt idx="12">
                  <c:v>15</c:v>
                </c:pt>
                <c:pt idx="13">
                  <c:v>39</c:v>
                </c:pt>
                <c:pt idx="14">
                  <c:v>24</c:v>
                </c:pt>
                <c:pt idx="15">
                  <c:v>22</c:v>
                </c:pt>
                <c:pt idx="16">
                  <c:v>16</c:v>
                </c:pt>
                <c:pt idx="17">
                  <c:v>137</c:v>
                </c:pt>
                <c:pt idx="18">
                  <c:v>214</c:v>
                </c:pt>
                <c:pt idx="19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E0-4732-BB01-A19797240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16351"/>
        <c:axId val="1816420191"/>
      </c:barChart>
      <c:catAx>
        <c:axId val="18164163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20191"/>
        <c:crosses val="autoZero"/>
        <c:auto val="1"/>
        <c:lblAlgn val="ctr"/>
        <c:lblOffset val="100"/>
        <c:noMultiLvlLbl val="0"/>
      </c:catAx>
      <c:valAx>
        <c:axId val="1816420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163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[ecommerce-blank.xlsx]Sheet4!PivotTable7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Sheet4!$L$3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cat>
            <c:strRef>
              <c:f>Sheet4!$K$4:$K$8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Sheet4!$L$4:$L$8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2-4B5E-8A82-CCBD08E23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[ecommerce-blank.xlsx]Sheet6!PivotTable9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Sheet6!$A$4:$A$20</c:f>
              <c:multiLvlStrCache>
                <c:ptCount val="15"/>
                <c:lvl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MORE THAN 5</c:v>
                  </c:pt>
                </c:lvl>
              </c:multiLvlStrCache>
            </c:multiLvlStrRef>
          </c:cat>
          <c:val>
            <c:numRef>
              <c:f>Sheet6!$B$4:$B$20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44-4585-9DFF-0E053194A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509471"/>
        <c:axId val="1816508991"/>
      </c:barChart>
      <c:catAx>
        <c:axId val="18165094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508991"/>
        <c:crosses val="autoZero"/>
        <c:auto val="1"/>
        <c:lblAlgn val="ctr"/>
        <c:lblOffset val="100"/>
        <c:noMultiLvlLbl val="0"/>
      </c:catAx>
      <c:valAx>
        <c:axId val="1816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5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[ecommerce-blank.xlsx]Sheet6!PivotTable11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Rating</a:t>
            </a:r>
            <a:r>
              <a:rPr lang="en-IN" baseline="0"/>
              <a:t>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Sheet6!$J$3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Sheet6!$I$4:$I$9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Sheet6!$J$4:$J$9</c:f>
              <c:numCache>
                <c:formatCode>General</c:formatCode>
                <c:ptCount val="5"/>
                <c:pt idx="0">
                  <c:v>21</c:v>
                </c:pt>
                <c:pt idx="1">
                  <c:v>127</c:v>
                </c:pt>
                <c:pt idx="2">
                  <c:v>495</c:v>
                </c:pt>
                <c:pt idx="3">
                  <c:v>1036</c:v>
                </c:pt>
                <c:pt idx="4">
                  <c:v>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1-489F-AC79-851261604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152191"/>
        <c:axId val="1540150271"/>
      </c:barChart>
      <c:catAx>
        <c:axId val="154015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0271"/>
        <c:crosses val="autoZero"/>
        <c:auto val="1"/>
        <c:lblAlgn val="ctr"/>
        <c:lblOffset val="100"/>
        <c:noMultiLvlLbl val="0"/>
      </c:catAx>
      <c:valAx>
        <c:axId val="154015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[ecommerce-blank.xlsx]Sheet1!PivotTable2</c:name>
    <c:fmtId val="1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shade val="76000"/>
              </a:schemeClr>
            </a:solidFill>
            <a:ln w="9525">
              <a:solidFill>
                <a:schemeClr val="accent4">
                  <a:shade val="76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Sheet1!$C$7</c:f>
              <c:strCache>
                <c:ptCount val="1"/>
                <c:pt idx="0">
                  <c:v>Sum of Amount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Sheet1!$A$8:$A$21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Sheet1!$C$8:$C$21</c:f>
              <c:numCache>
                <c:formatCode>[$$-409]#,##0</c:formatCode>
                <c:ptCount val="13"/>
                <c:pt idx="0">
                  <c:v>32413.300000000003</c:v>
                </c:pt>
                <c:pt idx="1">
                  <c:v>49562.999999999993</c:v>
                </c:pt>
                <c:pt idx="2">
                  <c:v>41700.400000000016</c:v>
                </c:pt>
                <c:pt idx="3">
                  <c:v>46782.599999999984</c:v>
                </c:pt>
                <c:pt idx="4">
                  <c:v>42676.100000000006</c:v>
                </c:pt>
                <c:pt idx="5">
                  <c:v>62910.7</c:v>
                </c:pt>
                <c:pt idx="6">
                  <c:v>50332.200000000004</c:v>
                </c:pt>
                <c:pt idx="7">
                  <c:v>58760.599999999977</c:v>
                </c:pt>
                <c:pt idx="8">
                  <c:v>52017.299999999996</c:v>
                </c:pt>
                <c:pt idx="9">
                  <c:v>64915.700000000033</c:v>
                </c:pt>
                <c:pt idx="10">
                  <c:v>45943.80000000001</c:v>
                </c:pt>
                <c:pt idx="11">
                  <c:v>55077.900000000031</c:v>
                </c:pt>
                <c:pt idx="12">
                  <c:v>45926.19999999999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0F-48E9-8E8F-3CD6A93CE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6721871"/>
        <c:axId val="1556718511"/>
      </c:lineChart>
      <c:lineChart>
        <c:grouping val="standard"/>
        <c:varyColors val="0"/>
        <c:ser>
          <c:idx val="0"/>
          <c:order val="0"/>
          <c:tx>
            <c:strRef>
              <c:f>Sheet1!$B$7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4">
                  <a:shade val="76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cat>
            <c:strRef>
              <c:f>Sheet1!$A$8:$A$21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Sheet1!$B$8:$B$21</c:f>
              <c:numCache>
                <c:formatCode>General</c:formatCode>
                <c:ptCount val="13"/>
                <c:pt idx="0">
                  <c:v>546</c:v>
                </c:pt>
                <c:pt idx="1">
                  <c:v>905</c:v>
                </c:pt>
                <c:pt idx="2">
                  <c:v>796</c:v>
                </c:pt>
                <c:pt idx="3">
                  <c:v>913</c:v>
                </c:pt>
                <c:pt idx="4">
                  <c:v>844</c:v>
                </c:pt>
                <c:pt idx="5">
                  <c:v>1202</c:v>
                </c:pt>
                <c:pt idx="6">
                  <c:v>935</c:v>
                </c:pt>
                <c:pt idx="7">
                  <c:v>1128</c:v>
                </c:pt>
                <c:pt idx="8">
                  <c:v>1007</c:v>
                </c:pt>
                <c:pt idx="9">
                  <c:v>1128</c:v>
                </c:pt>
                <c:pt idx="10">
                  <c:v>861</c:v>
                </c:pt>
                <c:pt idx="11">
                  <c:v>944</c:v>
                </c:pt>
                <c:pt idx="12">
                  <c:v>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F-48E9-8E8F-3CD6A93CE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487263"/>
        <c:axId val="1411485823"/>
      </c:lineChart>
      <c:catAx>
        <c:axId val="1556721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718511"/>
        <c:crosses val="autoZero"/>
        <c:auto val="1"/>
        <c:lblAlgn val="ctr"/>
        <c:lblOffset val="100"/>
        <c:noMultiLvlLbl val="0"/>
      </c:catAx>
      <c:valAx>
        <c:axId val="155671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721871"/>
        <c:crosses val="autoZero"/>
        <c:crossBetween val="between"/>
      </c:valAx>
      <c:valAx>
        <c:axId val="14114858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487263"/>
        <c:crosses val="max"/>
        <c:crossBetween val="between"/>
      </c:valAx>
      <c:catAx>
        <c:axId val="1411487263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485823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[ecommerce-blank.xlsx]Sheet3!PivotTable4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Sheet3!$A$4:$A$11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 to 10</c:v>
                </c:pt>
                <c:pt idx="6">
                  <c:v>more than 10</c:v>
                </c:pt>
              </c:strCache>
            </c:strRef>
          </c:cat>
          <c:val>
            <c:numRef>
              <c:f>Sheet3!$B$4:$B$11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6-4E4A-8676-8340E734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474431"/>
        <c:axId val="1816488831"/>
      </c:barChart>
      <c:catAx>
        <c:axId val="181647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88831"/>
        <c:crosses val="autoZero"/>
        <c:auto val="1"/>
        <c:lblAlgn val="ctr"/>
        <c:lblOffset val="100"/>
        <c:noMultiLvlLbl val="0"/>
      </c:catAx>
      <c:valAx>
        <c:axId val="181648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7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[ecommerce-blank.xlsx]Sheet4!PivotTable5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Sheet4!$B$5:$B$25</c:f>
              <c:numCache>
                <c:formatCode>General</c:formatCode>
                <c:ptCount val="20"/>
                <c:pt idx="0">
                  <c:v>26</c:v>
                </c:pt>
                <c:pt idx="1">
                  <c:v>43</c:v>
                </c:pt>
                <c:pt idx="2">
                  <c:v>75</c:v>
                </c:pt>
                <c:pt idx="3">
                  <c:v>99</c:v>
                </c:pt>
                <c:pt idx="4">
                  <c:v>179</c:v>
                </c:pt>
                <c:pt idx="5">
                  <c:v>127</c:v>
                </c:pt>
                <c:pt idx="6">
                  <c:v>146</c:v>
                </c:pt>
                <c:pt idx="7">
                  <c:v>234</c:v>
                </c:pt>
                <c:pt idx="8">
                  <c:v>189</c:v>
                </c:pt>
                <c:pt idx="9">
                  <c:v>153</c:v>
                </c:pt>
                <c:pt idx="10">
                  <c:v>296</c:v>
                </c:pt>
                <c:pt idx="11">
                  <c:v>264</c:v>
                </c:pt>
                <c:pt idx="12">
                  <c:v>431</c:v>
                </c:pt>
                <c:pt idx="13">
                  <c:v>445</c:v>
                </c:pt>
                <c:pt idx="14">
                  <c:v>428</c:v>
                </c:pt>
                <c:pt idx="15">
                  <c:v>482</c:v>
                </c:pt>
                <c:pt idx="16">
                  <c:v>568</c:v>
                </c:pt>
                <c:pt idx="17">
                  <c:v>627</c:v>
                </c:pt>
                <c:pt idx="18">
                  <c:v>716</c:v>
                </c:pt>
                <c:pt idx="19">
                  <c:v>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DA-4C1D-956F-30EA67DACD1F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Sheet4!$C$5:$C$25</c:f>
              <c:numCache>
                <c:formatCode>General</c:formatCode>
                <c:ptCount val="20"/>
                <c:pt idx="0">
                  <c:v>35</c:v>
                </c:pt>
                <c:pt idx="1">
                  <c:v>90</c:v>
                </c:pt>
                <c:pt idx="2">
                  <c:v>103</c:v>
                </c:pt>
                <c:pt idx="3">
                  <c:v>69</c:v>
                </c:pt>
                <c:pt idx="4">
                  <c:v>76</c:v>
                </c:pt>
                <c:pt idx="5">
                  <c:v>118</c:v>
                </c:pt>
                <c:pt idx="6">
                  <c:v>94</c:v>
                </c:pt>
                <c:pt idx="7">
                  <c:v>93</c:v>
                </c:pt>
                <c:pt idx="8">
                  <c:v>168</c:v>
                </c:pt>
                <c:pt idx="9">
                  <c:v>246</c:v>
                </c:pt>
                <c:pt idx="10">
                  <c:v>275</c:v>
                </c:pt>
                <c:pt idx="11">
                  <c:v>318</c:v>
                </c:pt>
                <c:pt idx="12">
                  <c:v>187</c:v>
                </c:pt>
                <c:pt idx="13">
                  <c:v>202</c:v>
                </c:pt>
                <c:pt idx="14">
                  <c:v>293</c:v>
                </c:pt>
                <c:pt idx="15">
                  <c:v>295</c:v>
                </c:pt>
                <c:pt idx="16">
                  <c:v>306</c:v>
                </c:pt>
                <c:pt idx="17">
                  <c:v>393</c:v>
                </c:pt>
                <c:pt idx="18">
                  <c:v>598</c:v>
                </c:pt>
                <c:pt idx="19">
                  <c:v>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DA-4C1D-956F-30EA67DACD1F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Sheet4!$D$5:$D$25</c:f>
              <c:numCache>
                <c:formatCode>General</c:formatCode>
                <c:ptCount val="20"/>
                <c:pt idx="0">
                  <c:v>4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13</c:v>
                </c:pt>
                <c:pt idx="6">
                  <c:v>4</c:v>
                </c:pt>
                <c:pt idx="7">
                  <c:v>19</c:v>
                </c:pt>
                <c:pt idx="8">
                  <c:v>10</c:v>
                </c:pt>
                <c:pt idx="9">
                  <c:v>30</c:v>
                </c:pt>
                <c:pt idx="10">
                  <c:v>9</c:v>
                </c:pt>
                <c:pt idx="11">
                  <c:v>15</c:v>
                </c:pt>
                <c:pt idx="12">
                  <c:v>14</c:v>
                </c:pt>
                <c:pt idx="13">
                  <c:v>14</c:v>
                </c:pt>
                <c:pt idx="15">
                  <c:v>8</c:v>
                </c:pt>
                <c:pt idx="16">
                  <c:v>22</c:v>
                </c:pt>
                <c:pt idx="17">
                  <c:v>29</c:v>
                </c:pt>
                <c:pt idx="18">
                  <c:v>18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DA-4C1D-956F-30EA67DACD1F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Sheet4!$A$5:$A$25</c:f>
              <c:strCache>
                <c:ptCount val="20"/>
                <c:pt idx="0">
                  <c:v>Jewelry</c:v>
                </c:pt>
                <c:pt idx="1">
                  <c:v>Baseball Caps</c:v>
                </c:pt>
                <c:pt idx="2">
                  <c:v>Tote Bags</c:v>
                </c:pt>
                <c:pt idx="3">
                  <c:v>Sunglasses</c:v>
                </c:pt>
                <c:pt idx="4">
                  <c:v>Maxi Dresses</c:v>
                </c:pt>
                <c:pt idx="5">
                  <c:v>Pajama Sets</c:v>
                </c:pt>
                <c:pt idx="6">
                  <c:v>Workout Tops</c:v>
                </c:pt>
                <c:pt idx="7">
                  <c:v>Casual Dresses</c:v>
                </c:pt>
                <c:pt idx="8">
                  <c:v>Leggings</c:v>
                </c:pt>
                <c:pt idx="9">
                  <c:v>Crop Tops</c:v>
                </c:pt>
                <c:pt idx="10">
                  <c:v>Sandals</c:v>
                </c:pt>
                <c:pt idx="11">
                  <c:v>Hoodies &amp; Sweatshirts</c:v>
                </c:pt>
                <c:pt idx="12">
                  <c:v>Graphic Tees</c:v>
                </c:pt>
                <c:pt idx="13">
                  <c:v>Sundresses</c:v>
                </c:pt>
                <c:pt idx="14">
                  <c:v>Shorts</c:v>
                </c:pt>
                <c:pt idx="15">
                  <c:v>Bikinis</c:v>
                </c:pt>
                <c:pt idx="16">
                  <c:v>Tank Tops</c:v>
                </c:pt>
                <c:pt idx="17">
                  <c:v>Sneakers</c:v>
                </c:pt>
                <c:pt idx="18">
                  <c:v>Jeans</c:v>
                </c:pt>
                <c:pt idx="19">
                  <c:v>T-Shirts</c:v>
                </c:pt>
              </c:strCache>
            </c:strRef>
          </c:cat>
          <c:val>
            <c:numRef>
              <c:f>Sheet4!$E$5:$E$25</c:f>
              <c:numCache>
                <c:formatCode>General</c:formatCode>
                <c:ptCount val="20"/>
                <c:pt idx="1">
                  <c:v>6</c:v>
                </c:pt>
                <c:pt idx="2">
                  <c:v>6</c:v>
                </c:pt>
                <c:pt idx="3">
                  <c:v>24</c:v>
                </c:pt>
                <c:pt idx="5">
                  <c:v>12</c:v>
                </c:pt>
                <c:pt idx="6">
                  <c:v>28</c:v>
                </c:pt>
                <c:pt idx="7">
                  <c:v>24</c:v>
                </c:pt>
                <c:pt idx="8">
                  <c:v>31</c:v>
                </c:pt>
                <c:pt idx="9">
                  <c:v>8</c:v>
                </c:pt>
                <c:pt idx="10">
                  <c:v>23</c:v>
                </c:pt>
                <c:pt idx="11">
                  <c:v>9</c:v>
                </c:pt>
                <c:pt idx="12">
                  <c:v>15</c:v>
                </c:pt>
                <c:pt idx="13">
                  <c:v>39</c:v>
                </c:pt>
                <c:pt idx="14">
                  <c:v>24</c:v>
                </c:pt>
                <c:pt idx="15">
                  <c:v>22</c:v>
                </c:pt>
                <c:pt idx="16">
                  <c:v>16</c:v>
                </c:pt>
                <c:pt idx="17">
                  <c:v>137</c:v>
                </c:pt>
                <c:pt idx="18">
                  <c:v>214</c:v>
                </c:pt>
                <c:pt idx="19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DA-4C1D-956F-30EA67DA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16351"/>
        <c:axId val="1816420191"/>
      </c:barChart>
      <c:catAx>
        <c:axId val="18164163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20191"/>
        <c:crosses val="autoZero"/>
        <c:auto val="1"/>
        <c:lblAlgn val="ctr"/>
        <c:lblOffset val="100"/>
        <c:noMultiLvlLbl val="0"/>
      </c:catAx>
      <c:valAx>
        <c:axId val="1816420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[ecommerce-blank.xlsx]Sheet4!PivotTable7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Sheet4!$L$3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08-4E2E-8DB9-AA6ADBE6981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08-4E2E-8DB9-AA6ADBE6981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08-4E2E-8DB9-AA6ADBE6981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C08-4E2E-8DB9-AA6ADBE69813}"/>
              </c:ext>
            </c:extLst>
          </c:dPt>
          <c:cat>
            <c:strRef>
              <c:f>Sheet4!$K$4:$K$8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Sheet4!$L$4:$L$8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C08-4E2E-8DB9-AA6ADBE69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[ecommerce-blank.xlsx]Sheet6!PivotTable9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Sheet6!$A$4:$A$20</c:f>
              <c:multiLvlStrCache>
                <c:ptCount val="15"/>
                <c:lvl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MORE THAN 5</c:v>
                  </c:pt>
                </c:lvl>
              </c:multiLvlStrCache>
            </c:multiLvlStrRef>
          </c:cat>
          <c:val>
            <c:numRef>
              <c:f>Sheet6!$B$4:$B$20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59-4611-BDAD-4C3D63928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509471"/>
        <c:axId val="1816508991"/>
      </c:barChart>
      <c:catAx>
        <c:axId val="18165094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508991"/>
        <c:crosses val="autoZero"/>
        <c:auto val="1"/>
        <c:lblAlgn val="ctr"/>
        <c:lblOffset val="100"/>
        <c:noMultiLvlLbl val="0"/>
      </c:catAx>
      <c:valAx>
        <c:axId val="1816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5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[ecommerce-blank.xlsx]Sheet6!PivotTable11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Rating</a:t>
            </a:r>
            <a:r>
              <a:rPr lang="en-IN" baseline="0"/>
              <a:t>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Sheet6!$J$3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Sheet6!$I$4:$I$9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Sheet6!$J$4:$J$9</c:f>
              <c:numCache>
                <c:formatCode>General</c:formatCode>
                <c:ptCount val="5"/>
                <c:pt idx="0">
                  <c:v>21</c:v>
                </c:pt>
                <c:pt idx="1">
                  <c:v>127</c:v>
                </c:pt>
                <c:pt idx="2">
                  <c:v>495</c:v>
                </c:pt>
                <c:pt idx="3">
                  <c:v>1036</c:v>
                </c:pt>
                <c:pt idx="4">
                  <c:v>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9-4F99-9728-9E9BCD46E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40152191"/>
        <c:axId val="1540150271"/>
      </c:barChart>
      <c:catAx>
        <c:axId val="15401521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0271"/>
        <c:crosses val="autoZero"/>
        <c:auto val="1"/>
        <c:lblAlgn val="ctr"/>
        <c:lblOffset val="100"/>
        <c:noMultiLvlLbl val="0"/>
      </c:catAx>
      <c:valAx>
        <c:axId val="154015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  <cx:nf>_xlchart.v5.10</cx:nf>
      </cx:strDim>
      <cx:numDim type="colorVal">
        <cx:f>_xlchart.v5.14</cx:f>
        <cx:nf>_xlchart.v5.13</cx:nf>
      </cx:numDim>
    </cx:data>
  </cx:chartData>
  <cx:chart>
    <cx:plotArea>
      <cx:plotAreaRegion>
        <cx:series layoutId="regionMap" uniqueId="{00000000-0EFD-42F0-B381-B4417729176B}">
          <cx:tx>
            <cx:txData>
              <cx:f>_xlchart.v5.13</cx:f>
              <cx:v>Sum of Quantity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3F1Zc9s4tv4rqTxfugmQAIip6alqkNTiRbZjZ3FeWIqtcN93/vp7aDtpiaJtuqZVt67UXTOdSAc8
xAecHQf/vm/+dR9s1tmHJgyi/F/3zZ8fnaJI/vXHH/m9swnX+Uno3mdxHv8sTu7j8I/450/3fvPH
Q7au3cj+A8tI/ePeWWfFpvn4n3/DaPYmPo/v14UbR9flJms/bfIyKPJXvhv96sP6IXQjw82LzL0v
0J8f9XXg/oyzyF1/3P0O//nxLg7iD3pcRkX78cMmKtyivW2TzZ8fdwbBHz/8MXzWHl8fAmC9KB+A
WNFOKGMqV2Xy8UMQR/bz30sIoxP4giFE0a/nrdYhkExl5JGN9cNDtslzeJvH/x9Q77AOr//XG699
379+P902zPyfHz9HbrF5+HBTrItN/vGDm8eP85O1ety/2+ebx8n4Yxew//x78BcwPYO/2cJ0OJdv
fbUL2xuQ/hXAhD6sD4AqO9FkVcMaVfjjhw3BxSeYYZVRWC9Pa+kJ23dwNA7vcIAJCA9JjgzkLzC/
ZXYIkNUTrMmaIivsCWRtADLiJ5grSKYyfLON8jtYGkd5OMAElIckR4byMkw2mbsODrCX8QnjWCMq
IPn4UYYwkxNCCSGI0cfvB+L6PZyNo703wgS492iODO+/gsSNNgdAG/QxVwhFRH1xUzP4EMLU3U09
naNxlAf0EzAeUBwZwnoMpkYvtvPiEMJbO5GRxrnykvDG+AQpqkYYGgjv9/I1jvboKBMwH6U7MuQv
NtFDfO9GhzC3+QnqNzZjz8IchPWu1a2cYJlRReFgsm3r7HcxNY75/hATAN8nOjK0/wrXD3F2EEmu
gIEtYw0E9S7GMnhWGEwzmY8p7OkMjcM8oJ+A8YDiyAAWZVEcQlPzE4KwAo7zC5oaHGhCVIrAk97d
ypMZGsd3l3wCvLsER4buTY/uIbYvSGoFYwzojRtiAC/FBKkqp7vwTudoHN8B/QSABxRHhrAeB2V+
CBMM3GOZYwVs7SfHCmIhu3Ian8jgX1OuQmxsWxdP52gc4QH9BIQHFMeG8DpYV5tsnR9ECyNOYRcz
9gLI8gnV+mWgDrYxxGKnM/UCzntDTIF6j+jI0DY2wYdVDMH0fx5tFWLWRAXjqnet+s9e3BNiZrKq
QNxzEPh8F1PjaO8PMQHtfaIjQ9sMPhhxBib2P4825C4Y5pTg5yA350MBDoY25wi86NHI2LtYG8d8
f4gJmO8THRnmM0j5HMR7pidMQRDrRM822RBwiHgzjcA/aKCxp3M0jvOAfgLIA4ojQ3gebKLoADsa
fCosE8QxKOOhLYa4hphCBoJ7MifjwO6ST8B1l+DIYD2P8w9/RfYm2BzCFFNPZIKxoqnkSTnv5au0
E6wqEDRBT7bawG1+J3PjeI8NMgH1MbIjw35Rhj/i4KH453e1CmpYo+Ap7+9q9QTKCxQZMtVPS2LX
z3oPS+Nw740wAes9miMD+mYdfRAbKJ04hElGTzQCURGsPO/xoYaGqIkqYxlWw8Ddeh9X42iPjDEB
7xGqI0N8GbUHwlrGoK+hfOjX7t3R2Ug7ATuNUk0bpLCm8jOO8g71BHx3fn9kyELpU+Tmwbo8hL5m
J1SVweKiyguhEwTxsV5jswG+7+NqHOWRMSZgPUJ1ZIifbbJDGN7kRGGPuYwnT1ke5iXBs+rz1RAS
H+Qlp/IzjvIO9QR8d35/ZMhebLJ7qGbU//EST3aiyJRTjT4bWUO7G8snqoY4mN3qWD5yOl/jGA/o
J6A8oDgynM+gpvgQ4pqewOaEos5f7tXQ9IItTOE7SGgNt/BUhsbx3X2fCfDuEhwZuudr/wCBbQXE
LxQAMhmKBh4/I7kqjgiiGhvY1VP5Gcd2h3oCtDu/Pzpk83xzAN0L7rEK5X4ax0/QysMCT5DPFL5W
NTrYuOfrqRy9hO4O/SR8dyiODOGLdeYm8UFyzQxUrIoZ0Z5BHrGvOFWZhmGLP352IyHv4Wwc670R
JqC9R3N0eD9A1vkAFhc9gZwzhKrZc2XBEG3Y0TKF6k4VgZLeriy4WE/l6CWUd+gnYbxDcXQIZ+4B
RLbCTjhTCcD7nHrcM6nxCVEQCGw+cI37LTWJoZfw3SafBO82wZGh20fuLuDs1yGCW48CmzGoxX+S
x3uVBHCCCmtQzKsO0hTvYmoc5f0hJiC9T3RkaF/EUJX9zwtrqBlRuczBMaJPSO+lHuUTomKo8kRg
mO0I66kMjaO8+z4TEN4lODp0D1IxAClFOCrzO/SxVxDUn5HDmsbB7BqCO42fl7Ddop4E7dbvjw/Z
YpNt2n9+6yoUDi/D8WVFfi7u2/OcoEaXUJUqw3OuF3C4ZypPLyK8O8I0lHdpjgxpUEH9Wams7A6C
NZhcSJV/iekRkwvOWmiyvFeP/S6uxtEeebMJeI9QHRniq3VyCP8JpDaHSCaEKp9CInv7GowvCIjI
4E7vSu2p/IyjvEM9Ad+d3x8bsptqfZDWBKBwKWZwbP3ZN97DFrKKCEru985VrCZz9AK6u/RT8N2l
+H+A8Oss7rxy35vir1+7Z6STyHsbiTCwtFRKOXo61DaWQaSIYYYg6DES4dpuffJkZI/xNI7sNu3O
Oz694uuT8v+ua8hltoYSvQNoWAWqpaFYWqMvHGhD0FWEwKFF2mO77QhN52gcvwH9CIQ7fwXNcAYU
R4Zw78qfxuu0nBYqemfHH4hdQeRKxepzKHpEAGMOaUTOnyT0AOx3MjeO+NggOxiPNwMaIzsy7K+C
9f1BzjNqJ+Dl9vv7WT6PwA6VXNBkBD+J54E/PJ2vccQH9BPAHlAcHc4lNB47gBTnJ1yhDA7FPKvZ
vcClfAKpRIh3KYMzElfBVI5eQniHfhLCOxRHhvAnF8405u7DYVQ112SiKM/VWvvGFtT8wIlHKPUY
bON3MTWO8/4QE6DeJzoytG/W9xl0c4sOUlWtnRAGbYFUOKj6+Nnb030Mu/8HSvj6z57Kfg9v46iP
vN8E2Eeojgz3u/LHISIgfZ8YBAfdIDD9+Nmr94HmElDro0Fsc9cWn8rPOMo71BPw3fn9kSHbG5sC
qm3X2cNhegHB4RdoL4A05bmma2iRgb+FIcgFVtsuxO9nbBzsF8aZAPsLlEe4AAx3Yx8ivQxN/RB4
YdDYb3DQEUBHVNFgVTwnnvexn8zTy7DvDjER8V2iYwPbWeeHaPQG1X3Qqg8QVV6S5PgE4JY1rT8d
tx1VuZnM0Qs479JPAXmX4tgQfsoDBeuDlHyBwQ0nV6E896Uie3QC56AQxLUHbhfI0n7dTWXrBaxH
BpkC+AjZ8aH+YQYR03s3v49/bbCR0DIYWO9rnM3gUKssMwD1d7xk5/QbNHCECBsimjKivn9zNCUA
8CLkf7/Y72GmgT5CeISwn5du/uHyh5snh9DgBFKQmEKmClZB/wGfaxd/qNoG9xzav43g/07WXl4B
YwNNXANjpMe3CkC2inX24zBCX+23eF/l+XI/Eso1RUXQROzx80sAPXVbfxL972DvxXUw8pbTVsEI
4bGtAXeTHUTjQ68SKivQuuAp5jJ2bAO+hOWhjedRJvP1Auq79FPg3qU4Opxz323j8rcqfDGL/F5V
33cVU0CR41+3KYBA3xX1+ITCMWkCNf2DDe5O5+kllAcjTMJ5QHNsSMfBeqtc8h/DGfqJ9Q09tb6g
cFylQ0NIlcN23mteMZmjF1DepZ+C8S7F0SEcxeEhwqraiapwCrVlLxWMPsZlqApHcwY7OZ7K0UsI
79BPQniH4sgQvt0460MgDOEWuAeDQqOpF0wycMug1ye0n0FP5Q+DVMl0vsZxHtBPwHlAcWw4w/Ej
uKnqAEoZmkrBeXeIoT6b1ns5MQx5buglB/19d7fy7XSWXsB4MMAUkAckx4ZyCeGrQ+S5oaeBIvc7
9eWiQsz7uBoZWF63kzl6AeNd+ikQ71IcHcLQhTs8yI03UI+mQZ4LCs5esLpkCJBjhDS8h/F0nl5C
eTDCJJwHNP8XSL98Yd3vy/6MdbE2H68J3Lqz7vVvHycJ7jYckD5nJcaDpk/W9/Lhz49Qq6/0laNb
gdR+oJ2cxl9PN979Esi7ZBvIwPz58fHmQbXvVqPBiXgNmjVDwLzePH8FyRIGHSRlRcGygjB8FUEr
aQcuMoRlBMY5VL2o/SkRaM3/8UMel89fQdhdgXQ5nLCHIgno/fzrTa/ioLXj6Pe0PP/5Q1SGV7Eb
FTm8Vt8uJXn6Xc8vkQk0FYYaduhGSiH8Azeswff36099FxX4+f9ojZ3yUnPKS88tklMt4OpFFjVn
WhSkOimzLzQMjdQr/EUUs6DbOHGeStdl24o27VxdQ01wzZ0kEoXfXhe2ehrnYTxLg9wVqGsrwXwk
zd2gUoWaODPbr5xlnRaybieWKvI6tx2dV2k0C1kSlDetndxxp42FBEVhghWN6+kJztXTqpG6U5JE
jWPprda6p2XgGy22pEUhZT9tHnW6K8nWvEVxKRzk82VQ2tWXBMTtGXapf6EpUTJH7k1SKk5iamEr
zxKkuUaVSbLBKh4ZsdIpRhC4WGDKbZEhfuazrDBTG+mkwMWMNMlKI04lKiXmsyroGiFZRTPLnahe
ZHW+QnnO9SJK77LaPm9RbTpya+AcX8iqfVZ3hSMKLymFa7Wp8DRNr8u8NCNAWNiWVJjwMPunVcf0
e9t5lTVLSeqIUpY6XXNytOBZ+cnxlRvNk6NymVBHKq5dFKULkiZ6lDp0kZI2j25oIfNMOKXFKqEw
S50rqK48QSzy07fKetmHHeZl5PtGF0ZXrZevqJqcRoGzSmV8phXSLM7rUymkRtzZszyNhOx1OnGT
hzrCn9yC321fVLmzJu/jpM1c23m+XPT3H/9zG4fw7+PNlX//ZX836d9/mm/iPs6YD3/UC4/fv/r7
9st+s/6+CnMgAp4uOP21a97z5TuEB/jV8mvCYydcOhQhT8S/REjfrgzD7aUKaBUGpwNBc/wWIRCX
Z7BtQUJAkTNU2fwtQsgJQpB2h+OiXIMYgAob/5cIUU5UiuEiRWh2B/0rYdj3iBDwJXcFCIeuiXDs
VGXQDZfDZU+7AkRxkFQXbaiunPB7l6+a5ml9PN1jOiKiVATzNngCHJ9ScN+DAHM4ADsQUaWVq4VF
mnJVdsTEOPnZJuoqsLxPJCt+FhkyMi9zjVBVUgNJ0RIzvshSzyxZkggq0Xge18o8YtlCyuVbr3Rm
ap48SAFyBebnJckaPS/8WnROcIkqRPxzpSpS5dIO87gWjVsJGyZRJ04atjMlbrtc1DJZNk5u/ayJ
fKEooUONtnCZoapu8JDiwBJ+hwJTzbEmMtmWvnmBFBrcV+9LpwlnBWK2rvpOeoZ4HQsbaZcsYZIZ
aNk3ntmKCWfJHJGoan3lNTUSCo6LGcoUT7RZdFZl7ncf43NoT2xwHrbntV2liyCKF1FUdEZmpbcW
CeZK515ojq2Irou+S3JNBFKbn6EvXRYNj0Uedt2sVDXDToob5oVCkpOlkvLvviwtoqQ8LRI5Bg3Q
Xje+dup1TSTsLjNQ4Z+mjK0tVNWiYN7C5pJR+u66yK1Q5AzkPNEWge1dSh2QR7XhWPgu9+1TXrJF
mJJzNUqJkeHqIlA6g4aKmSXpgrYpE7HKv3huVyw6P7jKrNgXeeecFa58l6S40FvJO1Ul9bYIkC9w
p/hC6dQbV4li3ckbxyw1d9kGqSuIR4iwPDqXUzcXMfW/lyo3aznTAQtHgKasZo4dnTZdpnO1+qrG
il47ZEVzepcX3aXvqp+c0IpEaYVzplYXTp0t47Ze2o331alaW4S8XgRVfe7g4IaiOATBHnzFUf4F
WewrtcpZnNFTrSMzqcm+U7VIRFbwuaTkdzG8PG7DZi613YMfMLNljp5ZxFD85jypPU2UqZ0ItY1g
UC3HQmWWsCn7Drtg5rnenW1ZnmjywptJZQnLJv3Zxt5CKzxTVZLvZSbfSZJ8kzPQMb7lGVXDdZkE
PzrfuvZD1Amntc99L/PnyE58oUrs1um4nialo9uu7Qk5DH9wFLpCSpzK1DpGLrQmj05dl3aGlKDK
IPTG4+q3MsntmYSzRARJv3u8+kZG3plUJprAaZ0aJG0yISHyqdEkWy/bMjirbNkXDVVykwdJJbDq
Wmad05VdYGq6hH6RqWYbPLW0HxkvKtOBsqNYVAktYX9nlZXrYStZrfDcyl01mUvP04TKBoepEIqf
2HomgV7zgtgxVIdlIigl2Sw6NRdRYfmfYo3iQoSlfJZQIjSnxaJIs7OiaC4TNcmXUdmoAimRJxBO
8wXRNM+03fKcIrsSuZ9Ec9SRudV03OwajESpBokZF2mMRegGlyyQA18PpPy6q+CNLSu5J137JbOU
NfNBTyvownNQqHMkSUYbSOeWj2WBAkSET0mjF0Ec3sSklGCrMiv4WvrRp7rKah1jeqm6mgDJomee
aigMlUacRGcsZSAQETDN6uuoVGw9YYkAGXVqp9YiUFLTq8CC6orzwJPmDnEu5ED+6meVrpTyac2t
YB41/nfVs4jI3UKvNYueoUJuhKW67EdSS1jvuhSMOTWtw1sfhfWscpW5wmJXV7pU0x2t883OdbOL
TvNXCk4WPs+vUUpzPchz0YRlJLqaGCDylhhZpWkrNFsGbfWZSsltiEO9DEUZGHlWOmZbFyEHmVOe
1jKNv0dqIYH8lX6muSMbbZkFAh6nGllC1ctYCeDq7NZn1aLynGoeqWE7B9HvfLVSeAIug9soVFwD
/HF+WraZdxp49irihOoBGOXL0seOUGN2S9LYg//y1E6EOE+NVrWsGfHTW2q1t1pEum+dFbl6UMb5
jJQ2EqxuZkWrSfNErqJ53KaxHgChyCpSfsvcQJs1YKF2euDWDmglp1ioVQQQ18lM0cLMaMP4jlbJ
MqrdWcNas8zjS7llp37afpYdz6xc3xZx4nwuA3yrlSk/a9qmWsaSlxmxFbR6Unq1SGT5DhK1iqE0
avqtpAkykjjshO/AQmdumYBxqnzDDS9uLEyamVZKXPdKuTW3rJYR9QyeyJZy1nonBdqhg6nBoQAQ
7rMAj2nbf8BhCOVithetCt8zSNMtCa2v6yyfvf6Y3uMZeU7fpogpkL/aMwIK1oW+7USrMAgucoo/
g1S60sLwO4jLTNQtBwDaYFE1ySzQ/EWOnXOnwkLD0RlIqnNi5cLj/rVjlZ9oKpuKU+olL0RkW5u4
pJVoYQuonbaisr1+nfVRzuEICxwWVQkccoCM3fYMkbCMwWr2o1Ud2sJub2Uv1J34/PWH9K2YducH
KmshHYChaSLMESz03afkpZ+0oV9Wq8R2cvCf1KUSg2CQrRT0RlUR05Kqb1ISxNcRhzXI5WWt1aqI
2wQElSJfd144c6SuvC4dhd9EoJXKuFpJMgpgl9SgyrHXCRLbK1dyTxuLwJxj2Dc0rAPRctJ9IihY
+0Wgo8B2512dCitH1HQC1zf9QrmXMgweVFbqIJWoaKFBjR6nytxzMl+AKgLTxqHLtMMbV2XrBry/
ksiuaFhw0XbgyTDWSgsZ1d6F7CSh6JrSAbupcA2He8xArv3FKlF4m9YE9Aeyz0mYkFlOk2JBwRGr
YlBxKFFE6zHfTGR8SWQWGU3X2CDvg3NLXpfqrCRsCXLxTpOCEHY5WrSeehcomWNGSdSJhGZCAW+x
U8H0AEfUN5hdxkYjhYusCIkIUXNaytXad7Fz3wZkLtM0NFjgXOC4C4SSpzNXybkocfMppDRY8RIJ
RLvmLGX5xevLAa4TGVkPsCE1WA4aHEHvS3O3V52lSHEE3xUrhvBa4XlodEkVrKiU5gLk6Xc7J76I
ckdHtDE0N8gESNQLmJVOWI7PFtjOLwqpE3WHL0isfVPUyJnlIUlnZSmry5DgUtiuH4pKqzRTjtVw
gUGpGzVyU0PLJLBHQBDJYRzpLklv7NBtdOTkMWiDMhdFkoooSWc07O6zmK45NL7RKxQzPQvxZ4pb
sJ1b21AKZFCIOOgZkXyR1fSbp9FlbeEHyhpfJDWIAR4saNTcWtw7Z1Wmp7FyQ0kLKyQRZYtvSFVd
+J5zk7rkU8j4nLbFN833VQF2o2zStARbMK3MvKwrXSO5IxRPMmQLg+ag0lqCNaEnXLlDivQNOVVq
pEWnmA6TZ1UnQQCgiU2kZnNZ9pY8qkwcMwHayFB9iHFoWn3GMg+mpMpBzSd6GRS3Sp2suNYs87hd
K7V8nypQ78eoSVrgs4wMv/IvY6c5ZxGd1bFqOAxiIG7EdMzdaz+R/GWrdWactyYNLCNMwKCJqQ1+
CWzGSuLXEF356TLJEqyVdbX0ZkVR+jrNHQPbhY4QPae5MneVFFBCdmiqdqfXvYXql865hCzTR/XX
OC6ELblXxFGF7cQz7EtnIWhxp7YXGgruqiSfpbaI+FJVDYRAawZWPStAvUdZmBillHpG4Etzr9bO
Os8XjLuJqJFd67kMQrfDaOYhTZBau7I0tLCj4syu0/NII2D1FoF0GSR1smgDdqra9VmCPYhFxQyw
SVyk17K3cJL6QsrBSwio7imhGZcs0q36ihKT+TXYMauwmdF2FqsLiIN8TWRJaKF8QUmWmY2lnntO
nYvKsqyzEldMz+GSJp15VjSvq85IwG5YxG2RGy1li6wCK4TFRSOYVZmVlaE3VNsbO1Xp3d+tCBx2
eOvxxC9XFPR+lV+EUaM3VSis+tLPLhB4LK/Lht2IH2hs0BRbkmEY8cOOE4F3AZIhjjeIPVTNp4qf
R/a3Wl28/iDS65y/Y4tPT4IuzdAqFEEdgkp6zbj1ZnVeVKknV82qQ61tJm6T666Fb0lux0snlmDN
NdVZkriyiJGMLrRUI4J6sQTORCebNYyr50j6qcradRMpGgTeyi+SG1/GMrsJwHwDr0cvcnzT2Hlj
RIU9Cwv3e+SpXyUnSD7ZpV+ZxHGKeUjKM+LJAgwLs0VyrYOJN48KhX3lmN8kXWBAJOW0VIqlq+Cz
zm6XJOGXtW+fZaC2meSf+TiCzSQJydH0JkFfwyQz3cBa1gkSXtBooiDhupNboge1fZc2PPuKbasw
ca7Yb8zqbrxlf1Kh0H57Un2qRm5mac1Ka7473Y9WO30dtbfGHygOWQrARrb9duVqN4nHRap8fv0B
e/YQrL+tVdFnNLdfIKShL/vYblcEX7kqEjBNstPqrz+kn4X9pQftH8AkhWonOlh6DctrJ1fhLTjW
cXFf1CHYJJ/dhr2BRl//uvUgiJ9zAmF6ONsGwS8wTfu72rbfpvXcqLa7BK/AjLkHpWbcBjPLkMxK
uPpXEYmvS6pX5z8+ubrzpTHXgdn+gB2dL5Tl6y/c54+2GNnb1o+Mbm02Xrk84TaIkWJWGbIum81N
OQ+vnRk3uR5kMzSHeZ4hPROycExuJJWprqL717noM5V7XGyBS3rhs8VFYOWBhjOY92/NEptMFDN+
xcRlrgrHmH8l+jk1wjlfObNmEd2Qxa1l2PNmAXJPdPOYi9yA0JnBDem8XETz/NIRTiNs40ssypWs
t3Oy5Mv4DMLtn8PZzeusK28t/IEFLeHcDRLJhXUpYpHM8k0yS26RkeqeYRmO4ZqQpTiN51f352a5
JDo47N6pJ/ipt7J1UD4m9cWDpX95nSu8G/zc2+50oB1cN64yRoErZ8mFo3eLcG7dRrLw9TgWVFgi
01sRzLVVusDfIZBmvv788c369z4aSBsQNVKbJ22zkrvYZHV91kn+qirl+A2l1EuV1/brQOporqZU
VRe0K7CpRVXfy82ipj9axUzlAkJRs9ffahzq3281dCalEIQ/Sb1y5TAfPL9PiX393z1g4PMpjRZQ
GoID5ZMz7EEckDPj9Se8AQzrN+LWRpPCRItYCxstTlZ56M8S/K0rtTdQeWueBsItR0HuVcwrVk2P
ShfovPH0/+49BgusjLu8jPKwXdVVo7t0FfqN3oVXrz/kjdXFBlKJWrbUQnAOtEFDdZVHph8Ul4pS
6qzNda/Gq8p235i6UXygDyvrj8XKvE+/bOMDJ+gUK3GLcqWGPzNv5isOBPnmr7/WKDxbzxhsmsDm
uZQ6arMingrx++swfCOq8NYDBiKx88NG8eK0WskgtCEY7SvBG9P0qB9f2/iDdey4kPSxAljH4BuI
VLdPq4V/AS6CfprpjmlfliI8e33WlDdWA+3femvrIIj/oQI7oKO+QWA4Aql6YcOzRb1G592yEled
nsAXgpihjoR2LYlPhdlr9au79Eo5Ba/dEZ7ZFmIR6c78LfZGFTnUCvw2XYYrx81qGVmw6dBlr8gl
kc8DdRkhXfhz1fgaiVNZtGc/5R/gnGWf27Na1G9Ir/7+6Fel8QD3Ssqpk/IWbAmjMjqj7SAnLvhZ
YHziK3quzEvjDs8sEUHEdpbNk7mmS29I6LdYYAO9JzWlpEZ1Uqyks1g0BkQ2vQcyQwY7KzfNIjHD
czaX5tJP+07Rm7l/aRve5o11Mq56fwPBBuvEr5RQzSNYmtmsmaUCCbe36pa+flstm+XS7Y2WVRGK
r/IsNsJZMmdXpciM0oQaB+F8D96QlI+O2d5W+Xu7k8GUaBKH3FAEIiU11Tmd08BoZt2sO3fPkLi3
l9bM17VlsoCg3nmjs8+mBtZBZBZzf3bjGr2R8GwcPNfjXD09+6mcZDvFvp1xP4LU/XbyncA59a1V
slfys92c7+9ioSeq3+l6aIXQ3wsLZTsQtdJ6r/h3uh7OWPWtIuEqOkjLb6frVajGR31rZ7nvKAhX
voPQ+pWu79vvw4BwQlMDtQH3lr0nXY969+rvVdQ7LFAtDHfrUCgKUKBx2kCnQ/gqTtKybFZRrXCz
qi0ngdAfxEV1n9XVNZVIe+o1VeSbsuwXd0WsVp99NW9SkfMo/bo1e88LaKf+qBdmA26gKQRc9QSV
CGp/BHFXFqtRm/jcgbA1TiO0sv0uskTJYupACKQAh6Cq1fKOVWCXiyzUilRPIXdpC6uDVLMOPcKi
B14U8iWM4ZQGDgL0uSOShuYtJdYGtRJq3hJMuzrxcf5UaNQMN9yAvweXvQ52IeTFHMC2LVZKQ2zb
oE0XfK7goIUyK1gbE1G1DfIMl1ma6BhtXdH6sjIPq6yFQoUqLh6cJs8RlCslxMgLMO9FEToyRLgz
4tumDXG8K7/kp2HOndyAyn/+JYdCAT+oSWO6uUQv3MypwjcsiX0YoFuazAAICmtDwQNRB8F1u4bk
QL6CPCn/EtsagswzZMgSkUBS9KpuMoiTWCj49jr8u0YSxNgR60NDkLaAtQj/07O1pYmJ3NiQd7Wj
VaR1aIV8p1xFeaa7muV8ef1Juzr/6Ukc7mplcPEQ9KHRBussidS2SzMnXmmJrK7TOs6CuVVokAH2
E8eU0zLodEVutRjCiaQO31o0u6qkfzwslL5GR4GuoiAdBo+HQzouVByE7oqlPlmHXknWftDzQLow
N2kGvlwrA/TzOkhrLFI/Zpsi4Pmy5q16DhnzTNaV2ot93WNR+FnJEqwYjta2m0SqEgOKxEKmEx6r
GaSZaVe+z0p75J/1YgMyiliFvTowCGRakogQS7pAUBOxdrMih8SJ5BcRxNHbNrJPa8f1f9gaT86b
LnVmNFYbV8eoYj8hcQeVIK1jM12NvWrjZgoEHUnisLcCV2QPZAXKhBRoLsVBtvbRmN3lRDPNlTOn
UC48NU0srhkFd7p5UzQKnxVVWepZk8rXVdgSKBJ0HEg2IAgyQAkDGFgJ1v0gDT8lAQkh1AthvK+1
F8bLNi8KkUCN3Wea+5phpZEFmTHPc4VbKJCHtbwcMnuJlF+mEmQGbBtxT0iQMg51XDnhgtAi+IQ9
+8puI6WBigSWrgoo0SlwKCkGrTBMpNtikA1q2XVCrjXvPHCIdmfJpXrqUA1sUrupOIS9HTXUQba6
S0nL2hBynlpnoJpIRuc190meFjdQLQhR8jos2MzK03KpWhjfpg6q/bnFJCh46hzf+gF9HzIwZKJU
+l6GLDSSJMdLP46SJUp58OBCvQXseyX0b1xuNUxUqWqfZhbk7lqYhzlSMb+EcoDGVOssnSHUoMoM
IGNr6//L3pc22Wlr7f4iToGYP16GPXb37sndtr9QbbstIRACJITg178PTuzYjk9SqXtu3TpVb1JJ
2WXvhs2gtdYzycw0GXJDWFUK5aMVAozKKoe6IAmkPqDUkDnvXB4Buo3bt1a47EzGtH8IfR3up5Q7
BKSdWF+SSI6lci1fd6ZJoDOx1n0hqp0/K9r3Yb4S7U4gb4mhO6u5xMsxz+VCzZTsRlmxotW+gIyp
DzNgkaPEhRYG1Izi3Mnjao6B6IOszgLdVrmvnU7sx6gpaTAt7t3se0FRq9FtM44nSe98Padqb/3Y
XkXNurbV3QSaRYhsqdulGz+xihGyvlOzY2PBsnTEUi4/QubDtT9mk56m3gU/rjHbntJ6WPcmnXR1
FGMNWoSTVj64seMf+bKNpCD8oR9bBje1uF0iSYquqlAPddvMA0Cmmbr52GqvurDBjWJ5aJYYQoPF
tqkGt6N9PFFzJT0159DLObvIYby6GLw6Ec2HpE82yrNRYte19Zhm7YDiVZXW1FHuVPCGhwBE3C7I
JQRdIKrTaa52cxu3olQVuoJd2FEBSeoaYsXsSBNMuWCj04K5WKi6VbUjQMfQOvnsTCau3cKVRO/r
IJmSm9CpaHXq/FjHIc87q4Z1OSgYUUGxgraORVkpsw67dFRdvVvaSCwHVynRg31e2jqPbbi0+7Ee
aifHbSXPTi9Wr0CyYCMK/OeCOOKuo3DJu+6ZC5GKow8hUVs2TEf366R9f8cdSbwzAzwcd1nMCPiB
ajR994Bi7J84XUmzm3qcAZQ9LV1LSJwhkEr4AspJJAsebTCr/VhUnjedRj8M24JWPp2KuDO4nXUM
sVvWrdxfX9sG/r0iwQmIwl8EG46eWwcHWsdNlJOmGfyilnVVrFPVhJkzj316y6uZB7lfD6DbRc9X
5+xWbbDz+opCEc3SuC+9ha0gUGpvpmWTBgxiEPy9zEvrtMPjQ/0ht3MN7hb6aef9iP20Fyer8R6R
G2/t6rXOEhM4/uPSzgSsU58usujSQV+HU4eSRFXc4AOp8HG1qpp53TuIGTt2GhbRQu48hysmDk31
Y8BJ+BLaSlRZ4uHh3U2djf1SRWuNk588Lgqw/Y3Kk7kqaxDD79p5RmfBKTcPCkKRD/3I/IOJZ1qV
SRO6JOuSCj8nbCW3u2403g14XD+4Uzr0Hj3t4G/MkaOSXHtLbEtDBK8PoyVkPnYxVeRSO3H61LnD
9nByPqh93Cqmbu0S6CR3B3A6GZs7nBgYVDwGqGDpk5+4eLoFVskRnGhq5VGrtCK3fJya5p4kXRoc
bcDn6VpbvTWfbLG3YeNEtpSzwKGlXFeTWSL0unebePvy26nPWJ9wXr3wboKww7eYhhCXijWyWfO0
MXh1+pY29V03xnjlxwldAcWfYU0lumOXwQug9wTpyVzc7nm007VwGKCJ2p0Gu7ObVLhczEC2RQMv
U45vhAXEpt7WJ+tOPFXET0+JqaEdSxg0TbldaPQydz5Ow458ufe1ddWZos3lZwjKGv6QoFrsVed6
N0NKh3fQD0dDxgJWk5NMaDqdKyapKZYxHiD6ixd/30Pt1+RuPCwfm7YJb+2kXHkY3MU0z3MkqDqI
yhGflzXd1pB6aEFFR4gMK2uyMLXrI5E+Q7svdmLu6ZDFAZa5ZZzZfS21Oqei4WERkpFA3deGAcoR
I+nTyB1Dy5Z0eE1WKJ3ARHfSG14FFuTlBLcD3o15W7FLHjq4otaspkSRmaG5HScS5VXaaoNK6xsX
rffA34+pSR+dBW36aU2hKv6kVbcoqDq82BzrmeBHWeGxNQ9mGtFjj9sy506TRrtVGqOv7RK3D9xA
CJbE6hAIa8LDOke4OY3rqXXft42U111kgytHu4Es2dAJc6bL3LNNeSDYIzoR9clNOywjWDqVgZgL
FoksnU0yoAosw0NLB69+68nVTwA+oANb3vTad1L8MFWN0CU4UNo6VT9/YNR1DKRuKmqOdep6d1Y5
1bofJ6j5ynqd8JDWRHP/1jbtGt6IqG/bbOiNG10HHjDFfEF3o8qZ9bhrc9LVsESsMXShiVJt6Vnf
joVpSTLu12TA098ElsbFUi2uyqteRcPzHC7eI/Q9eNZQ6dInPOtC3XZp52GBJX3KdwmE01BYT+9I
Ms2JlzWNid+EpBvmAjoeHVwHVZuY+6FS6YjijicaJDJkhzsMDou9qn3dyKt47Jl/S6zbRsfKyhTf
y1qHXjej08+FUBXWDHRjk75u2wrnP6YNbA0saVgxW9c9LkOA936Johgqx4rFvylx/tMYyXUNnYuS
n/XP/oYfwJb/PhOEi0noWxTVn+CU/9P2dQdY7g8oZfNdhe72qW9wCqJJAuLDBr1ttAGj1HdwCnae
jIGxhOFvoAmmkq8GqgTB0fgHscJQ6QLrAML5FU5JsLU0VHKbXDHFhnfwTHy1gvyAeME69isA409D
B6I0oLbDCcK3GWB43rDU72ZYOsYz537SXhxveEdrjVVxaj94S3hsPdFlPFpziFvLGNIW18S71adX
6TLczAnUgNUshqOoB0hgqZOP8UR2NHR3LjRMc21ImcRyyg1drlxdFZEj0V54+qlOSJ+3XnvFwqHN
jTMe2ka9iAhitskLPkG7pPLeETSnoT3bxHxqJm/IkwZuJNf3y2gxEBgv3Vq6k9MWowhtgRdQ5/GU
TnmwuFGuZbfsOrnckiWEXp2258mGUM9R/dbHOFVgZfwk3eiESbsvBtv1GTWqyQTcBiHD9NnF6e2a
es+mWimsTnWDccuZszbW+G3E63ylPTTTgkKmVB19qndLLKts2JTGZLZPK6PXOu7OfdWfGb4TZIr1
CHkuuZ/rpjAUuqWmI9eVRx6rpQXhDbtnBjEssBRlMK41TpIFgX8Q/lLnVdI/J+Ho5JG70InmoRlq
+qAJ79+jIXha1mA+Q2p/6X0NpN2DnpEP43tLsep3zV70c5QFUyizYIYxbfIrkrEquWaUPPmD8rOp
ni+QW0Zl00xrQcKVlmuKgkvHFPi0nO59h30K20ru0XzkHlqKMwRv2r6g79oFffSiFl/uIdzft5Oi
5djPQj6lHusewFj1zWtN10+zZfer78IjNvVQmDUjS5KX0eM3FZ7vo6s792A1kRcyVuklEJU6LWkF
ogt6rDmODnpcIOxnLjQIQbrc+HzFWldLMe8xtj3PMGnEtWDXvpWvWMrJwZV0k9NGCVt/AxL+06vh
f98650d/tc5tEbPfUvL+vNxtH/663G2RDmhP4ApFSjbYw+/RYx8Zu3EC9YyPFe0LRPx1uYNfFJtM
AUn941Nfl7v4X3jwsbmUC4m2h91Oon+y3P0J/MThgwDb0CGoAJ4yFyf+/WIXtq6b8GpcL6t+HhJA
tav+G6hp+wl/AMJbuhQSqBJ3c6NuqCC8aT8cYe2rqEfL712UdeCdwihQZyr8ZMzhuxvwi4X7x2/y
5+P8BINLx+uHsQ69S9ib3Buv5vjTXx+A/Ahu/vkIP4Gb1Bs6AjG1dyEbhhK8idPP0lny1LmkE3pR
4ubKvOunw1Tfaix+Xv3K4ZClt0Te6e6Bzj3MKecopGUCKxLF9MAfZsEKm4q/uRTeVqL+6ppvuNp3
Jcyv4WOdx+1a+GW1CrSBz5Opc+jHL3NVZ1XVZPXyOXYATOKXSVT/DbMV/wjc/Xap4IlHBBlufwhL
xo8n0CWQchs3Xi6L4VB4eunYXjVoCmD66gHl5ekXzys8s6fRqiyc5nuvxbI8dxKY0+aQHTevLOkh
v95pujlb9DTuW/GWCP80Vy6WaeJw7431Bd/7TQqbVZVA/M95OcIs0k9LRgzGLr0URi97tl5MVJeC
ovAMTjZF6JtteivIbbXyXTW9VVWbUfWoaHLt6zYbm6gwHU5glkcAAnkMuffC+6IJH8G1DEXk0wzo
My6il0/edBW7aKmhbx3eKhjvFsfPhrnDSB3ccX7Nrdibjsg3ImyBwgFTlOmjDqIi4GHGDYp8WNOg
COohKdxEBKVs2ncaYkoh1jFLYXQoGhr8jRDgiwj1j0cErMePL/7PrNFcp4prq9aLu/cP1XG90s/+
PjmOFyibr/QBCu0yKdIcBkkQ9ycBQtS+c47NTu/dPSiLHf8bgfuPhMWfX66foN6gBZAqtkdWNkcY
BVHCRlD4u8H9m+XoV0/m98vRTwteUou1ZQzHcbqsfbSfBprXaJJIEVV/8xL8ZHP980vwE0eQ4pUd
/bQmF+bn/LaxxWTzEVieKnma08v8d1/tVyugB7wcsX8pcsDSn1ZA6DBtHLc+ucwcaof1g3Fu/3oF
/NUC+P0Bfrp2blcDEqOEXJQpJrgNZidXUO3/3x3kp1U2tWm0LmjRL6k5r8NJR48kev/Xh/hVSfr+
e/y0PC6o1SO6ZHLZTAq2nTM3uk/5TQpp4pcD/ae7o387K24H+p6o//3A29j1/9kL7+Jh/osxULx8
kuOf+6LtU9/6oi+zHrauTgKYzUO0MX+w6thkEf74CJPYTzEayb+wFbKL0J0tOem3julrW4R4PA8b
h4EQhHseoafxP2mLUJx/KKFf1kfsFQg2Ey6vOMHegT9WMNmHaxMulbq4rf/YSPVAVHiGfOSusfA2
zSZgJ+qCmfGCA18WXoimqXaVieZc26nK3AGGmHiZYetcnHs3WNec9bGXwZkRwQXt3Wl3ACOb4md1
sWRly3vvmNKRZD1rH8YYltW1k0nmSXvtDFBnio73+Qwfau7YsCqAuPOyNQQtlZ6HG7cTj9iLOLyO
zdpdcfLFREIG5FBgAiFtvA8UIjASI+c8YgzFa+weWZcgHwO6w8wd1XGAvQollJaqAaAbB+IVtN8T
KBMna0l4kL7z4KwNxN2Dul43dHQN6QdIIng2wFOej3KGVeTIvSuP+p8Mexn9XKf0IGVFi9lM6DTW
ieOKNG3RtbYpyKr6sl/4y7xiCrZ6/DTp+eTpfs5SF18I5uCjGpPbxYEBdulKZ72atHeyQfI+5NFR
ulDIpUsIr3AcXo10vK2FtVlgEogfrHdpIphLqTuVXgJ7AJwBsChRqo7xGLgZiJB7QufgLnXYR0u6
O9UlwEFbv81rj3k7shmAVWy8HbytU9lXEnKxBsafqoF5f3STK1Kz4zLVQRaOrOBJd28bhYlsnbxy
8MHcJgqBKlEKSi0CjlrSQZsHql0/r7z0mTqSZ7Lu94PLT6qJH4N0ffEc2u3F0mQaUyE3LC0kYXBE
gUrJ4GU+zK4heaSHk+/hu6zjsE/R++RN5XXubR+gwUyqAQdG1ewbeVmD8WMNm9+RoArgAX9JZS2z
kcMlzxrv7TiY6xFUUOEkAbQNs/9q5+nVxMuyU9r2MJQl1QHszAeBVzSTOJW8QerKrp6nhxBOsrNI
3JPh/F2/plilPeSJSIZYBudqWJY+U6jA6NsqL5NNNWejUjear3h9zCOj1YeBxcmh88GHcUc8VCuk
lJZMz4MfH5tBw5EUyhNSTVqgBJHYJao7RjR8MzKXnYzuoqzh6wN+5nw1mNAAHpey1DQa8y9UiBnB
aXnpdvOsv+RuVEWFVwXPSvIxNyuM5Up13UkRVGPrxDEM9PWQtarV+WqVfEvdih46xsZbHoVpNiOE
wnaLB7+teErIyjOqIXY33MsUkTVuUN+VVcsnIOFNjbddk6OqJcskjxhiEaajuybucUjYMfZgz45w
LtkQ+UuGZVHDxASKjesVfWl3CPRw4E5UcIkpjHOYYfrW8fCmBToHU2LhsmRxkVJV6MAD14VfOEF4
y2maSWXeeJafw3E6SR+62GB8MLGZslWJPXPQ5XeiWrOu8W6Mnd7UMkT7s7BbEUx3DZ2fksZeI0EC
jTAA+QZKnUxI/gQ2+xRY97Ao9aiTyM2GCUp1V0o/S1t71aihjN1R7sSSqIyM9roa/bumW9oSKRdl
TPoTmeAXX9T0OQir9zX1LpAM3EDhcDvwGBCWUR8qJIFkU7O+bRm6+mBIkhJ0znslYsC8S4WMHdI/
ShacrdPL0rR4aiBpWZonf+LhoQ6izt+jGyIlkyBjw1oW/09q+H8fwrH5lv99CQelql9/UcHxoW8V
HGUaqVVQQrk+QWTB9xUc6retcMIZFPuQH6HD+h3Z2CIwYa6BpOO3Mr35y7+WcGy+DJEH1HIhLDge
NNb/qIRDRvf9FLyVcHQIEVR2SGJEgNt2ft9Pwaa3Ctw284E8BC5ebnOclwCRMtz3gYUNO+nD8jrq
5TlG+EihaPBx9JMrjWerCDf6isNYuNcjEktm6Wad21073B2zZO2nwiqDvIpIFUE6Sjg3pg9L2r1j
NS3Bqd43Ad93iz4Rn9wPPWo8H5YpS3uiEENFrjoBdpg68RvVpMgaSAUSUubqzSr5cwjWHOvtavPI
iktI/Ys3R2U6yFPcDscmXP3jCstijrSDJDfM7qGwK0nSf0Ya1/000/AEA/weqU0fknrJUrU+WeR3
ZQ0RBKkzTZNFgegKv69y1wKKjnv2NHvTe/j2gpw17EAm2WW9QtSGYJA6aKy3ed37N40YTm0T+Nk8
jp8Hw7zMOhIrZptcajGiM6HDhYemP1mhwQbVqPqxwBzXsJHmqUurGxVJF+buaY2yIVg/J8TAdxLE
H9caF7evBLsj4JoypsZXpt30msv2GKaAKCrSY4LvVHJRtRVlHM+4axODVppqmkPRPoN/xrCOJTna
19s8HSG54RDYmN651Pf2a89pNtC6RROFwR3KEpnVwqelu7T84Pu2LZ26JrCub5qxFQqoyIKhxDIH
orPyCs8uwHIDVe8Ct692wey35Sg02WsJp2rn8yukdp1XzS9N5x31QteiFslnQAtRxmMM9I6qfcRd
LLxEnMyybybali5nyP8IvAUxYUO61zwCkg47/T4l4AkFHSECA8N+D7w32U99yEpsjsoPrltVhTGt
nynfd+5a7ACRiRXfdLBRlNWRG+0S6uicL3OSLZL2pQPeHkRcU59ClMw9JexxIeoWpu+uZE6yZFL3
H+SW7VEzhKgsQxqc+hRLMfU2reO6XaKadO9nFfI3HUQKmWJpd1gmCDuJpTJrqw5AE5KJMtavFci6
GNd4dKZDMgOVZnOAJjie6k+NqGNEj8VVaaiA9x+JN1PYllXVocqCrkQITwdDfuCLDE3JlDkwGyMa
RLR5ZHh0t3r2jluEPcyiKRXhHiI8SHsDmZM+gAn/rDHxas+wne69KWvTdryuwWrmvo2KdhyiY7TM
1VXkxGYP/C24J870VKdSwxyuJ1vtGbEeFOFT/3HGWcWwRUEXwNtMJWzYw0X2iFgsb2cZjXLXpKdO
IOFmnhcvS82EcDq1ZD2EcVD10LLuOufkBO6h9v03BuU9Ryzeoxj4Kebd7Ryr3HHiaxW+r2JynmRk
3qItfp0jfWUDx8k6EAFFMk/z1QRJyyFNNc/qEZwLbdwrgqOxnp2NCT4PUIDk3gqXPwwGmUnjpzWB
gK/mK/yrSnxSMVR9EP0cJV/uIJRGNlYNxRkzftGJRO6b2oPKwbCwsIu0manRDY34650CHxUrP9wt
C26hN4jL5NCH1lbvXTm96wMsD4nbmyJuxnM9ey+2iSIMDoirMUrSnTd5iOYDCNYEY2k4fCbx6gn0
WOZaJfPzhKz6InaC29TGSSZF3B2TMMTf1C5HJ9CavNfyPHH3ALK4y01Q7bgrh0udaiQFQRAEl35a
aDu+qgoevdDUBfRa0Tuk4YmwlJ297oj+KIMY+T/hW3DE4bEWsPWO6wco26DfkvaAL93uGIHmDBlK
RRvFN4xjlUnhVSYI6GlSBzFF0js4Q3RYkH3ESQ0VYL2F8ogrpMOgk6/bDzpJD3Hn3yDvYu8Ew55C
t4V7CkzBw+/DF5bUda7q6bOq41sIQTWCK5ajRoZMOcVt7gTNHbQ2DmrBFqOxnJlu7wTyt7yaPbYQ
D7OoO8RT2xWTqB9b5PlA6DBmXaXiTCzrAVb7q7rNE1dZaLlJjin3tZq6JUMdc5a9SohKMBc1bU6j
7t6t4ZX/397IdTe+GvDjv++NYBp4we65L+oX/RE++K0/AsKx5Xwj2NN38T/0J998A9jmGMl3vzM4
4cYxf2V+sJvqto+qC2EudMU/EN3Y4X5rZUAZQba7xYj+o/7oJ9sU+qPE35owHMkFN5P+bJrsaIJC
YhKEFbktPfToGxgFzzr683mKzYI4S6Ku7ETk3ndXNNl2uoUXHyWyEx/GgMhCOeqAISIsUx/RTXSO
/IwHbMhRnOHucWZSMJ0ga2HYksZmK24Hmj6zECltZvTh8nHXM9RhV2MYHBKZouQ6bD8s/XOVUJkj
jOp6HRdQpLIxByRtnKjgyEALwtMKFBcESnwdkeANDRHBqevkLp3jpujGGtDK+ELCoIMIhz4ZESKp
AmJtyBNjkzdmvY66+NlWULF5vv82beVzhNSCtPFAGbWPTiiudTL3OQRLb7qxwmLjQXhaIfljDe67
ju886rwjCD+hA90BxUGkwdhf9bF8S5LoxmeCZyy0e2MxYeGheNEtZqPOtixzYl0idI1lyFhtC3+0
iM2phqVMkm4qjTELtMfiMs4WqjnqHyQjyMuZp5u5xRxH19nbh43e8WgA2oAUsLDxutwh661fRR+J
7h+badlBdSMyn3a3Noh2CxPHGiK2rIrVbTTFb9hQIbYhWN5GNYj5eg77Al08Is66Wu78elFFR2K0
vOvdaLt457H2ZL32la0CIiiNHBc2wm/ekiqPZHrhJiaIbYwPNqEPw03AjhEgHgiez9HCeY7dZ3Z1
bMCzDxAo6ZWX2tdmP07JWxah25lAp2WtrPdQVXRZI+THJo5kwTW4bTJ4SH2C/MhFQ62XQw0eCXwI
/zCO/ivSkl7RkdMDHYKbTbplDbJLFteIki9t8OSHDVSqwJChRQDp1Q0nEUbHNvSgh2S7MaHAByCV
LRdrkSVAo2WffGHhu3DS5Wycu7qfP6VrM485Iot47gJsWQdkzsWAXwJnIPkAQCaNtiGfILwPsTwJ
kiKTA9kwHDnaF4g4H2tXFkaJ0kVwDPQNqB6AfqRv/JxtaBBav6GsU2rLJgZbhUE3RikHfqRbzAt+
2N6nBmYUUvkZrAbHLo2uKqO8TGw4FOIY8V7E7VQmwA13/oZXRXjTd86GYblQg50XwFoV4C1/w7k0
AK9kQ74248GxV/guTM9Qu62ALQIALdRdL1LiTeEbioZE3dsKsBoTrlv0G9IWAXJru+i9BgSn5F0d
BEhABDqXJKI62kje2AowugGClxL5KVAtICRgeyIQPfJbVFM41mmKfoMA53ADPgfEOrHV2QOh4et7
smGG4xXnSNGZy1oOSz5UeAyMqF6WDWwky3BdbfBjBxzS9sGh85iDXpU9ObR5bSa8MgTcYQl9+E6l
kOBssGYKrgSStvYREv/P6YZ9Uovnzt/gUNnRMoCzAVZ0YC2GDt2VQ2x47QFIdWox3FgDySxE7byM
07VCshSQ16mqZE5HoLFsNtdmbBKghEBq27R+YCOe5jCg3nFsOUNWEu44hLSwoyzrnaz6CPHJPnpn
YWBGBSTsD+OEDh8vFluHKnM25BgZvtXOLJoXctDBgeF+bThzA905dCrDHRJRzy2gaLdykQgKpMMj
5lRt2Ie/rha0uhxHfumtN75t0lDNZaS6iOdq4udpMgj91XBAEoB4VYcI6Fq9S1LKfmcW/9Ocx38h
XgK+7S96AuSuq5dfNAT41LeGwPsXknqg20DQTYxBBqjIt4YAW7uAMdzCvcLgSwj4t4Yg/Rc0P/gj
KJUh+kDx/wMwgSgOOjU4z6H33PiQ9J80BGTT0H0nG/gCmLheEngInts2Ekq2P/9ONmDnikIEXQWX
Zu3j5bhGUvgfDPN1dYHA1hcCAIhDDkm19a4Te1gCEOrIr+lRNiYEX1ZRncHv1JQI4gsKFQr34M5I
EUysD8TCyBdvWREcGtYviKCEBdiHIW5U0bkVFPrmit/yAarSLWanFwgYMQmUrcmyYo5KgbRA9FbB
/NEY8I4CUaKjbgsW6fPU9WnmxfWz8aI7pMfCRyvGXCJAyKz7eoB+z7gC+Rpc3q1AOmUkj1gAw6xu
JUT7GsGeKbS2mLDWl5SPdxHSBA8TpjtAnOSWuLq9noJV7iBn7wo42yWcJMNnv6IvE4fGTjhxqZdX
FO2wgJumNI5Pi1Z015YEz31HAYajmzjAdyxydFZ93vSIAvYlGq01ScfcM/aMZF9eknF9nZJqh5S+
LUV478WQ5vdyrxCuOsLwgonXYLrsm3w0/qtGu9/MQHRTd4vOveowDqwhbDATrRAWHuvcYGRIttmh
bfsDkhZLK/lji+FC6+6uH90zw9AB/SxU2KG4M7il0zaXuLYeu712vGSXRP3JC8UHhMqBGImrK8y9
V/BEIDkJMz/ycH0y3nkWmMh7PraUlMqXtLtzVr30e+FhDkE6rPsW4eeIJ45M8xGJ0BigxxlC5elj
qtguJilFthf+uJ7mV5REhDcom2bC2INe2E3QVUmJznHZDZp9nh0MPzxZ3kUuBBSrvUO483s4506u
XN/VBqR6FCq/jGnwqSYWkaN0ed+yAVoX3cOr5qMhNPBJhS5Q9nC8g2D8EI8Jkmni4XGp8bWQWA/K
jCaXyipE4bMVqHVYTExjyGyitNTR4h7W+LPHZQD7g34yGtp30UM9gJCcm4am/j5EmuIIXTZCpZCK
DJdo7kj2kTYD8kOnZd0lM3g8vtA9cdS7epYHidcm75LOZvCiAENQK8gMCDA96LztHFSgdJzbpXLe
jto9RRBSYRblb8KKQUfkkRhkFqgEWOOg3D60cRODJJKnDqt/xuCzmbYILhY1nxXTl14EL0YBBGlB
YzQLvwG5c+59ZjK0c+cOpqCM+L7JOTiAkdUIRdBm3g8Wgm8N3RPStbH1WZO8W2NZijY8ugpm/cbv
H1YnQnvLEtjhSPgmdtiDBTPppvNbpFnUx56lx9UO54om/bmS6m0EvAU20gcnio7MTy4OImaZG732
wXojxHhoJJ7NNVoQ3eZ1UwFP3b0xwCtgQ6BTvR85S8vGpl2Gtyd6r4w6MsKn+yoxWxp0uwMmeI60
av533P1dng2lx1+Vtk5/2aMSW5D/osDhs98VuHDbTxTCRATIQvb4Q4FDnn34lZ3fYP8/Jl5vIxAQ
O4+Nz2BN/a7AYRtjqMiwEX30G+H/zwrcxnD8VOA2pzAmXRi68e82kX9f4FIRrwh1DM2lNcj0rPJx
kO6ptV5w6gC+85xH4s3CKQYH61wlHdpHHgrUGx4VrHNQ4TR/tFSfm8Q+GNdeLRX4755FyACdE/hW
6hV2QP00I/0mFv4xrCN0m5XMhk2NbO3/sHce241baRd9lf8FrhcuMqYkCCZRonKYYCki54yn/zfK
LrvK7XYvzz3ogduWSDHc+4Vz9uHr25nrEYl4NFMuZ8xcuXId2jNn3NIRfwHehdn8LaIhSuACQ6/b
1ImouCqgmcaxzcnLyIqj83kyWY01qT5tmIplrlKXd7rJchOonUprGKy1cgawNbQrPaj6dZ37j6kj
XbjcLOubxjWi4c3sklXswzQ1pPXOQi5ao5J7MrEerTDM77XR5vxgaIvB7skM9K1tlTNQRs0LOZNW
WgMh1OwNty/sXTMSKzLpPZq4fnybCv8tA8KtFGHF0dk+R4oTrTM92SbJuGdUnHtyHGq37hmz2UH5
EaAidEeZP5WFQfezTCj9rv00fXW+bJLpNSoNyI5GhMPXULMVQ9iNyG15o7KpcHX8oTBJObQKLo/t
MCRHaVQ91S1jBqZ9devhU17PuhVRl1uFl06ask6xi27skCI7cGZ04NDeT5Nij27Coe3Z7OddP0Xe
2aI1WdVNErIkwMM6KSDOc6WJjjR4YLqcob1VjX5+QJsRuoWyRAU0qXJic403YEiS56Jmi8po1Xyi
HcxumlpW59BUo70t6/GicnyalCktDviyaqbeuh5f+ENeLrbE8aKr51RdzZniv412JGx8NKLa56py
nRSO3IThUN4rEy/81gfG8CJiJ/jSbRrDbIkhIceh2yQkk0wZYpBmCSvpl9iSpsbwR45Jywk7gtOt
yDdpyDnBm+msRdVd1ksEir+EoVjgHmk+CEixlqgUncwUfQlPqTIF6/oSpyKdI37WYJUsUSv5Erpi
LvErs55It1giWawlnKX4ltOiRrfWr8EtRLgUS5gLy5D+wcEVuzepsFfhEvoibOJfGnJgxiUQBtOk
uwC4f3WX/9un6H87u7wNyTH6i2N8+akfjnGNFS2IA5VZJCveH45x7ReQ/TQI/BuQRj8uduUv9A7w
UWwT/RyVA7/wt8UuO18UXswsIUOQTkqT80/6FOM/tau6Dq8DaZZpMA8F3PHzMU7yuaKVaZWeldQi
CEeHPyz14aG3zGDbVuIKf2WNyCo6JSmiiXqydxVBRGQfyMbtR/uz6KITRNU7PcnTdS7R3U6aQ6Ee
IMOwtR1fH89scbyPcjdgdM0ydkH0HPiS5XNjtGsTEPxKI6ECiMpraMWnqe0+Lbr+wdE2NBSwr2V5
qkb9HW7MNpiciMMS1AODhW4Xl/WudpxjEwebQjW8WY03YlH5SKO/MJEJA225HFRw5lOtR0iX1dcU
2TwpdE9QRQzP8n1spkSXbGvI3Gt6RmD3ZnMwRlIwbPw1rSp2jhZjkY5v/b4t16OmQcwux+tc6gHt
SOnh4lR2GU/uqFkqiQD2wIA2R1IiMuvK0dIP9E3ldlLReEZBoq3E5N/VafGVlt3oKvnAjqqJTzgE
aYYCNdnkfZku+jaU0mMxofKyN4mYDqHR5m4wpPctbp1DVrHHsIvrsOZSyG3nIAlVWFlGe3LyBWrQ
bdV2vI6wOG+6WTASw86CduZLCja8gnHWGJKhodvOcxzLGyCGAvU6gOku1bL1ZGp3cxY9J3nlDmmm
rSI7sZicRRc4zY5xpXw1zWzuiD3RXTXqpk3YcGRJX7smpOsxjHn+wcQyaQ6KeW0yYOpMZGklJl/A
B91nESd78MTuENQrfZmdTq1kD8iOK1K4LSefWrTIwyd/ym7GGrNlYROhNWvdNgggElY5m6sWqro7
sKRm1dM6rswSfZsVHXM3+9GQPu97060SCZdHycpn2UUXbRxdYLSEDxFIew14InJ1FZ63g9WZxlND
JNSWW18rLvPQuQCIbe0Jq8Bb0ESXSlw8V3EVEd0F07uLandkIm4OPFGQyLBN035XSeWsqnjLjCHb
JdI/1kG3b/LyvhP9tmjyU1gUnm7SkNkZFrSg6Z2Nbg71ykzJb7CV/mmuos8GYZqIx+0QlZMb51W6
ys0lAIG/arLOBVsv1mn9rZ2kjMsPFYSt/uQLcACKQwBLfiWN/Kz2pFsY85XoTIfbsN+q8B5WXcfY
oAgxYc2o+cwYQ6vIIobPIsRb5pi85PxS0MflmiCQDOx1B41U6b/CBIXhmGmEaZTLVzVp3kZquKGw
vyx2yEQvVPHa7xxnK3NjH0oyXGZfz2rmjBqG2JxyTIgx2Bij5q/hVA+eI+ABAWlZBWPYHgo/ib2s
1z86o6UwC5MPBrtPKBzfZ8yDwLzhzQfacJ66pdmLzH49tWYLpFBl/IspX62PePDaI2cPq0W7tNia
V4xF86zdG3kWm57WkWhy3ytc3ttQr+W206eS7xJQJRj6Y03p0gWj3Ni50MdV1auavdPx7DOW1bDz
XwLAmLpbR8lkezs4tdAw/HWAVg1ywZ7qWVf7q6Qtd0XQynXJ1HxT6InuRZGBUkJBjVgHN41PK9hC
uND1vPNqUY9bW5hHwxojF1GvTsqH+V4VRbNKWizlWaw/MT0iQaRnVi+V2TxoBR/mJLexmOgMnyej
eCEl7jWMa9VtbZwSWH+/QLqQXhIiAgEPp64UpQcM35LhNCFJm8rGHSOcxYDST3peXwu/Q3tYvPTR
8DULYn5GxsQNQ4hVUBrputHGQwjtWRmyFVbG1ygpbswICWKrLgoK/FmrtiXXRsVp1zgXIp6e01D9
mpFWcPwTqNZnwAYil3A6dRpjV2ct7Qf1TTJy9GC4W42jO6bHFFexkqSIT8fiFVowTSwTrlEAo6yi
mb2Pml2aVkIckuEgMxHiWuXGdAfLQBqC6x+w9NGBs7DmVSjZIJPJ1hRKu9X0nrOdeRp8dWvD9ovv
ki/uWqLdjOBRrRtG0mS7uKFYpmqJM/Dg1IxO4uw07JlonFLb1QZmOoM9FlfZWA6sz4aLkuXNyrZ7
4iqkdRUN+alLrQzwtX+FOZ2hdENf3b6azjBt0OXcTqmoNnOGTMV3uECMuLv3u65xuyF/LChVY5Hw
HLv5qasc0rc6kzFgSxFtKCqu16L9bBznngPaU0p8P1nYrpjw7yBP3ld9hJjCGjHBIooctDOC3RvH
KN4iLjqmeMqlrrRHYjf8dZ/r/taf5bKFqfeBYD82tUOwUg2HFVuS7B1jAiEe5OvYVqttQ0ezjvSG
tKfuTCXiIQJg+yd3ZVKFsL7RsU6dzrpFYXjIGLQivssHORjwb60+hiiTEDojhNyaamjvW17QNYOv
K6VE2Wtb7aHLkadUpnOwmvGedC5lQ1DTKeHI8kQ0B1vkIceUPQ1NFwqYmm/aMZDq2ZQU3KJBDt7m
SrafVbQ7gOrlatIqnxJaA7kfncMufhDYND3ampzwIZ8Dzhh2MxbZFYvcs1rDsbelBhalGN9ZdTxq
RnXV5OindO19ZPVTNuZTkQRPaH5Mt9WivZ+VTwqtmYYUdLDVIzkIKAQmyA7pAukZXoMs3XaW+ukk
84GxCgobq1o5rXKb68shLgyPsz5c/ysZ+CYZWIyd/32Gcnqto/w/hyfLD/1edZMeqgPVt2ybMQkJ
4T9X3ZzgTEEAYakoI38cnqDqWKybtoJ2ErvE71U3maM21CyCazXDXJJq/pEvHvHBfwxPmJosFB59
eRb8wp+rbpachmkKFoXE4z1UGnrpFFLYkvqBpnJGp12ZW4ni3JjEuh+dh6wgWE3pqBEzx7yLbf2k
Fe0+w6JX9TamNsvKcmcTLR1suvSyBU1tIDARtBxgDi6BWLyBUmKFlkutD4+kNWQjCXSKT/1BUB2R
aVj6GMJfK3mpuYT+3A4J5ny7n64cI+WezDW3DKl1qrG4mybxgOj5XiOPa6WooI+VetibYroKI/sg
LQR6YfNezxjek3xYBbFyU8YqB4l4UPsmR8nAANRvk1Nf1gmbwPxrqpmihiRfIJkOXLUm+c5QxytI
I69VGo+u0WudOxXhB2it2W0Vws6c0d4ESjusywKbAetuyyfWSZ/2w1iINWEcR9lZVxrTm06Gx7mz
1opkL9xncPvY9R3rvnwMFedZ6KSo2Sla66LZtEb2kESgxup4vm9rAr06WV5Kf9hkZfGlKtIlYPDG
6col6DS7KINsL7PpIWm6oyj6L6U2wAiIiUASaFXMsPp+JSDBMblKdlUjSi5nSFJTobq+qnRrQG/2
lTqV03qeqmTNzpcUL3arrcNiuojJ+MmUSUD/gYmTMwXHpW+9E1IHJkpO29ZHvtWMkom3uscXvaPG
u/LTOgfWF02nsKqrkvrR7LJti1OYwXsK8qmt101jQOuhlNUKOpYw7xFj+m8JEYpJOgrGXiO15/ga
mIhOl7qxSJcIWDqHIezNVaiJV6UOYnYn1JUy0daycT6nJLFPDNGJxVOazlO70LxIB21Xxnl9Sxqk
fqm2WXGUasDNaTmxO9fdLuxHhhNmqmO/sVw7yyS3RtQiV6jMyy6ytyjb9qJqHhTD2Cmd+jD01Fhk
OCku0RbyUivV+KLM6S4CWvBNaEDC9fuYlmpcOFG6WEJvpXJZjpp6HZE/s4u4mBwUB9MQHLKEVdVY
qa9IhAwXqX10RRD9QBuoe5OdeV3bDC7CzXRtDPnb1BD10kfcCfCinBYeWsj7GadTeqXryEVxpv5w
qJ1/9Y/+iP9czoA/XKW/Wh4xxEJENC3LsRdT148D1lIb+yQVjrxKMxijH2xPhmz/jx8CrZKpgRfl
JFS/zXh/WFJOZTA2lNQsKZu3LjlP5V3u/GqO/Xc0JBmt/90d9YGo7S8uKX7q+yX1LbpW1eCzUGYx
f/lxNKTAdWF5/YMd4PuEnzH+8nGwdbC3vwJvv4+GNPMX3kuW2/gHNBhRwHX/AbxF/4aX/eMDyArb
1hcSDMJ6Fgkwef/0ASTebGrUVgZXvpN51gTSr8UEgNWlvsTY/VgmYlWOdN9zNB0suvVtngWntOh2
ipSfuuir9eAY61AbGvq+9Ah+yF/NTnzKwx7mIYV8HpEf2xY2bWKWPjDWRiYcOfTFUfkuO0aVrQ1l
GypJL/tnNtEsCxPuhUXCG4QvppO6AqjiA8YgBVVZcgyywQdgaPQuT7vwui66LEDuUairzxTpCDUi
GrxG0xuX/acOHNH/6ofmU0sNk9wlxdzYBU0mQKbbIgmvxyAntmZ4EBMlnGMG/bowoplpjHEwIAG7
HTHTq5JIbpQrxZttxO/Eal5msI9X9cCf2DHp3jSlPKMkInczOBXlfIyLqN/GNardJlLPRhyflQV9
GUXUAIPdjuvU1O0tOgBumGZ495uYsEgGGKj/7dSbQy6YVInv+n46Rx36N8AnTKPR4VwMmXPbZMRe
ZRIT3lB7capnrnDmY5g6h7Adj9yUyhoeYgPasd8HEnFUUGAJNNEIrooOHqKIGpzqoTJjpyiQS3PB
bzqEO0SSt9qBoir2nGT8oH8gRRPnwlrJlcBtstjeaoMtABVqF2Yl95XOZGxC43M9iRyJT9U63hQo
CjqAzFnSs1jTdnl4XZgCkRcomMhir1C9TEo5b5sA2XpahpmXBFYEgVP3rLyuAHb2E3FmPm64akay
lVsrqFnvNL2g6C36hFTo2SbNl74y819Si5oE7f8pIv0PS4pG3riN2T7KmbsBPIt8iYY4Z9ynqtUN
/UvoWmrP1TcafCA7y7hUGjA5NajKddDN71BotFXZdCyohA4HJ8kdapflTolVQPCTfcKf4CDQMD/r
si82tSPBSOP50Fo+yoZOGRP0UeqVwWSvpTBv81B76a2EBLMMxXtjW+mubUYa72C4ZUrY7GHpvYMm
ZsqU+Tj1ghyoQdfzMXasMxhKZhV6qu9EZjw7sfqmJAX35Uiu0ticRCa4FIVdQeZhfxBWeGr0iTff
qiw3bxzzWpnmVj8sQiqjX/HhjTZjPVESDJ/IUB/HgO+8moD8TXE3rOAJepPWamdryJ5ZqBBFY+Ne
8Ju2o7eaHsbAZJTrDwSIRfTVg5O4xKRN6yQpHu2iG0D3apj68MP4NbAiydLpiG+yYpsXMuE18ru5
8K9qs7zoRofeuMi/ora6VTXUeqp97G0yGNv4OM/hVk2yQygIa41Z7BdsGFd62unwQvUbBfm/K/m9
XjXKo60RdmbBlSws9BQQMJ8HTLTNoB8VoXyZYGDZhi1HE5QIP5sO8EdeVShIq0q2BnUuYhekkuaB
0GXPHoORUXFste1jzg6wQHvBgn0dirq41QjteyjGcXge8ddgC1KavsboYRsvQVIYh7aB7nZOgzSg
Fa6E/uIHaBFPsRFBUHKS1u0c/xGsHDl3I04k6S+zAj4vOx217maIqa8HPncbg7Xnik/hc6d3xEBT
zCN32IUmRhESjZUdpX6+cgr/2p7nqzFHUDOTY70WQXZOCa267yQnXFaySK2Znm26IP4C0HVdm0gB
xIBBIWpKNMhI3K3SutGc9iOb+ofKKGaPbzFOj/phdoiWZKh1dvTo2CVEepWl8iqXHPAiH67iIbuR
g0zXbes3uyoVEZ81/wrIt8rUDscU8/wRQe4gk31eqOQGa/mrVfSMk1TqTKJ8LqIkflPtgdNgfBst
1csRMbOyJVlYh/AbpEy04PjdsTDOe7qhBIMrLmjESWgZRG9fBdKIvH6Kv0wtPMzMAP1cYwedRhuZ
6URK2gQRpn2lraxsuM1mbSSDm9MPq0bg5RrxzNNEagEWhU1bjKQ76NlW6xW5zgbyzlkr3kSx4WCC
sS78sjoXDdyoamAuSnPD3F1FuSvZAQfCI02PJsXKHxITlhoqSNRg+Row2GNs9+/xYMKzZvw1lCPu
iLE9+uX8aFSYTcroiukehOTWPJQ+m2kGnx6UQrSm9oui2RESctAuEM8IWc7kRa5FDEKnfoVX1EU1
cGs5rBmkqn+yO6y9Yeaw1ez2GGdw4jPoqvyHo1eb9UFvbbqjCGt0VFt0EBbnM50Zuu5VIqJb3B6v
VUc0ccX/104XfSEeEo23WrGrTd0VLcdN72Uy+IwdZ2fQrhaCf+uX9lfbxx9lI4+ZGv5aFf9bT0qm
Df+9ntxn5WcdvaZ/UVHyc79XlEQomFRrjjRIudUWPtR3UaQ04WMxk2XN+M3wwE99ryi1X6glKfBg
NBDJg5jjj7GH+gubSwOs1ZLgRuHxj1ykUvu5paGKpNhFmcIQhQoVsArP78eWhsO4zkdRTadRK9Fa
ywQR56m0sFB+KfOcG8CbsezTzmmRYs070umTgStjjJHfmnpy46vh4NoYCHa17K1ppZnqe8CifU1p
+VrL5Dbxk+xMK8ohNZuqpxmSZlNXmlNhml9haccoEtA8yBwDYth1CNwaxOutidiP8aZxMXdNthd5
Sk0lEzrC9WiSAhvHQX1ZIhvF1uVcxGabHB0zyt2mHCavNlh3thXddJopFI+OXHY60rnU++mQGNGF
XbT+kQj0xEuEg/EMKTXEWdXEQgkVwxsdCg9QsyjhtTFZy+QbNTBl2WSTeKro4jk15VVpjvnBCrs7
abIu8jMdKnFkluvAmcRlHZvvQ86epCosuUX18TXH8Ys1RA07vl5mhMKiOCz1eLrHa+m7sP4J9dGK
fRfGny1Q52cVIMD1nLaF15tp5VpNil+CeQsSPid3jr3w5cYcFHHQy1G5MKIcanWoYrytO/Oitqxr
Gxn9bSbT/RBOd6Q3sMLTc32rsKO0TCTXjs9YgnwPxD8FDOE5gd+hKxAgxikRFzIEUWhNdWiQngo+
1le05Nj6k2y32BunMF3NNQfWVch71+O8jU4TwGSo0AGXJRl0/CYo1I5Almc7QKkQRwljX7aTeicI
O48gNzCXrfvcuYr6ifFxMdtFsML9rzG19zlNIfQ7X710kgu1YJ8IxfsWAY4c3W9f2n9PL/xTf3N6
uZ/p/12iDfr8z+Nr+cHvx5eq/YI6CruWtH87bX4/vlQdP7vKIFX/ziX9fnwt4TBA8eiqlugFRV2i
C79rJeQvGrQ8AKSmqS1zYPWfNMR/PrxY+eEyc9BcMCNmx8YJ+uPhRYBv3KRzrp5zPI9KEl1YQbLW
+v+VGY/C4s+DH+bVi7YPRxu5H2QD/PxAJAIkCBGS4cxwKNmDbLP1jTF3hyyC0FuoAWXUYGFsbIsr
YqguqqS8t9SaZRe4kfUAV3+TcBYee04mF7ER4RhTG62EUS5M1fppaEqOKTtE2rx418MmvS15wLVa
pudCiRCCWuyx7EolBFn0iN9oa/BF28eKkTGwOdggIJtdglDxeye555u9x5ybMpa1mdskI8Jb/VFw
sjs6zRJ/5lOopwVzbOMWF8mNyMZLIYzLNlIoJYYopv909hCmLwc/CxBbyXvErelKCXoa+UU62/Xt
NaBqj530o2PXn2pgvQTZ9FwvXqqEdGOX4IezUftH08oij5nGzuTA2Tbkp6+1ur4vzGAX2XqwBld2
hJXwlg9h4vWc1+iroKCmxVi6oqMOTHGzgLqbX2SWLTK3+Eq3UbCRWI67RXMrM3npLHlfN3TzY9aR
zTvdWFW3RXa5wz4lcPmTHjDorL5BMsMBUA16ORQRWVvZa8t5cVpsTFSdXcXh2nQ6+1xmATbGBN6/
eIuB6cueEEUopnESfYcwOAcyUCGvl9Z0qQ4gzCf0/EMoIy+R6RlieOwhStnOmX4KAj9YtVLfOj2v
bThwDwqTcUhZOS9oNXfgGG6KfJ5cbW4eIhPUTAA9esU057YZur00kt6tNeWdNEDWm8P0kLLFJtth
BtMIK6YJ4x7Qdf0hU/VDHVJk88h6mA7vgUlJNPTDlivtOiMKZCSm6MLSZmQSaf4+x+VTaHGTZmZx
h3qdZXBlJbuh07YgCBiW+x5mazjWfMTg1+hDuJFjWL3mcRHU3mwLWknDHGkclTGhxJzUGnI6LHQu
SGvwpD0szup6PKSpATwFkqDiYx7StY8BYQQgSwLJixrmS1L2D4mhLf7vgbU6tMBFlD7KyE1ida+h
VZGgFNrFKWdXr3gwbmQiPm2Ht6lCV13wacTx3yNcbVpgOYNbDInc04HDLhj6CxthjyuQotLaYbZu
+gg3ezA8m7HVbMagPAWR4q+bcsT3sYDjm4syBtnbNmij2idyUfA5OfG6jxX4+sUpMfnKanlyRgl+
TIXYg9sjKzYIw808TkA1+ujDHGja4yHWQIXLG5IctiM74wR3xnokkzk3yye6cohWe6QPIP3Fjtzu
1zFWXmaD/aWVgnGf0pdUv2USBomgO5TcjKnAHZDXa9XDtRY6eouzStsMmr7rVbQbMsRlMJf9ViP/
0lMolWAc6y85DVY7FoPrixptz1BuO5lfTcXwXBdg9KJJf2hbxT6VguSQu0VHGth67e8Klcph88MF
8xfT8z9Bx/jSgFGROvYFHMH4hJYV4I/HddMw5/MnczoPjD1W+tY/jLfFaR+TmPqaP5abZI/vfOUf
meF3LuDL/zFaX4ajfwxPf3v4Zbb+bX6KC//nh6/9zuiF2c3n3not/b1DUqszvogiW/393/lXj8Pe
CUIM80nosH9G/LXcWREA/7OMLgjPWqXppxPsmUj8j8f5+fb79e/h9eQOlGSxQbn6+e+psGkaLNIU
UuSPtQkPmqme/vj3f4v+Myjutwf54Y/504N0oaI0KqToc+81D2CyNv1O+bBdm0HPKeMztrqpN9BU
PHV3f2m76eqyh5750Gz8zXV8GFY7VNAXrct/6BYe/9s8/P3zU5cX889vqs6KmD4GUSf6zJ9fhJQQ
Iqw4ijxT+V7618pGOcnH4MDOCEMjKYKHZ7kd15eVN+ygIWZHxrPXsDg86N7/rv5/s0/wmv/3NniT
/p9b1AAR/6KQ5Ae/F5JsVmySrug3dW7On70TSGt5C+Hbq3TDFJp/9MEOclwi0Byc7ksZuVgKv9OU
FpCAqtMKg7ij06Ro/SebFfXnL9OyWeH3cDIpusZ3id/78+eoCvzRELIHiKgXD8NCROtBowlK35UV
N/WZiCy4aVyWT4ZetiwkUxQvlrDYk0AzakSfH+YAChKJgDVXnf6ILdhya/xc6xLNgzfrgIOyJcyG
oqhet3pXbCrf6dfVQnqLQb4RAoSfYrRDfBTWvQMWjlsl98xFHGiBjOO7GuxqIHJtND76DKtAApW3
dcGywxSRs5NK8J6DoBs15QgV57JQQmaTC6VOqWPpTYZE8QnCLh2i7bQw7Qrgdmjjnv1WhUNaNoQM
dbdKH6ReUBHg1A0Q0UAFvZl4NHbtws2rR7pjpxg/zcL8RLkcu8ByOrcBt+eM2hMU4PxQdmmxYkv2
SpzYNZvzYs/TfHfy7Cox4KpovbUWoVkUDyM2sQ3n6BZpZrE1IMvDPvGCAkaIzxZnNrJPmvbNuFDo
i7Tc6nDprXq4Gcwk2LGZsvHRQZtOhnl240iYm06MV4gZEa3Cuo9g3vcL/J41a8G6yS6QcsBgjmHk
p/2w18z2hQgdMkQ0MPodDpZ5AevbyvRgp/Fgn8cG10DZjjNTBK5E54Ld8tfchQbYtj7eNHFH5tQI
P0af03GbRRG9fhQ7+7KawmstUe+hnMDPW6bAKhrmGaHx86xYqxLpntPddWYaXOJVLA+zktUEoohk
VxoFs2XlRuJVp8iw8d4DLVglSvSwwAwA9pCYrQkM1FpAblpplsgwCvLehCjOQYyoymxw3pnKHeFp
WNFjqJMdjVFqHvQu5yXGSePH42NpRB8WWglfxIDzEGmCvWLCaonuVWfvQfOuPQs1faG8JnkhsLYs
KoiYD+OdqoBCsApUi93sCZU9SDXb3pQjR41ZYqTJhelbhO4x1iTsj2Fu/qWkhb0h58xcmUxE12VC
LlQv4ndpiicDgfgUjjdp2F5MvbiDkPHScl3SJDirqhPHaqwvFc2/H/P4OA0Z75avPgQZXsew9u8I
ezu2Ma9QqQa6p5XUrYntXOaq/uxbw72pyJl1VBojXaSkJtzrrdGdm6GOL4Oy9lTfgRlq9VeD1G+0
ib8l86PrupF7wkjXuAMOAbTOzhyOpTDegql9WNqVIDfgehnIauadVmerUgGvmDTTk9GhZY0DdptJ
hHuVY45tTyWQLy7wIZ/AsnUf1U91kx00pz8lmrpnqffAyg2VH4lAzJqGfVkbSwwhatFSpDdwtd7I
tQPCk6T1ajZtJOSxtoGUY2/8Fm0MJi/Q1Q7eWJ3hUFxmMbFSKOIbeI4q4pDlxOWUksUm0ftzAW58
pVat4nX9dB0oTPElZlGFl4Az6VqbzFPcOe/IHxajpnmvmmiadKTEWgcHiiENBqDliKuRLKNvvFWd
3EstlkVqyVSrAeLGEDTdZYiAZcoWKshac23yeevm4FYq+puV4dcNVPuU9KGPdFwIj/79BnUSysMg
kQRCWW8qaWMbmackYpjlZtLIBcsiVV+csR7ax6+6nf3buJrZ0dXyLo/6nBQRK3ovQ3FpkmyEPJkz
IooeUcZc1U64ywz7a6YE3rRMKYF4KUDVKoQ7UWMInNXNnD1m0OqC06wGyNhN9oQ4/Y6GXd85C6Cx
XlCNZEK+FHPkbEq911YtPEe/B9Vo9c2b2YpqPXf1WY/SyxAGpAYLcoQJKRc4pJbXh3RWNzDOU/a2
xjUsyFPnEPpmLmjJGMakDWtSEXi56gU/acB/p5Lv7jTIlJGPgQ9SZbwgKxNMIzyb+Yl976mppofM
GK7LIT7zeeBFgHuZwb+cDXS87YKD65UcASRwldFpb3OomZLFKhmFR10Z73MVY55unE0om6Wj5/jU
+FYvAE4rNWnLDKCcTFRVcFuAOnMFmCdnrIsKfoeed1cvUE8razh2TAJMFuAnIn9IGt8goGW8nxcs
qEjIE/sGCl2QoSAD1T2gr8h1FqBosaBFE6XGVL/gRoORMcECIP1WjPw73lOoUP57VebVn03+VyUZ
P/V7SUaykEnhwzwOxoKiU619X02oAJxwKFN1EXHwayb099WE9Qv/DJKBVcIi4/wx+Nn4hUEh+wrD
QrdEY/KPVhPWf/IanEURCibbktDeDe1P7WKSMbJHD2Jd4lc/BG3V56d2UCdzHWd9WS7T9m7e2gO7
hizMgvGhQCUxuYWTw49r4/B51JpbQgwnNyQVfT203RYjoEsfzmRCyVXceykeCyd+0+Dg8EU1os0k
GpLLyBfDP8b2PBXPJObdALR8HLpCJtctRMlbht07Z2BparF/xpECByASl4mf2wNWBfZwmQiep7IN
z6wKI/McphhFjNxm2KLDNNBWJrinwjX8TMnvTEuQWsg5NWzQDfotsaxNGD10XMRsRZPhMVGdEHxn
UuyiMI4nruD6ROTiYeiMGyPQJ4hs+YMyp3edjl+nCMt3JBWkC4UdHtU5Yn0Tc55pb+ESPVcL/dLs
VJBQ40MXRsZaoyAUvXBFxhEQLNYfvSyla0/sAZBf6xuph49QemzmRAkgG+M2sVkqx4RBTyL6IOTl
Luv0T0VHrNBkvCiG3V5bWsLdB7ZoN/D7EceXycukkZWXDNFOmZnRVMuoLUvtuyqVqofPBaEtsaar
MVZ3IaFLed/XbjZEey1EAmlkoQU20JpXjZLkGzWuSMhUpgNaw2tf7bL1rIXIaHV1VyQMmlQblYEz
jep+6iVDwk75UNgg2CySiAw1fJBEzRZx7msQFkfTsY6NBqkismETooq/tXwQfQ5Jf6MvPgxn9lJl
ZP9RXgaIIdC2125Z47X6f/bOpLlx5NyivwgdmIF8S86kSIqapdogJJWEeR4SwK9/J2VXd5WHdvS+
Ixze2CpSIpj5DfeemxfKaRpUn13JZMaNJcJMLX+XkRix+BTPPNL4AsTg7VxV+vN43dhG3S06vzx3
DoJIew4uZKDeOCGc5TAyboNKo2flRl3oY+Ms4Y22rP2jVeSUz31iNgvsLIeOT7BDzUmASLwdHUhk
rl6X67lAb4EyeKydJ6PtzqKL75MOU16st495GN2qSERgR/3WCF1tz6HN5ixqbicvuAeveDPXPV8R
A1fwZGBCEHE8IdsILn0w76Ys0HBLa+9NrUWsv6p0OzlcUrMhkEH0OKNDp8U9rdsrEiDnQ1l51wkh
npvSd9AC94W1zIesQxojj1C9vmdZfIh7nyivNj65GAZxmXlXUwlWUReYoCb2RwZfgJVtJK+NXsnN
JLpr0djPg4Zaiq/6sEim3F1GvfWJD4jVeFXe9nO17HoPTAjRKp6nwnILzG5dOjyYci52ms3TGaiS
rs1iBDXmzOXoPTvSuUOIOe6HMmXq3Jh72kRrZfn+MRo0E6AsQ2I9t+2NrJPrOHTJNUtv82w4hxHP
tozYmkk0cHEuLmZY1Bs3o5+QlWQy3YwT3jj3XhpY1PVG/wxMG7lA9s42VrlDuOdDdC2BZn7YrfbY
Jp5Y5nn+mMvOXJuiv0P4YGxjN38pJ/vK0cpJ6YIQctsHzx7dG0t5q+C16BN51fWbhawIyyVJWAoq
3zv1yVXaoxkREg7ut8YyX2pfWDuhdEoVgqVZKZf8LgLv1YBXdZWuCe3cO1zqdq973V1UdPAXKz3b
TTrGx14powDnfqtc+67LSSiV5BJuyNgmzqRnhJxUVQGmXD8PEMfWTHU/hnlC6+5QWSpF1qC0WSxx
BSlw6LUE/hrk1HRsUFTfGa0jGlP6Lj2QzjlWmi/iKUdWHibrWARhUinDJswqawOxWKpUY2gv0J6h
I4udZFpNSVSdckRmE2KzXKnOcqU/M5USbbR4WqsmeXeVSq0KknntIFwLbUsp2NCylYjaUqB0q8hz
s43v0/hxHs7bAhFc4zvEu2oQMINtqVRykdLLOWUsoH9LNBpdLjaj0tXR5AQ3bmFWG0+J7hDfAR6A
pKf0ePTJpAVAdF4im8M/2vff01pPNpFS8pmVBfSuAlmWonLcRUUxP8wy57ORE9IVpQfUKO4XIRmy
CwexIKGoTN8NH/KKQy4ngsIAYSFenRwnDf1NkM43hFmuQC7f+ZrnHueWTi9SCkXq/0vVR/eFyeIh
JS13A4g/XvRop5aJ1b27NVgIDLT+dlT6x8mA2wAcfsRWGV06RJJFMOurVOkmKwSUEJSOxAusoMBc
BqWwtHCkAhOi3Y6RXwpkmD5QxawNGEh4SE4xWjhkMziw3P1pHSgdZzij6NSRdhp9+lqm2iVD8pmS
JbBEJO2uk8ZAI2VXHxmAmjDX7U2nNKONUo/28HtxxeovlVKWDkhMA9ED/DP0YSXrBosjQtTCxxOc
jEn4WEcZkQDBi0sztTD56nrIWFnCvziWRhxgd66+tiFd/h44plgTU5wSLpw99koVWyp9rIlQdtYr
faVl8cmA3QDSOr3K4E4sbe5UR+lsIYh8jH4L3zQ4+kqJi/7/AFdIrOpUWyRO8ZQj2h0LEzud0vE2
qOP5QA81Eh1MAd81JDtypH10maAQfb5DdvrB8m/TKpVPS6wyBrR+IREA6YlO5vpVntCroA2q2vRV
9MlbRKJ2NWg6ZFhvD7JaPTWIi1pURnMr6dxSPh4lQEoY/YxKkhQHJm0xKiXUTCRQoVuKk5D/Mwc4
Uoxj3OA6sZXQCbJnvKVy+0YFto/HclMrUZSFOmpWMqkevZSLbioQ8smw+MeVoEoGyVWqJFZW3r3b
kDJDD/FVhQpL93J4fMUjNhjkWUW4dZRga/KtM5ulh0ZJuSol6tJQd1WoPSY695WF7qvXgC15iYMz
EE1Yr8RhA3Zz18AeSXfhLwBShBtg3cx+lKwMjOddroRmZCRD2KLuxGUSg9pAjlbYzd5DnybRqUVK
sBZK/3oykm2J+hXtpOlvm6lYGePRR+sWKdEbLIt8yRp8myRDhR6TQsaa3yyUcq4M34gdO9pKQqcF
Olb6qn4lZ0KlLkvygSt9aK74+tyHE2M1+rdHA5cspMGF35JMtbPCbGdCCB/wRga+Vd0UbpOT9oDA
BIAgkWTaUzSUpb4k3qNtDuz8pDKFy8EfNmU2aNPNxKdT6E6srWzEFPA10Z6sfJEeSqI2FmNKAjo9
53YWIQ19iczYIwCsSDW5iRGy2Hnar4KhfIbBO68LH1noMIUGAcbJg9UUdxLb9IZtzmedNE927DmL
nMJLCzCKQB7YR579WhXjBW8reCYPqFcUd/mSuqtFf2oDTZGDge2+HLlOJupCnYut5Urj81OfHbV5
L+BriehYN8RpZpW9GjvvPHQxYXTeUQFwlEf/1RDIiIV9NOaJ6qas3rhb4MJn2RJf7kMbx/ah6/WP
mST47ZygAp8GjMRDf4HZGlHkAbKilVhQ10gSsorvDU5xCw35Ejz6vKlb94hX8NZE81l04FWdvJQ7
zt2jkKxJ0cguIVG1u37gG52YvKCDoTC1sxbPLmtbLPkL6OzbyqTaFUb6La3jpR1dpyhSE2daEPi8
dxpY5MIfzjjb4QZU3XXuINSbGlYmBpDaCcF8qJ8dwjezYjjb5rXLqI6I6FXTaOFh0MunVIb7Lopf
Oq97qETJmnDW1wQdj653x1Z0Sd17nmrzW1wZO9FqnIx5uJ8nb94nffaNN/gQqdbeoxZcR2gdrzgV
vtl5OTzlM86gsk6uRkLAVy02UlAr80kOGPRr13iuBp29ZXojZfGaVj7g27bjSRAvmVMeYyt6yiUz
0L8beipKNhCs3v57Q3//Eb3mr/++Y1E/9aOhNxHXoKhx7D8CN39v6BXYhEhitoRkT33JEP/Z0EMv
QQBI6DATTRY0ykf5+45FAHRkschehBLpa/3yF3Ys6IZ+2dXxGxJSQVoiryWABbue+euOhZmepWe8
jetBRGm7IqgCvDG3suLJ94DljQ79NrcnpGAw8KOiz+OPdNcGQPoORN2yAlGyCZPp3tfKetsnDIQL
g0lX6cLGBW0ffkHu5y/gveuWvbaywOC3PmhjIKNy6zZucIzsyd0no7dya9NaVt7QnBzT7hdOaJJ8
4xlvCKU/dfhMu0oW58ZUKH63pKrB2n47genHTu3e1IrcH6Yw/PWs4Aj1XfYEivAf9ogPJwG0kcS6
tT+mmyTstZ2hkgGSHNyUT1iAUZgje5OBtMquSIad26ISCVW+QIc9csEswbgOzKREQUAOQacSCTyD
27fi5ec4KxaNBxIf8gpjYUsoqLUyfFvylHnBdVJGBwqLXdegxekKE0azRTJniBmz7Aam70FyWzqc
xG6JjFAnacKl9ITVOm1nNCwUEVxBiGGWTeQGa93XHqq5vRNNs4M84+8dqrxGpihWXPFk1d572ZTn
GpUz4R/RgYXdxemC+3BAOSGBYA2o+JqK1N9enBzi4Vdmq6GcKWyPiPnyOZHZwS3ilzHp2uUktM8x
9Nk9YU6Js+GbU4iPqvDqPWOIeJkUnY98gj8LCREoUpFdHOMYoWhKEPM3CLkXf0oeU+qJhcxLlEOF
M641X2AVRWJDVlD75A5gYV0AJgC+mcnGPd1mHIFGrB9LS7Ch05EVjb6Lg0Yf70uVwvBFtYgHcquK
GUYlQyEouXZ/qRQGQ1dAjAYyBkvB5wFSRh4W9iawjO+VgmhECqdRsIUKFGAjLLxh4yroxlwTXJby
uG57ndkT+8KcLliBOirb2msK3RH65F9ZODX2I1yPCb6HjSXQUsAPEUhvbSRwh3u3/cT74fJuscTw
3a+WlYKGxLPHBChgdwmLB2gD3xGy5hkJK9xIQLo2/ma6Lkgk4QCSBLThtQWjxIRVEsEscVN/r8Ew
6c093X0gT4J/s7W7u0rhTlzGWWnuPnmCnZ4CokiL3ovFEps8ZD6KmVJ0z56CqJRjx9giqcS69Zix
lKITiy4pNmVanUyz37Za/tCGPblY4bHLq3xnwGuJTYK84bfYPTMVTyFdmnG8zjNzPvh69hKBf3Fc
+DOuLr19UntHU+TnGFRMppgxZJOZyxJ7Ll0GRBkGKz5+CyPe9+BmTLAzRl69ZIpDw+iQ8ho0je05
TzjDrk3FrOGmE2yz4Ng4EdS2RrFtohDKjdYjfSVeBt8ZG18NFI50g6dZsXHqCnHHzPhtVtwcwAMj
UrNshZJoH8zNR604O3iyKTTQpOmKwRMpGo/gz4rD+GvAdtNJFd6i2D1D0tqrdGjcHd3hJ/rHKxvQ
TxwxBBsV+ycDAqQDA5qBAgW0FstGcYLqjiy7FHSQA0LIALUOoqW4MRVdyAAz5Ip+281wh+rCD9aE
sNw0IIkC0ERD1J70L1ZR5R/ihlIl8PKbDCEX203tEAE4ih1IR3o3HlzQRyyIWZOMJhOqmkLLLWS6
zhQradaj06zoSU4AnlZrss9wDu5rDGiLyTBTfjmoS2OUfG8q5zos4THpisxkK0ZTwYb/SobavOuw
qeGJUgm0882EjG6tKcpTKsK70YrXvcI/gYESIscjXTUHptWsFrAvLesaapQlXYaybkncXz4956Cl
UGu+1u3ItMyEOuWDn8J+/QDU7gjokx/FV2IP9obwOOIr/KsYgFXSBmQW8RARSQj0l1jG7eQZ7zPY
KyfkzB4BYbkAsWqj+cCmj3O7fp0B6niKnNVOBK5axkvpFyTqQYcBPLwOUn3nAd3SyY63VWQ5SjdO
7oqtJEwTPPkZIkLvvgLdNdvOR9pxUMaWqxLBvB1fblLBAH4ZFnSisRXstSBymEDBMp5bmhib7EEF
s1CJiXzRbhoHm7vrzeUW99Qrd2ezLuMI/F40lWgdLffa9zV/q2E13TZt8xynxp1T9JnSBDwYXveS
pDCIiG3Hmwnxa5F5FdayERmD6b9ZgQ/PER8L7++tSWq6K7/83gakCAsovitMdPO5SGlzlB+HO+8k
2ZEvpBrLCwJcOqixVqWVa5H334k4IaHRq79bUcFcWbTLgDg3UN4BnbUL8DGcIiQHYliFY2cTIdCj
PO84wQCDnyNP51tWIZAFXgiDL9zBKI5wELxZGg2p1Iq7qcSgFmvJN0T87xCEsfvn+ZaI6C11BJ9B
MNwZDttABvfeYdZonzuifjjEiQ2gNCIxcZ4w9hjttZjtVTjlnymuvqWfy+uRSfGi1cKjbpE7I7rq
09fgruu2eKEtN9ZanSNKKtzXNHKcRRVqz3rdBzeNX5w4zVsRnOwh2ka0cxqWPqAsepeK+lxmWRkx
7Ij1kMykuB5meC6ijv52gf9TrsSe6L/X0dvso/gPpBLFHPmpjIb1Yat8N1DlXxuu38to8zdsNzb/
+aed52epEoNhSMQ/tEp/aN4tgebd5N/iv1DqqTiUv1BGG66y5PwheVNltMNNTo1PJQ2nhH/uFxll
MbUe1aMvuK8aEoMcY67Aqyo2taUVkbl2orwNvrH7b27As0KyzhXUeoZu7Sbi2BQiZeySvqUs7JWN
ejC7cDPZNmdhZWWj4njP+2K06nU/iBvWPZ+4zuIlLGnGSiZnholEmYvVqbc6wUB+wZym0nZanL05
DYlUXlIew0TepCpTyO2aFXuTnadz5rE2IjoLjJEoATYQSMTddjaZJMYm2FcZkVnU69NuUilGhWa8
JcQajYRg7hvfeyaWaT838p25wgmyeOaoaC33RWE5OpWThHjmAxbiKlUJSgnUWKYKpCrNiAyQ1hZL
czB2NcFLEBwGloEQsVJLa0Cxk8+EhY/fFgTuqi3nJzZvJ2CKFJFJa2LMJOXJ5G6PbDLUrD7cNCoJ
CoSYt04Ih/IJiULrNaxq22MeW/YvOUFS0GyZnpfXHOro/PPA2eQqdYqUvb1UOVQiJtTIQKW80qWN
U1PlVVWKC8sOKV8CqkGGPN3kTrpvCWKBw5J8n/LB58bkAG3KAJESyl4rnF5h00sqb+MTMOLBoG+C
inpMVJ4WcCsyJr4ytiRpW6XK3ZpUAtdIFNdMJFeuFfKZz/Oqc77NuXsC/bckUIIop+Sgu8GdVNle
lPpJu0LMywkEprBnHBSnnEzVP44p4+vMGkMHOF/r20xOONNi30faDfZenLD9RAcvLWHeUVlRhCWV
vrZ14mGjwBd3AalWAtKOMVJFlazVBmeyt1Xj2Nkq68dwa2B5Qv9WNObRI0Qd67Lr74jq1Z//Hit8
jRXsP9UJ3HWvRdxmr33776MF9ZO/n4k6ZxhUZEYFruV6v9CbjN+QdKIVgIHqfJ1uP3xAlv8bVh+G
5Mg+AWB8nVQ/5JvebxiHmDdgHmLFihvor5yJELj/9Uz0ydzlLRAjASoKQOuvZ6Lma1bajFl53VNY
z6fErJzkTMZUYq67Ls8uHvcoaQaZc3aoSbhsGUGzcm/M/H4wECzmRn6szeYlm8pD1ha3+HpWnWai
ZEyCk+84J0bY6bLwSBi0WOKw5DhGunyak+Lj66tcDibjdjpq1rnzBl8z7CRqnj6IGB0zXKDfSk4d
6v8RvCyGjqEw3kwNbwG0jGwjw8E32LixhDmYqduFdFIaq10SCSg/czZDLh2kTs/rDtXei718W3vi
4GZMNu6toOOMCXKJaF4IlXjSqPCTRMWg9CCRTIhJg0pHISfF+0pMyb7SU7zG0Vai9Ztkl9KYzuu6
CfV6TZgQurhMjm+9m1NDZcWTh8582UVy6+Ne3uJWRz5fEtItazIL/UyCcyxPSJXqpdlSo1VRvK5n
FsQRZXIZsH/Vg0etmffoZW8HwHwF+kubYfqgdcdROtdicKeFX7kqewnyafxKcXiV9Z7GvKI/YSYi
DFirdj6T5AUIh9uh1/auYa6LoD6D1/400Y/lmtwZcXeA/boLg/qISfKcm+MZPvabPrW3ImKinrgP
sDpZqHu7AIiKGw3tos6qu6xCzFTEq6zSt9Jpb5vOX1mjZE1uP+Weu9AFd5/fHhCG0kHkYMsT8Vkg
q7MzMrFkvwa9ubWhhxtlewri9gJC4IXxLxBBf1VRChZedJ7L/BpR5EI4VMetDVPcfJpleWJlsaCt
PPNZwqqExRlF5yQoz6gSrmZCCkmyPSQOU2RX/2Y6ycaPu1NldW9h6ZM5xUcfeuLebhC0wWpitnFE
xdwteqGfe/amU52cG9e8qScYVrP24ETWPkvUJ9yXqyrN962B9RUxrQjqD2FzARTZE7DfB+TDt12k
bYLKOaLp3qCzgLo6ACqdiBKzx7eBN8G6xgDTZBDeRHPukZ6FkjP0DKgl45Uco33ZMoPyp+aj8cxb
FHO3zYS0MwgH58ZzGnbbMjoTyXKa4J5fN2BU9uT5scCHDGWhV2ZNunDG+hrr1VEaPFK9sPfZ0GqM
n2W1qlrxfQrHsz4iFsitI5vWm7Hu3NVYxSoayVtZdf0NiSiPn+XSKQRb6olpo1nBN2TVJynGaOPn
/T1ZI2tLs5gk2R2ySpR+mI2BWVg5LYAWgetkk4byJDJOQA9ubYgZSzbLEGpHPnGyOS5JpW1bNAsV
Q3LmZClB9q2XbKBenLqk36ZBuHQIAtGZOax5Ovi0VD626NtLDVNkWdjtlWkRHRdNLYEx8bUdpEer
1ra0fOvcrc+VicJT1vl7Zed8GLO2MiUsrCQgVSPu3Bsn8/cl6tAVvh6LIGwisYN5JFg76SEcmGJp
RqDnk7g64ntGpt5py9wsnzvPpjs3MdZp+XzuDevEzu27a9UEevnmLqgKxmEIjxZMKW9Zaz92wj1o
DiHmWp9Bmi+qpR7LkyOMaTHYnAC5llVLURFrYdYBRV1c1Zukn45lbciFa8XXaVo/DC5BAVE03oeu
w/POzLEg1HXwU1hp/GmiGmeJ1SQPYsiLpYgjsaBHkse5tLKrCAfm386Nf7RCxp+uFHZ9TvLt9+7f
b371c7/f/LAIUAGqHKav7QDdxu/dEGwDzEdc+7qlYpWY9/9YKlATINwj1snC/wRjDrvFDwcwsZE6
qAvstD+0hX+hG/pX24btm4paoEiQeJHhJfx673c96aVe6chLrx/g3yXTbdluf+oP/4Nt7R824j8a
Ln4LzCmol6BtUP1gt1LoyJ+YbAaHR5KkbXWxJGZbUE1Oi70usszCukQ6cBtlBh3Tm7mMXf8cMah7
pjsw0xtfd6ZlpOejSfxBtWyx2dfReIyDbM1XYT3HfGv62VpOU3YJuI2zUttPrdhpdXnX6TgNp8hY
z7V3O8btLphqoiHycVPEnQG8qD5olbzW/PQNQMyrRnByX1V7AmSf8SewEo+j65DDzDezvRe10BPG
5rPp1dQ9lquMbmUb13bP997IFp0jd/XAnrb3kgfP39VWu+TXew5dfa8LJvkcxod6LD6yVkQMgrjk
p/wjqMiK8/OqW5T66C/qttmQMXSkHlFICCVoloz9Kk9/G9viAPsvRyBWUHCFh8A0H5qRyt6Mu6c0
B/oTTfK9de3DZDfFpk4qmGSjXIkadKUTB84yKJs7IKTo+O2yW4eTdWLUjpGmtW4yKEL0t/2zlliE
Unjj2jHZAfhm95l4NQombhNiOkts4vYVczIbFXcdL7K0TnauTqI2+ptwOSZ9sY4rE1U8J9GC6/zJ
yEsUiMxdWSXdOoyTFrmZ3UP1In3PT1+0urEXpqz2guSUc9ZJji4tPbRazEjLqG3QNuEx7N4hA28E
J16cS3NpjzUqB6qqYCaUPKiZEpahcWj8vll1g7edPee9ipnayqm56j373W/zaOUn8aefs4IObX9e
we66x6PzacMEVvN2wAsS6VSyi6BGrAyCTUoIQ5Skb0aSQPCwkVbiC99DnOSiHLpN7CuDj4Xd0247
ubY1XYAe7S8I0x+GsCfBOeugPkeN0n/eMXmrVyCb+mURYD+wCdod6H5n1ZkJP4EJpZJHic8YxfCU
gsbGV+p+Msz75hipShPEoApIgxhAyuFTkWfNMuQmWnKuPIRTfVfYTnWIUus6zDwPGkXEyHocvw1J
xtMja2IgJX8Pz5tfUjfArEzvPlB424Z0N0OjP6Rhxq6fgMJRI49jCDs0YNpnp/kvBICjSU9BIFsG
yt4xwCxB+LVb0hZYU7qvvmyu0m7qACwmsk/88vW9E0qglW7KUy6y9CHVLbF35jG5uJa8r2uT/rP6
yDFogTHLFllZfTe6Gmkn5QcSfxRpqSS3rYmTJ9vuVpkbABBzH6HBjtspmpJjDk4l1rTbpk+EmjJk
NRHPOSFog/SvNI9ReiOqctlmjA2RRS1Di7l5aZ1sMueYw8BmI2O74rvJCqw6t6X3HPnOB6j+esGx
Bl9sNjY51/AQTVeMsl61sb+SXUxOaP8S9rQmnDm3TWGsSde8LQ1rLw3tlizslauFj/QfL63voI7W
r4QML2yUL1POZL/tNjMi0UBM3xE8QEX1QLe0UDeJeF6mNUSntqEgQikHa+3sEaLV1GmGpHZeoTSW
i1IgdUl8jU5Gu5665jGPRboOzPaj7aKNWY9PWvvh9DyJg+ttLJts+WVAahd+qUAywKKK0LS1Pkze
oxcO47auG3OZhFBaHL/qqnNqWc95aROgOddrbyhCQnASVUSmpV1Ni9yZrW03lc3SzyiafQusbN1u
mk4+S5k9trX2ghHLutF7Z75w4dWbJqtfa9PYR431fQz863qeziIToUoXZymAbm5FV8l2KQENk885
VXjuT6cwj+7iMHxDsastZdpnVw1iCwZNHe7mAq2m3UUvhcmnKKP7OC4TFrfsv4f2uTfKGamelW8C
5ViH7N2Ct+HuWQoo44yGMsbGfUWOQAfayk2QPU4T282wAf3Lt7x9CkTbr+zOy3d8m/1VnXUr2x2G
3WB0cou6qyTmsJy2stDZFWTsqMMO1SsyNmcnyU/aMce6EGh029qREnhsk0ENp7TgPS7RYc+ucc+Y
7bkxxrvQadw9NInnUkgycNn0nP/82v1VLPB16WLi99WNaxKpoga0P1+6btZXcDrq/lL6oIaM68S/
d3nXDpPC5H+5nH+tItRrMeWF6mqomQQGBjVx/emCb1v2lKqcvrAaC9LHetpE2v8wKv+vl1D/+08v
QW5klsk+k5eKL+aEbzQavtnV3Z//zf7jiwiGzB61lWGqquvnF2nBxo9JIeXFau7r8jhqZ23Y//lL
/PvHwp/qp5dQ5veffo8OFWRo2KO82P5dXm/Aua2pQgrvNZn+xyupkc2vVdevr6TeyU+vlEWDk7vE
+F5q9jRGQcNgHvoc8dF6yMHIzf/QFb2P/xd+QHMDj1EWP7N9/921b/iwahzCzBkv4Yr59eU6MHhz
0xmS6eez0WHtcu/D6GrKn7/+fn/7kQwag/++dtkX039wI6mf+dFnGM5vrhoIYr7+ylHi4/7RZxg+
OiRdp9LXLc8ABvN7n2F59BksaUCJW3xqrEN+7zMsh8hZKnYfRRQm8b+8daEF+ulxhGVEbL2l3gPB
3hawgX95HK0oq4xw8LpznrrRpiyzeDWWOdXYDfSRGQFoLKJgdtc2KN0IY9uQyrVjdCbkd2IJCrm0
p5j2tfbjeoLKiMfKQQoknQaL7ejWPRdUFllbSD/4nha2ncWERmpBMpgrLRBlwcDC7e2L1/eiKVae
Xg321eg4sh0hl9ZJ++rNJJvPGBiJQ0cYOjaDIDgKk8c2aSsBe1yPCKRp3EUtpf1Ql+zUfXQhdV+m
zsJOE4rzWg5XsXJuYCEqzl6W9rfkdMo3vXCcCh93FL4NdjNuslbPj7GblhSDZXBONPDceHojrC7k
/iCssKYbwzODPWJleWK6KM8GFsZVg12mlBihkMGazasfs3DIOlSyywit9Z4JRXdvMuRY8hd03v05
E9shyiQ1NJwkhjIoPGzr1p/1bD0qP1HW6wQe+Qa7FKfrMKm4+nRusLtvUshQyAMMxJ1ti8+bBoas
33nodnWgYzI0KsBIQkTmN2uu5ks0M8ldpGZvvqVUWVc9+pz9xOLj2XJaiyBqE817xdU/My267vv0
nT9psSekx7gz2ljPlglArJMtMQQ4qArOE5G0bIsdpCpx226FyJp1Mgv/PJNjtCMrijt9Isc3YoXz
jpg2O+L7bB97EpM2rUgKiAKxeULulqFjidoUCwzyLVQr7g0ltbah4m8vUCarFfrW8gqJ/HDVtukB
OcgMKEfzN7UzjZ/SZuzpV3l4GMvY5r0lnsak1tUPJB4BgCon/DZdBzGunvxiW4V4cGwM9YvRaTgD
Z1MEh6zR3EcagycmgubR1PzqmrcfbLQUvFFbmkjxm0a/nuYI2A/5r/swRl1dYlOnYK2m26jx5Qpw
cr2e4n5ch8McbFqoB+Hq75P1a4OjmCf//WQ9fwyv3/+DMFT91I+zFTsn/xI4Gs5CBjkq1u7H2Ypm
lANNUTbUVvsrDO+fMxzW1hRfeIpd06Sg4Mf/OFvhcuiANxT0nKELdcZfGOEAtvyXo9UBE0c0Kspw
F5Eq7+LXqzfo4wrPdDxdx8XFmrxuaQaTXMAxfxhnUy70iXRHYRZHDoRbGro34F3a0tNmnFcRcTMT
DqiF14lDm4prbvcSv7/7hsT0lPXicZ7rB5xRnz2b21rDwRcL7yWr8gqlmItPX85b3cyPJVbF5YCp
G4KHdZY68sfMRRsJXuzRDd15YyEyhe7LjoOUbCTqznOaeY/hNL9pgV8sA0KKaFUf0ri7NMI+x36g
7GwUSen4UJYjcJqBZC2pnAJae2X4zGVHYh7yseR3hmDhW5CX+33vI3cBlcZev9gUkfaEmQJtibNg
zXbO/BCQCEa+wkNNGhQt0yEJKimuN7WvspH4zhq28b0U8XWb4pgJuWyIL85X8QBhwKhalIejyzFg
UfW7Nm6iQkvWQnNe8jmFyAyVEly0nh08rE2rWpIoqBFmDDqMQCY5rDKbkDdBTw1PeuZM7e/cCafX
3DiPjMHIywjjxr4TXh8i9OvxR6F+commezCkxLE/+MhzVg4IgmidJeiAzuOEgRzsXZjZK054GBoD
eE4Xd1c7bfVs3M1ygOzRKilMGG5H3R6W3gypK3AMdHvVsMw9+6NKnFOmt2IxgIkjmTMChMGDEwX9
Q1cU3+LsowmcA2huMpzsdg9S62psQKi7SQHpStfWUVpxDXtgTHT8K+lkXUWR/jTZaCcqpmK5M72i
cK0fcOXehrl9axjE5lZy36PgHJMk2MVOQI5gHOxIE0ceWltXU58aC6FV3n7SkG/Nuf+oDY2/cGtt
I4WJH4h1PvzthR/I/SzIItTLyqWTKlaCxdhyqKttHDN7Art6KcyAJZuzUbfComn6xznLnjLH/MRx
kiOKqp/Beh4B7j9MXvQS5s0FxX68HDuf3d783DYq36uMdnBbvSUM+nUxdoe893iak/l5QCwBBuS1
m+I1I9ArkcQrrKAvmFq7VWBJ3BQ65oSsUSbj5iFqcWtUvd3y1tKrFIthhTIOzsRLLZiCNL17aqBV
zxGwUQuM9qSNyNCmZd733/Cx3ZJ6s/GgkFlgNMZKh/ThzuYRBDPgcrdAmTCcTSvcpMX3VGX7DRiY
W+W7i5XRDtnDqnQg7ZMP4utshIQk5rfz2mdAseMycM3XHGEIfWLaLaHFH0iRNBfDMN27MwwFRLDk
JjbefVGEV36tv8x+dMrEeGPRkBu4ixeiFt9xZu9yAbXFRXqMLZEHMLjPSFdcB4n54SREmMWDcc9j
/Ox10BAB2MBOdG9aYX0X88RVr8lLGSBfzVuDIV9oMtYKWKVkLrsMv2sMxgdjBhZX3KYp50oEAXUf
DJG+xkcjN4Ur3sage2UVdgkMOJKB5wQrjIbBMp9qsW4S56ryW/syW4j4UEgUN8FQJ3dVYWDexM0U
ppgHy/JozeGbURio6/tplwdC+3/2zqS5bavr1n/l1p0jhf4Agzv4SIKtKKqzZWmCsmQZ3UHfHvz6
+0D5nNhOV5kng5TfV6ElkTjN3nutZwVdZl7jsCYPrsLirKRXEB/QveHZnYNeMK1ulp4WaESfrii9
Xi7sNHUcWnah3VzNBsQV08C+S1sk7u4agJDMtKyDO9vXwO1OZc5vmWT1BhkdLItZszcqijZpnDM4
FfZ/R/7/Dm4YMfz1kX96a/5EwrYkWn078A0BJdqFh+YKpq7vFdNvB77+C8RUAyGH/i7l4FT/duBT
Mb1PUgwCSyidlmHKN7mGTTEFEUIXS/oN/Lx/h3ZYBia/l/Yo2HyaOgZjG5N0JJwBS631XWkvjCoi
+WnurkUr4BvBxYHEE5tyI2rb34nB+4wfYtzWFamGhppTm3jV1uuxEovETJ8SE8vxJQ7LngQKCPk5
vcF01AM4Pb24qehPjzfFWF1XVpY84BEEdYIkVQBbmVuwyHH6TLwIdVuhol2lh5RoEU2skE1wqepM
e4633fsFtXampifkQsvB7hidkO1THkO0qRBizyZ2QwsBftJuzWJKjGOej3N5H83gkxmtsFPAq4+a
nW9FKNwEvsZpYDTdlGO60zJVB2PNFWHISEkap5pbSOZC8x/i3thnvnLnwGp7FW2U6bPvyB7D47kS
oYb+yq40/NnV7J57xXGzqczSvU9ct2FMKyoMkEgEdwZD6O4+syRwKU56eZlMNzZ3teB/q6gtP82j
TdJgBXgnRVQcl+IAjMHSg/9u5e+3cofm2l8v0SdyIlmORZd06vDl//3fX5f18ppvS5SLt6NzASSg
l8aTvQwVf1ui5i9c1HVYdIL1wR9/X6LeL+CHaZBw+ca/7CxX5W9LFJoLH4/rMQ/FX4VE9N9cyvFj
/bxGF40pFHrXJySZmz4/xPdrtGvGtMDuOV2qLiRTx+s2ImweOjMHvm6qbgN2sXzgFJQXs8vz+7YP
mz35RP2+n0MDfgMWCIIvFuqDdW0xDA46CaxYifTNmkmM7ShZT3E9vPj9WD2UCppVVsvpxo8iUMh5
IdY+SS4PNlrMRu/JNcU5PSQxqZ/Rwisbi+gOMhmAIzYrasoQzLFhfMjxsu+lJJg49a0dsqWDpTxG
ZX2znezU3CCfSi6SYLC17frPmu6OkFy8j8VsJh/AU5TnmFbNtiNTY61lBZ0V3oJLYnjhdtI7f18D
ZrtEowlUK/fz/VgJciciy99XxdytyEL+VAKgZ3SYYkzr86seS1Xma0+jY4BhLfs16T2Y/OPqqPc2
GJJIDwhfO2aNdsJ68JF381yW1PkA95mpYlNAyBE/O4P9eXKhTQHTe4zq7HEJ3wyqOBoR0iT3nd0y
ZZEa8MDCEGs3ivbZDHtFc/M3K2JEByf46DbIR7oZpxpu/HTbIeHYxiEXqsKZn/igaUe41T2d/mtb
qhdvTvZWiF/FrqwvoWpvMKcOV4T1NivwW3pQj941qBSU+OF87ZR8pB0oOiRG+IKsF+RYCJuyVy0E
7VHG8ZEIuwulBViOyugAyjFC10bzwJDWQfg+Ef0U+Rc6shR+uY0Xzr0C5OwFpbBCqFLxUxXNt7Zt
k3MNG0WbZm01FKiIeD6mtevVmXexlJ5aLxx4jjqIDq+eiKOTFtozamaUuhvpYJOIhfOm0UqBPcJo
VlOgFZdCwqd40Ad5HFLcdMJh2M1Q8MoSyGXkkvUbclShdsbxrpws8Gr0Uq02m3eN4wxUNED07Sh7
rc3KZlyfKEggCrhV6m91PUMAnc28yUkbHjTV1usIAMp6ZIGvdZ5UK6ruZAHGYkjsw+TRr0ORpT8U
cdgC54J8XELqaJyU4afv5gtRAae7DlRMhW9KmftE85xD5jgPTRfifyu6tcgQYAuSDloH8D/i8VU+
9lTH0j1oXmNfBBMw/G1NB5UycbeEed8PWVmuw865QsiDdKdQ/loHzdDIPjmivj1RNgGyKBM+pQ6p
rvWpNcKLNkbEmBBBRMtr19XIjdd+Dt4bnPMKx8bGq+VLLJ2tR5uxM1kmVSUm3tj8mWvncRIMzTNN
AIxNDONCRqa1CXstvqOSJUnRZvzee+H1UGslUm43MBXVJvZnnnMUQcSZTLfKaMeVqqvsyHjAW/VU
5Xu97uzAa0t7pyIQAToxheAYi1MU64Izr7eOpKLPxzo1tJ1d1npQ1tWtCxtwO2fqqOnRp0rLrRsz
TYC2A4o8aPTM1tSGR43mQDRFIa6f6qkWafS1LfINvKnevhVp+janMxHEhU+U4+q/8/P9/Fx8xn99
ft4lwxv4ny9vfzxElxd+O0QNFEgEmCD81QkBEByv387Q5QZM54pmEpMDCy7Z72eojSoZXjADv0V+
vGTy/XaGonUy2Wg4+d4vufBm/0Vjy+fb/3DNxTLtMr70uO66pIu6yzX4u2tubAJ4H3rLPDdlXVfi
SpPvwRk+6Sc54dp2mkEzMK1sg8/W6ME3ANU0lCLFW3WJc/GkLi99SXjGmE/awXEK69xnmtqMZluc
qObye6iV46Wf7OoKUVD52kXdeDTzMbtHG9GcbHahYt1N4i00E3tf2pxjRtrglxM4IZ5jQhz8lTZA
t2hG9npf7jLTGDczvtmXYXCNr5qVzHdm6yacXLgZIPihFdI9H6qBi5rCTM2Vo6f5mjZFdpPnffhg
pn581wOvjO/11MmidieFUc+HuYrZaxuwSnA4mHFEyGzsXh96anM6VqhW1OiV6jO1As7EBny8viob
k6YQlwX92nW51uZOUqcftBQyLG2iTAjoF27dAC+1VL5yBlU/ZwTIHOyBoeRMy37DSGTVVOrodRUh
voUDvWpofOeEdLX5HKaJa67gT3De+nobrbQaHfJaJYVlkVHapgcVu+xcJe7x2WgBeZmDQ/NBpK9d
KuNj5YbWfHbSujt4THWGuzn1wOxyOKPoinkwx3Puo5DUdv/tCO87gsHw7q93hFNSRO0fd4PlRb/t
Bv4vyAodqlvDhdm1zAm/bQd0wEnNwzTFlZpRICv1W9Hr4l7gH8Gw0HPfK9vfdoNlgkgdLEzMXgI0
9b/ybQm2lR92A/jWYI9JKmGrcsEt/rQbGKHVcToKXIuzZjUfwPpJ1K2Fyo1NHGtccT3sRsm59TLr
U4WeEHvVKG91zVoTgS1zWEdTl6w7oRM8qDy3rQ952RCHJgYovb3TUqK2bXgcLYkJlfJkzm5LwIUV
AEOIrs/TaHI9sKxr5eIftgtoh5zfqMfr+KUUGA7NhYmIwjJeKV2jddjvEP7R+zSx+o+gFGMj/MTQ
Cxdnqadwo+Q7dDGTJfzFhcQ4OLSOyk3M3+quy151xdnWlLtXcIMTOwkB7sox0DuSTMJiqF7oPD5H
oBTWnZuH9KaLbTuhZyvzdF+n2j5J6CVOTfGiowRm8Bdam9nOPySR9mqeq0KdSxvqsCV4e+SMLEmG
D0bt3eYE1/v42tP51ujcD+OA59+LAhvCl3/+byH+uhBZHn+9EK8+Z29/sg55zbd1aC5R7zrGRcPD
qsjk6Lt1CIfEt1lQBOkw67H50reFyLiJURJOIcEX9fc1+ntpCy2ErDLo8KwcztN/cywTyvvzSlz2
AFajR64BR9zPwQk4Iymk68K5ZIOkTIjyOryfJlAGe9ckAHJkVAbOCdhzjQ4Okq482A0CS6fXnH0W
ognNUcyfx1H34fhIT99OvcLDsVQMFqWDt9QQ41JNkA961Jb64n1kMUl96+bgrxFdbf3Zo5GM/2RQ
QEnD91LFpWgppvFEPbbVvGFxQaT9XTe0B3OY3Gc5gRpo09gPRrhUkojIGWHgaEZ3tYHeXncZI7Um
KsYib/bdbFz7hIDDKL1NLO8y196BMv8ezOVOK9tPWuRVpyLkeh+T9BPbycHwx0+yi9aeFt/npvMh
SnB/02yIEQdYFWPu6Ima/WB5VZDq4ZPl4yqLySZUQx3iJxhGwn3ohSc2DXYLRWjDEGAlSv9UW0hD
s8bEJimva3oKMLuic53bn3GLXChKvxLE48DQK9dzOXKrD6sjoYhinZfd3vEhrCAA8g0T1+SMvzqD
QSUqy9hYQh3nUPvkNfGtGm1yk7r00EfYNmrRzuwCbIPegjokk3OdjuUeacFTRs+PAXq5dqxm3kZK
ErhTxa9tjildVYazKYhxh6d/lKTC7XLPvC4q29yMnYw3SdN8rMLYDqzma+8qfe9mrh8QdwaryXE3
dGK/alML4sn3L7Xsa5AQ6BYHUT94jQdn1Zd7GPi3Mmr3/tAMK3so12lXibUTFQzK9Eg9qwIfTWR/
EcgOghRjCZai+cluqiOs1+dJn29rpH9DYzyNFfi/pou/kgUFanPMYFO36XUu1D5rJ3/V2EZLX3R8
o64EHWg4JKpV0TY1+1cVNwgiHGsrhuxV0ailymoWInriti8DIqkrhCU0DvLFgNkhiJebcbFl8vvD
PX33aoZOgm9zwIBMa8YTEFCJ8uSTMgUyVxwtEhQF7/iMV3SVhASA0Cnb+hoQvFWYadGaYyTeq0G/
zCyGW+WlYpdpHjhrCleACebRslKLwtpfWTWvmZNKuzAAJCN00svA4mmjLq6tbJUZCj+plUwHNL9M
SSlUj543zXSRnRHoQdJRlY8RVrphO8L08/ToAoYRyaJpnK2+xlrm+7dYqiG+yPS6dqtkZRqP6HPU
fWNo2VNh4Kcxa1DXFtlzRthUgdfxQDaulUFGi7C9QOCfispiHsqaxajIc2P62kYUQB6MsR+uwYeS
NVSCY9HUOTOZbvqolfu6AcXIlBkRfPvS9IvZp+I+bDWHwu0tbAbeEWyMczQiZrtllRoLuK55NumS
rxxow+TFDkwMl4OyiAVUw7yptlolAeLSpXmtDfNTmufhFpPfGIzN6O2KmcSmLJPOrsyZhrVaqtOB
huBgmMvnGzKKmu3wVPvxTo7jdcKKAoHRH1OYEvHIb01nYGtE5clQ1i7Jwy4ofWhn6dygVfG99RQL
TFNezydERC4kwi0gZrXNi/w2dhKMjymIU7CwJy/qIyao+i5xsicu5btea++Z/A2k5UDVjwlIKozs
3PYN3vSeniMgyV1YVXu3b79GVsgUmcMDbx1JswYqY/PsTflD3qbyyo8H5qVJuypteO15SepERAgD
2qJHrj7b0a5Ofei9TaVpoN3Oj102okoxpp1w7fv/bgi/3hAop//uhtC2b382oeJV3+4I5MH4i9zD
Mi2TpbbILX+7q4MxW/5vms7vILPf2982STGevUDLdYxHlPVcH77dEWCV6chXULLwxUWW8m/uCMgD
f74jOAY/mAOuDDexDbvhx9p96P1J4xY+XhR3XxHEQLPQzQt4g5FKUC+Y4ambs8gKVDoM2UejN6AH
MFhLukM1JzrGXnfOrlrk2XOQTmZHSP1YFSWt68JyndeJfNMlUb0J56CLGrY4pHn7yTUi/6uv50Z3
r9oWP02XCDvchGqe6TRX5bhoJbRlCFS7kTljh81GCJ5zadgoVvtoMoLcjJo5sIWRQ2wBHYlALDPA
TNG93TVDZDsfpEEAyxaz8YFBGhsO7B1YZ2DX9pOl+vTraHkTlDVkdkEUpdTShODo+xgs7RGpi3xJ
4C5sfNLatJWq1BBoElHhsKDN0NwAr87xNVMM0ENwUPrNc47uXldazOYc2TtHxV/dUSO/sPC+ctOB
B5NHeSAqvkYKGbSEoYddKMrxFEeQSb1lU42S3FwRAYtttdEoCQQ8JhP0AJBwckRXDfHhlEAkyxoq
0fc0OrmHhEAJDW/Rz81ldKwaTd7YSsYrORn+zquKt0zMzs6SVkQvfbB3bdklgY5BmmubgJnu9PIm
0/HC1HhO82qgV1DXYwB6jhucZ73FoBT31Dw8FuDIoB3YoN/LCMGGq71UGD737iz7Naert4ub5qsY
wxAUJFckkXPx24wNcROS5uiuLPP2SDRRujG1OD3zMwNvKt3ymI3DOulTWLqk+SEsHNWt74fObvTL
PGiXLJpyzMHtNra3GvsQSuXc8GN61idZZKgAaqLYm8bWCZkUgBxJllt1FSzPHjX/Dvp9fYv9BsZG
NHa3IuFGMiujxjqmsMag7JPbWfenoB1KoNn2VAWTIXqgqmRWhFOR7Q0JcohBZ77/b9v8ddtkXPc3
22bZ/p//KaI3+fZnfQ5e+tveSW+TwooyxKS+ZUr4+96JVNpHQM1g8F3nt2j2vtVX9i94JZd2JO0C
LiHftz3N98E/2yoiMoFY+l/BGCj8fuhzkOCFOJCyjzkDe7i+fP27rmfqCa4bhZ9eo5uZHUFq0c6u
H797Y27+KNb/OZF1qQWRYTumQ1fHJj/b4T34/rvUIWWZMwN56Mo0kZvS0wvAeI3y1qFlZkFqteDm
uNsSCYs6rye8aC3n8DRQftzpVXwrE9J0nDi5GnWd2snQnLXhwZaSRqKv9Sg+jGZ+6If4nAyM93rj
Sp/HW9By53ouEY9ZFzQLRz3NMBYNizhNr/2tWLYXUgYVhZv/hbhMHM9Zzhc7EliBl3xN0BMQq+CC
qyGNkGixkNdPghgaRfaDexy1GTbVCJuy01rQPr6JUrqfOTWyrsDHZ9ofQ8sXOyEd69nMiZ7Q0Dvu
Ej2L3SDu60oGpWJAWJYG1iCPjIR95IM6PxgW/Fpult61q1rFVQda+4KiiGOAk5XlfZzN2sUUaspd
o82uszPKERsVQyIO3XrdO3mnwpVORNrFq03tzN9fbRbxWrZ4y0qt2HnctjYuQ2AOAYQcjfAYIUo7
O/Zolr0bvl9rPTsqEvjcVTmUHKPWXSkaZ7qJDbhAdaT8k9+44oj/MHqiQW8/DkzxgJspgp+7orcP
Hkp1AjBNZ5yBQQxUddjpfdSVaCddVBEBUQ/2xqwmtJs9GRB1FKnDYDrDtd/3Iuh4z9HIze3nlkJ7
UrBt1eSZKL6Sg8bML0BJQz+MdLA7zKTHVFcy8EvDv0PHzfg2RXfpKR/tf5Wjr8/szVAaKFaSRy8H
JsdHN4AUTeaggblJIc69fpJTcnQJDQuYu827rpPGuvBD+7qNB5PM1LrdudawH+0CfdhktrcRl3xO
mPycFPI8NG2xzZvk1i6dgxf36SZ05b5MSNuKLP2m9cf7Ds3iB8xw3lccuPQGso07Tu7XMuk3Tt5u
srA2HnSt30ZuR1xXmSH1zLeZx419onJp3epL23ZvRdK8KSAJtN02oEmO/pRv2UBw2s47e9LPyhs2
lt/tmZlczbTqo2Z40Z2eEl7bytHg/KG136tX4ECcW6+h3hub0ZUWpzihQpkzPDlu8iJn1w7cNmuP
VG9028f5ysxJeI3Ms1v1G2R8TxUfX9tZ3Ok9EYSDuyUsat/r89MUtkGUw9Gs9XplkeJAblOhH1IH
pJHBuBGF8Q2/451D5NJmSuaIWj2Exj7oyTm2AQbEoXnbyaI9j3V3grvJw0y0gqwnHdgqZ6OXq5PP
ItJLsTL9ZjOR/+BV1hVcw0dt7taZI+57M7ot6uqKqQKgPf8q74fb2KdTYFaByTSB2xIjToXsM2Wi
ue4b5qpRo19nWvZcZsYzs91j0manUnrHtDdu59HYSND1AN/Ojp2ua1mr0ywEdzEuCR5BDHUm9v2i
uG2oSuOJWKZ5PHrlrA71XBRHokS+5CoUYP0Kic6OdC1nsrJd7Ve7sMXTOSut3v79zkvMzx/3d6Rj
7+Z+na96P+3vsTLIiHMlXOoayfAgfYXbUmUb0pklEE9r3IiBXIUyzrk1zW9GVbe3dZ3pD97sIZye
pru+Sa/0KdxkvnjUp25Xx+5XeIERQ2KsxQTZkTuo9G0580zLMIHfD6125EK6smvsMMLr9sDPXwiE
6ddJ2n40RVwHWBxROMPmY1C8Hut1Ox2MKqM7ERY7hl7QEgdCe8tdm4svSub3ON2PPcEAcyuPdQ9d
qiqvvNb0d92oYF2rZG9OsbMmMHjthkCzYzvdRZxLoFbbO1v1xrqK3aMe+6xrFF643tE2pM30IU0G
G0Yo7R9TmRc7IXC5dhksTUl2Hqr5OmaylI3OzsGSu0kkus93MYNHAEOOvhvfROBE1ZWMyGAQBfIT
OZ5kn+8519AnVMBDS9Vuy7S5ZKm8Y/5JC4LR+MYttASuIpe9prlJrHbY5PPCToWjYSuY69GUfAbU
dErQwNBiqdYeDTBoHEsGBWoxWIW28ZTmapNbxLb59n5kH7LaEjW5uNJrfUDQo30JDXdeVQjyKcSn
VSZz46BVy17WXSXC/WTqEt2DIqaE1onKTWOdognAFBVdrJnpGXy6JWIo9fbEWPQfS/ieJzr9zVly
k/0HAyHjnp8vIi7uZGKsSDXx7AVP8f0VgabEiAkqJw6iTzZWemzM/tfh/F96Bn8c6fBXogIx6COj
s3xHT/000rHcuYC2GkXX0oWX4l6SPtkn1R3SKZ4EuU7ceuunwT8sQPNHJ9ofv+vye393weqrrIMS
rGlnXRX3Do6PleIPnIqfqO6A1TK2WXee88h8EvEy0VfDBAhOFuOSpZGU66KZP5WauEo6W18DF9hK
fzRevNgWm1xPP7iwLTdRpk5C2k9umE1IqC2352kqyqCfRRF4lcY4tcL6LAqlDv0krJeyIHYavY0V
JEnyKnlWg1p34w07sNp0nquvKanve1vONPqyD3SuYAtH8DNU94Wm0J5D6aFtmq3bjsSFO+ne0mON
RjM3FDkWxU7Nvb6uySRhVr0MsJPpzowLMsASIlStCE+Dj9m9Hb7W7Wgibk4OjU2w9mg/TDM+fD07
Ol1Jw3RB1yWhhWGrAxvq9uhn5vREZ3hTqNDcWFLHVR9m7LL64wA8FU5hfvbiaVc0YzCEM0+wHmRd
lGPdqjZlmnurisHvppHhuSIqCBAesh13XnvRdI9WlAtcpT30HboYy+r09Sy6nVYlWEn68rMb1ajb
8ltg4uR0Td2qNY5IBtA3OdZe0FzcVIjaChXvp5Awm6HprytMKeTswERs7DcE7GjDgTfVjr2LKvtK
oNX/h8ftn55xKorvn7bR5ooBbkg7p1fFTXStbetT/ZFs+4Ozd688jp71K1YLmpTn4nk8/f03X4xJ
3y3hb486U0kGuiaC5OWH++5RR8PqFRlUwXO1cVbFlbmutggLjZP2KLZEPX+4aOurxyEgyXz4zL/k
tbrSV8dkG17DSsv/4af58eD79YexdK6XnoVLCdf4jz+M0kd63EYaX8f6DaTMVaI/NsOvpe9f7ig/
7ll//B40uL7/hecmRwYVy5jD9S1q9r66/ft39E9/B8HMSyx9NFpcP/79+eTONOFrDm/tpvZZDw53
zl93qP8szstO/Nfl+/lzk1Rl+/mPs9Hldb/V7sBglxkn8iO0CpiKf6/dF40C+Qs4f5eG6CJm+la6
C4IVebR+MzPTrPzW9oSjuCiBqbQJdfjXHMWlP/DdgkOZzyPIsYamyqKPgIjix+cjbbTMFLMZX3Kd
QQByWNCgk6EDJ3YaLDM3pTY6x7mv3Wc3tkceUK1g+kVQ0fjUzKL96Md2ee/7iTMTJNWPJbl3onts
rd4gK5Fsu8CNwffbifZxMiFKTBHQO2ma2dqc3BsPC2pPgGo/4L2X6vMYzZ+JuLVXbPZu6+UkRek7
U0JHMxVzBiNzg2kAe6Q1R3ZaQviAMXPjJkWIcNvPWd1wNDD2QBwYLYkskFORCkqUrt6SpTIteVre
yun9gx01zWoYYcDk7p09OHd54sK1s7gphtP17KEg9Qfjc13U95VlPsceI6EybDDqFGlPItdMDmXi
52vqWm6LtnOXuuJq8NpPEOW3mVvIK+gupz7OcDiFJpFercDi3URMzcbKW1dzdofdCwXyXJ2tZihX
xPkZZEos6k/YSMSjLfMuyWixsyhupyKSVwUtwFlUn/AFDOvW0KtNrzdvc9sopkuTRAfZ72Wb4kGE
qp91m0qAo1Oav4ZJM8FGMrcESTETTHkPMCKgb8Sdt08K/mQPU4+YsfxYEGggfDhWNorOSr4aWfzg
luQedl1qXxGleGAudwviDYqwI+I1s/GQAAz3Klp0GaW072LXfbAbEss4F7+4ZXGaKfsr5VF26SQA
FhgZV9VQpmQbTqciMdadPjIYLYudTDSqKbsHXInZjkHdx9RtueW6Y7I1piRwK0JtHXdcayOK6Vj3
tnYthut+CUoTqvVQftmHDnPVR8rzCVtTfzsjals5VnxdALIh9Iecv1T1HxqVvoTDyHkWN8SA2PoW
1vEj2sJPAmqf2RifZR5xZV5+DH240xTm6nC+yIzIy8Tc+uEND2t5bQ/9lfSzm1m5z4nr59sCQsy2
mRKAPFisMGyoU+fy2BlOelWa5cZjXEc333vURKwtCK5kbaRTuNaahSCUQSrNLyRTngCT3QytR5bH
MjSOhA2/sH4G5AvI0vyQdzJauaU4VoN7UckI/M/tT5pPCTbU5SYP2wemqy9EAZ4bt38zw/yh7cTB
IBAuHTKoo7FAgiP9ljg7Pge6uV+kMbLEZlrZ3iQZshXuhV8e0fsYf6qRI68MPb+YoXHDtWNb+9mL
poVrr/TRGcfM4nIrv1k4IVeFFZ9E3hWPsctRI5U0V5peyJMG2wUVPKSiEI3IWuT5Z3rjWdApeWu0
4ScSNtSaERGzDsoQ35uvZNGdewMke28/Qfj83FkGUWN809G8TWE9ypDQKbKTWqnvbMveW5VE5x3K
c8/NfYWguNiqrNjY5oI6QIuvnPjo9511SoymuG1hUyFKHoylwC5IvoPECBygpuOReo99XkjaGjmp
2AS8t9ta6t2OEpiKqigx30y2eTMpG/1wYlzHLKw1n7kDEgVEiTPgbHI7MT3ONY4FMM3ylNqps+t4
C4JRanJvMBNeVTTarFWE60lfDW4X7zvNYorCDZc4zEqHp5kCdHw/nf47phe/zN8c02/N69uXPzmk
edW3Q3rxy+OPI3N4EQO7CP++H06iNoY54viIkb5nHsIicTHJ45PzERb7yCZ+P6XdX3C4WIKD1WK1
LsrEf6ErBp38x1MabTOCCvx6JufJT6e0pZkjxLEsuxi63TVHwl5JNU+G3NYe6ZGKhRjKubHu67SG
w0FMDL1srpb76XDQw3RXIOWNqZJScufiJYCuIokONFJz0kEox59CWDg8tWhSFM33NTT5i8qI93QY
Bu4r06GyRVRI1u5l0uSwAu/8ORTkgTAMO1U6bmV3okILm48kYmLCIUmt96aPsz5+cfEFV1bJXwB2
Yx9NDmxir9zbrX+LJ/XrgOQ3yNOcrcYg9LEau+xDCMkO6gfHgK7ow03GxSvD2zGH1+Eq5vp480N0
gt5+cJll5tm4xwP8ZFd0y8YSJwboY2ItynoIfJps+8rK6erSnma7C90gr+NPfVZ3m8Ih1jZasKnz
st5Io4De/L4Ix2U9xu9Ls35fpiDN6dovaxeTeBVky3rGfCRPaMqiO7GsdndZ9+WyA6BpdC7JsiuQ
QWNcKzaKetkxkFOTYL3sIm5NSQgsrt3G75sMDgf0DGw84bIDFctehGCHDsuyP3XvW1W67FokVFkn
r2rgROe+aiN+hqJOjrbQXOPgZ62WbU0cyPDSMuPFqC1708OfFnWanmOs1mggIOdjsI5RuCwAr63u
5Lc2So+RKJIS6VeTvcmyf6xhXZe6Hm0IVt3JjlAUTKLnxtfO7QLIjiFlO5W8m+LiWEHQNrXsKh0Z
DdRm/oD/aAwImCUeqSYeV1wX+dR3CLXQizupSswApZiFasmJ0/nMyJ9MGLg5WYUs1LKH8JCp+NDn
ZFeC7iuYWJhekM/R6zyNqEh1Mp4qP8y35XKSOn5BwHbjvDp60izHeIY+vGs3VjwFvYF9LVcfIBlO
G5SpDv7tIYW7iWoH7d11546kpupOuUcNSB4TitEp4b9EFrWKDT8QqiLYT3eKlXSITwDVPIDyS4aN
PunXwsF7mjXE1aqK7raudyc3mbC4OdIMEtlqjMTNZ3cyQPKq8n5cVLe+Gn1ocK1Y1YzM/WTRv0Eg
XbVCvOVh9EWWXFRZXWvgxbQVtfSmdwqkcYMZGNjhyPRTeVAai+OzHP2tx6OvGzZoOr3pkBM6HRcW
jaChkf6FKLNj0Xblw3/nx/uU1qTo/rvzo/hSvibFn9g7lxf+doSYjFvJQfVMGxMI3unvjhAMKO+s
WuItILJ8j81dOC2cO5Cm3EWKvihXvxV6MLBoPOj/S9P9F8eH4/7UVcF26limwGSG4N2Hd/dT21Kg
8vSQiWgXgwes77h16/b8Fo5M2zJHuqve0rdMVraNIsoKUEXV3PlNrt2aYtAIqRJlIe6iyKf15aMD
2/St0TyGXiLUq6Nx7yZ4LF+Zi6AMbwQiM9Obd1ELJbCl9txhO8VuvIjRkLNPwVBp/rZBqVZUmf4a
1YjXanOqtuUiaBthn6+GReTWlfy31iJ86zOzea7exXCLLG4GE3ccC3FM04ZEM0QtxJ/QAERN15v9
C+hdblSL0I5wPiQkaO88NHjA4vxVLpyAC+Zw7S1CvXwJgPIX8V6jUI5CtoZfC9wCDWm0shSoSo9C
b2UuAsCZIYfZTe1NSjYurphOPlE8qXvDeEzsNkFXl13jZIs33BNusYbh2DONMx5FaB9crYFiv7YJ
MbEe/UW7k4SWLWJFscgWO3Jaj8W7lHERNWaq1YP2XenYUHByIUf+OFRMLflYtAsYWwDpqCTJerfW
XcLhsggos6EkJ3ARVQKaz24ndJblIrj0F+klQQK8KJvnZEsJgQR4bRWAVtNFr9ksys35XcQ5Tba3
ad+lnWmMqH+F9D+8Z2+tdsN7iAcPdnEommHgMozoMnQ175zY8MhWHdFGGahKrzgbS+KR0cdPMgZm
GhOGFDVMGsaWrRGm81NmdFEQEp1EmZqviZr6/+yd2XLbSNZ1X+V/AXyRmIFbggRJkRJJzdINQrZl
zPOMp/9Xqru6bZW7HHVflxUqGQIJZJ48Z++1j1kQge5N5lMmc5YiApeixVzT4u1OM0pXyXuxWeYd
DIcFUYnKYO2bgewmTaY4Dcl8F8lcJ5yGW0MmPbmN46mT2TsrY5YggLjHEGGuOq0nx6sZRs24HsxK
uZp1G6ktaqCz+UF3buj9ihYOlu5pLSwvLL3dEQ+BWPc8aCckMZbf1GZ9sAw2cqUstyWgAfimS7+F
FfeaDQzxxaTCepzaq3GSuW1DqPqmETg3iMh9JXe/aUpLJk9+Kfv+IVD067aymVFoSnUzK/G816Sj
n0V8p5ijZHKY2b1IgmDjOO+dMh3ijGGOYR/nqGSHSqJtPc0bi2qLeyZpoDia2C2XQTmYanzMI7Kf
494Mrgunate5Vel+H4V31H8hUOps3xBDmdZ8ScQsXFUj2T0KkZUrLXXewn7kDbTi0zSUQH4LDnNK
N+Se45JzbWV78EQbp2necvA2I5NOFJ7fLTtmacl9ukI+IFNPDG3JOFfcVlDroyrZ2/Dr3BGjpQp9
Juro6Y9T9uBk4sSh/wHTl8ND6pbWKUBHeBU4y/eqVm/Npd/LUAU9zzdWR9qQiKaDqaQeKry3yNK3
VjNsoAVBmjWdc5sWt06pfXNT3uE80987d741FHKG87q6nusFiBmhC3zHDKPQbTPBY+rmDYR7M3jM
vyKEuse3TLM+TfZNH52XkiBC3KkI2PcEKu7svPRYSDmYmuJC4Dw5u7OnMZ8tgn6N4ZYQEGVLs2GH
0d/LK3DT7eQrppxravFXyyGqjmAL8h69NMKiWpWnohLOphDlFnQgU6Q+PGskCcZDuJuEs85L5QjL
Bm5L/MbQcjWnk1fziiCx9IJGXRsu2fIduKPsvQz62wnRR+KI3SxAMo/Fs1kzvlzg2Rlco2s8IyBO
GJBn21mk0plrM5xujcmVqBttTYoyGtpRbHOj8dwAtzegX0Rownfc/PtMD5kVzidBymsjZ205aM7D
NtrrKjrCpXkWascR3bnDuvfsRGCThvnS59+KuXqvBSBXZHgrW4/92Kr8NiCGPjQ2EXTcUI8uehNd
l4N+S7Piu6p0K60RUGboFAmxU9xh57SKL6LsLiFmuAMERWuM8wb2acusNoECCk/0Pq/iTes6vqq3
V3owc8F6E1Z8YFPRrss6KFY0QL+OffnMP2X4EwajuTUq8quiem1Howe08a0tWq9wlEPWlXvS4ZDX
YEEfmhRALJtEVMEDc6MZu7Jlb7VueMr74rXDDzHDfbJtqL8RvoSya3YFTm1iKmjtmS7z6OF5bMRT
2ZDEqqjbwJjoVgAroNQMi46kQJOn08ZSNVxgkhwqZsiD0t9lsb1zpuCE8XBfGPkV2IPrqGT+U/QQ
iLP5XAVizwsGNdu5JI17RLL+UlloAxoGRZrrPAQNlKKmPRWteYu6X6yAJ971prkeKurrZqHvZ2bH
zAxB+dWC9JfwupEL1VI+z2l30BpzW1EK991If3f02lGKeosDOREP0mipauVB0Yi4JvQ8+IJSNrtr
UQ56i9ZdNUzWlhHIGu4XRUm+RaH1kHS5vdcYhHOI7F4MZDYarq6kxOURq9+sXFkVXf2cNtFeaOqJ
9RaFZpNu1bE9mIscopFi7y1CfYnMtvJdPb3Pmw6m5ZRuU109JykRKSm0dopk3UestgtIER41Jd/E
S0ladePZ4UiY16zJ3DCS04rzFFrbJJhI0J2/VQqaImLGOyCd0vrGGwBrIRnsTd+HmyZSCk+hQki7
nmghNgkMOrtBcb4NA6iuWBCuavuxmDZFCcs/bzlVh9PiT3lxmLvw0HTmfWlikGjItyxa+nu46Eki
V64KDfQ40YYqZ7tGLfeZ0l0vtNjbpvraO1Ii0XJ6yKbrwSBgPhdsfz+UtL/Q130aE31UiPQyoALq
cur2ucHQjU3T9HGhnES+i5N0Vaa3SvTvBtT/nHXJ+ft/KUDMzyhDGeypqoD05SBN/HnWECu5sExD
VU6T86UZt2P/MpVo+9c5gt+/vp1fFbw/XumTEqAMylmFSqKcNOIZDNptNuC8ZV9aj0n/GpfWb2am
v/z0eJukMV1V6dD8fGOaU0IvyMrwPCivXX+ow69F9vXv3xHVMsUyl8Fm/ukSgYUPxuVQeiZDgGDr
fp43GVHrebiNoZtq3W9g3L+4Izg1HFrI/mIq9NnJPhRWq82ii8+YdFexjoIYclL6m3v6NPuUz8NP
F5E//2HY2wZKZ1oBF0mYxnTNESv5+q8/td/dhvz5D1eADkgLHSfSuamuyQ/y0vI+sOPfXOTTwPxP
t/Hpq6lSXL5D3sbnSSE00CS/5gykigXuxWQ4RMpw3/7mir+6Lax3mKuwNZpYKn6+rTR28rggpvxs
15dahKRZ7+3g+9//6DBeWIal8xyQ4v3zNQJTVyxnaJIzgEPai5ibSm/MHv76Ir/66HSm00wfVahD
H0CFH76fcoxsO46nhO/npbBIWGtYbGmPBHdJfzAQro/B5a+vKJ+pT2sQS9x/r/jpy0Irg7ZOnZOz
mFBdtE84U3+zGKg/fzvSjGKqNnYVEkBhVDB6//mTA0eCK2JS83NybPakanj9Ne7DjXmJbk2PxBGf
BAH/r+/q50t+rKw/3dWnS0KgzieE/sl5sBDT0ArSIH1p5d/TKnw86JCb+EjYOU1Lwq1+fJushf54
h2LoHNTES6kHCfD56/uQn/7nb8dQ5dPmukgWPj/YFX54dcakdrY5+s6ORrX5GhvE8ybJb+7lV5/Y
j1fSf74XTsTEY9pWclbN98i5mMFdvfxmefv1JYAPqMBHLLxKP18iVtPBMZYwPRfFyUTFMoHy1Hrr
N1vdr14hHrb/XOXTV582Q9RBXEzPcfo1UxANKpvG8M2099LurKTbzPzNd/Sn28IgZduYpBAhEMNk
fJpFQIi2yVAts3M3bOvmdbTI/rv968fgTy/pp0vQS/vxQSsIm9GtqM7O41KsVAUmXmL+5mP79SV0
h7WAgoc+28+XSKaJ4DJOWuc2+6ose4bMv7nAnx5l7gEUPfhEiW9DQ/TzBVg67VEtlvxMnZf3JnP3
fYzsvXDfPz6rf6Z6Gq/kX3RlkaHyPn4G7slf+qMj++E4JIKZ4Z0pQGPyox8ch/hpMNNoiKL+xQD5
t/QGxyErD9pRE6GzlHv+pyH74UWUcSE6RA9HE1AO/kZTVoIPfljqEN4YcpxnuSoseYH3Ufv5+ajL
2uicKInOdU/nYld/+PpM+6RiGGMIEX6Y/uBrjDgAiYARLvYLaQ2ckQ02vvNhGRw/7IOj0+4wyenB
G4LzRGxg5WUK4YIGcBCV5hi0S+R84dlIi5iAz9qIoCirkIxZkxZzyWIvI5tc2tQKm1isYbasjgMf
9t551cy9vaBtjetoZ489z3KWmGRLTRg5dnXYuAnwgZbJXD1mzSk0pAm+1+fR3oSOKHHWOdZaLF2v
vJux223/efQ/BhIGi/z/fvTvaIK/N39+9uVv/fHsA5sE+apqmPo/ojB4jH949onZUV1YHCp6QIcH
8w/ZGVI1Nl9eGBTOKoEyrGk/TCM4dQgJjmfIISfkf+Ph1xy5vP53o+fphwBPVWnSp2Lq/ifP2KAV
Wlcr7nyiwG19oWTFpoWShb1fd4L64IhkMmE+mQr50kFRwd7o70SOht5Jh1Ur2xZxJMzjVBCBNSRa
seohPxu8uERL6/BZ1c69scAn7iZ0VhcNnsIK06tyyOeQ2W1SPruLmng05r4WNXZJ2LSXPC6Z141l
tlYqCZ4L7RPiMeAa5SBWYUXfIS5H/P0OUII+DiH55NqFSPFsP4DcQ3dj0qqIzB15XqRT6EG7V9O+
YGRiFaYXV+kt68H7mNZ3JcTzKh+bdYNxdJ9MynQV0nvDw+9WJ9Fbr5Csbt2afyXAEQ8JbUTH0q/b
Cc9HMLrXwuCj0TU4j+FwEenymPfVg5vUhzhqX8EHbRPS3r14IXuucJIjEvFpRe7I9VI532A4pkxB
6c862nCYbUkCzDBPKLRuV5E1+a4WfE0jvV2ZTukHQDptpb4utOo5iQl2tfUqAP6VNxv4EF+WWLtR
YURsRqe6jUG6e0AZa7qwOiOXrdIXHLwjrhcg8fJq4s4ctdk0VbnV4AgKd9xqTE571fXVZnlfHCfe
mPYAEAXPl83AniAPWm5F31aegUbAI1ai2rlARlc08Z+qHrEP06l1jQ9smDQTC8d7YMMO1CoZKBC+
IZL/3tthubZTs1h3xlL6qugy7LbaOWhma2VbyAmqpLpEzfLm1G2wUhlIeFFGg4BwLQTIVomdrHtM
kvLSixyXigXt08kSf6l9M/uI80DBqFqXaQyfOgJD8Da3h5CWFFnHOaMni8fVac0ARHbIRHpexM7O
iniDAdhAAgdPIa5dGCPJGd9g7dWtdQhGpyHFt53WnRm/gUIJvW4o3+xJb/C4KPG6VYJlF3SlsUYu
kW7wUdMH0Ho6pupSrScjNADOhHd2YPNMlbqG8yK/7iQ7E28AFsQJnmYsyZoITA+ZMl6gRb2w9Aer
QlI4TXCcuaXtUERjewrdE+3Tdp0p6D3sCPmYnJJYFZ1zAkwicDjTqQRW19DzXM1AQPukf0py/UsF
HDQxeggaIVhSU71ptDBfMQa8QXknNolDszyQlFGkDGcsid8SgxRFIOW4COcvY+LeTFpxhy0u8Uhy
e8nIEGDMBsXUkTzTKkS51wUk15X1RZPQUwI73xOJQZ21gA78aHuaRKS2EpbqQk0tI/CpOnCfjVKl
T3gjnoDQzeRrQ6URySsaOrqLEsNaSSAr8WfXKNoe0cceSAG6ogOO/HwykbNWV4GEuvbQXcHD4f2C
99rBfbWT8lg2ebYabRqyUWg/d3RB8ZaDix0kOLb9QMiqPHh16xonLS0dZV3T1vz2z7b4rzk9Rfz/
3havy1+O6PmdPzZFEJF0HanF2XY4w8I0/8+mSK1osVGydKogJThO/XdTZA7PNomE+785VX9sijKM
isrehav+7/3yb2yKALE+b4oOamzyZsnKtWyaO/LnP3RD2oVTaW/21k2oF8uRrCFRMZBxotoglIMY
nQX8bo/1SgHsna2dLrBLZsw5AdN9nHzM1ASrWx8LcqrR3lh26LVwGAwmJIRAMmnAp8pkehnNDK0U
KdXh09jnSrVeREhW6yrFmFztW6Mh3MEdTGu69IlNzGOklKFvm6Qb9lPxpAkmZ0gZdp1UU7ftAPJ5
wCxGRDbhDaHS+kEv7pMCCmZh4U/OsbHO4raYEemoKkmyvF+HqswPRR0c1XF6nDHvYIpGSVxV+bav
9qhvGaiESFxiK4m91CYNKgMhu4odmud9sGCAmxaC2t2zKlA2QWReKT3FQwWVB7ajXa3H3LlqaOhr
Uv8T98Nzx2AXEnF2yGNhMlabz21ZzP5oDXjfevDP5Cl0nm4v0zrtGKBgtSJXyWQO4Ahtg/l1XmPh
rL3RGb4pxsS6GYc4PgO68YH6bZqI7wTJ52MLJxqEERkhuyRcaJXH/viIQxxkfT0e255z+RAj6mFh
vlNQHtd2r/lBSs6DkhPsQWDWnvZRuJqM8ibRylsIFIRBVIcYh1FE1t9qQBes2mQr9dkXY2Y7aqJh
3emIHrIURJ+heEMVXhlBzk7rWCvsz9CMuilBTl6mvjPbCmri7jonTcdPM2nMxKishuFTj7adBqkb
b/VZj9eKFZ6p8jHvuZ2n1t3V0MNGrkXzFJbM25fUPEAuvevCaUOa1YDBGIx9kdyGLOmxqa9TO+7Z
L5d4E5hztqoMJdg1aRB5YnLPCK9syMr6e5mp7U7FZUEabXljqkW3jYjDLPT0gQ7UY57Uq7KqT0pU
MadzU21lZBw55A6cZPnjCFBYWvB7ob+Iinx7G2XeMGZ3U2rui7BmeZfD3MihKzu3ycCDrkUHTKew
xFy24mgcnwqOietE656mYHxUjRYCORo5kCrbInJPSWsS94mWwOy+TDYjxJa0Ra+302pdp7BBHTVf
611/FyQLQ5NEBQQ9h/uwNcJd3dW3vbW8MIp+JbyLcJYYaBxRKzWcL0P1DNE/DDGDWjXFSV9a0ZWi
lFeQbN8KDAgrEdaap5XqHQ1gn5Cd+6oVW0UvzyPYZnpJ+h0RS87aiUTOcUy5CSPjOrYrxSMDwZ/i
DGEKtHTgZm95uEw7MGi7fmgM/FuO6xXAzhmpk8vSdQU4cBwFs3T3Z9PiHFwxO2syJ7ehWBqZ+ubn
o81DqmXAll3+YEsZSYSbT6pqMHiG9VY25NXb9gND1uiqyXXSrtXpPY3dWzZ1e2VRNTK5m+ZVu8zf
xwF3wDDgXSYmxfBoNWKIaKU528awGGREDAX4Jkgot4F9AYQuq3hm6F2ankGiTRpOb1bUFZvOKooN
mHQk3/W1qhjvKfKAdTkBmGlQ0XhmZ/t4n743o3EIy3g3LyVVTkjoUVTvbR1cQDWpB9HUg+9MyrCm
NccsXDP2IXyaFfFwGE605FrFxE3U2XbukgP8C6aswSHPkn3U1XdBVH/vJrddF2NznMvgZCnVfcWp
Hv0QQk/BxBPEAeteEzNsBRqzsct+3CZp+VSU3ezZIyjejLrTDOBfjRjaEfWOj27bIdcsQdwMBdIN
kGovk97pvI4TOXcUegBfSs+dNKz9c/Skje9jAxAXHGG8KWbjEFn5yzTziaouI+Sx07DWl48fKC69
VR41g5Zn2JmICWwmtDpz6rb86mrG69KI74PKw4AD4L5q+MJwAxLHnXXES4QFoVO5fR6SdAOQS0Vu
OCpQLoYb5Bi33Crqrei0gD7zTUMaIwdFWy2ZfbTZ3NeRI/YED6IRCZxpb4zmnVYFz5GNm7rJ4vd8
pGYKjBGzBD0/GUv7oBc4nxl7LehEPqIN/6mS/tU84Kz/v6ukO4AD9Lb7X7QP+L0/KiXZPjAY1CKH
t+hhSmDmf9oHOvUQDTAO5joobalY/KN1piFmJIiCmZFwaGzJlte/KyVD0FWTnQVGIoK8XWYif6NS
wgrxuVICAQO4BnMmTQn+lE/NM7xl7KSNVZ6nRth+MRgyg8EAZ2SMu8jmaDDM8tArRnHiJsRBYFun
SRXb6R58Z/kMya69ZnYDQkPXa4ZNlrEzp769GdOg+kYARr61M47pUWbDOwyBTHmVq2C1yVVlOrdN
3p2QVRsvBEp0vhpQI3pBoGbrpQiKmzSs3G9ANW/nKSM9QlWVK04oOGgdK3/onNl8QSvW3I2a2V93
bWTvaRNAfLF7BNyqOZePei86Amxa7b2ESfVsiqzYhWbrrhHktW8D8xmEM5yW7YYztJ0A/u6jobpA
sCc2Ju78MA6r9TCqxnBCsWAMX8uW3eGgUgvMk9+Vab9VP3py4Balu/Wja1dzGGtOdlQBSASOFyGr
cxXUi7Lnt3Sk6Yw3jqvQ0qNWjCbDL7PRsZFHD9WorE0tzOKDpRQI5eOe81syaHW+0VAqu3UwvVhj
pr8RgmwCppxg8oWRZV7NIDXvurFc3nTTJA4Nhp84hCPy6DiE2BVUQ/iFJyn2RLEsb0EbLe/IrJ8b
EBdFGF8pdomsTSVahExVNFXVGKqoW3oSOMjDPITIzI5pOWEk7lxwPEhxyDCPxzD2W5K5AdAMRAKi
VHsy7DjbE4b9oKd0ObG6U0pLU5rpNN3OSlrrzomqfN8p5BNWorZuJrcWcMik/0nrTEbKrcjfW8AY
XxQbMYeeocKqppwEaxW+Skd0+aAo7YT9p8Z4MAVx9d0Gybqfq6AA1ey0e1Ms1mtI2NZ6ce3kYQrS
5GjjG0JxXycvKoU+VEZ7PrYpm9jST8qBhzekXIUGn4RN8Ows+fhQwCDY9OUU3ynxVJ2jgRAvIgrQ
1RaGAXkWZY6KPcKNuk07mS1YFxq1XoipbqcN2rtrYcTL9Ct7GvXLbDVI6Gjhqu9VWS1+HXPsd6tW
msLQrv+zFn+sxToL11+sxW/F/1sB2+l+IS2Xv/mf1Vj8H4kCqD6YkPPP/iQtVyGDGZwVGWn/y2f0
x2qsW/8nwzo1dFLMoX4cZPATur9ytmGhxJHt4b+zGEP5+rwYs+bLBDFO1bSPEZh/Orb2M8EoqaPg
i8iBbtEyA8W3KjKrIGSwK/0UQq3SGrpHKNxFYHHiBEQ/doRbNc5duSYYErMShXRFqpcnLKtcaeMc
rOuaHNm4bb+QhvBYJtMrL9/1DO9/sS2HDioJuwaguqDSH0K32eYqJ82ww5iiJbWHgvqrpcbAeK0W
Qpi4uIK1aXQCc9UkDRQa+/tEDK+fjBXwYwDD4BM3S7owvlBIxsvd+tnooRTFarXOUwreJKyo+Uni
xf/cM5RstmPKgmIEOg3pPr9CMT1ijAlKasfRBKwUTMZrlQ3KfEnGwRl89I8jouBSGjMwaomKWkc6
OFzOuaX0dFTS3TFInwdHbJuKV98M0gOSSjOIdIW4BedK6RPpRfKtwzgSSAcJOAhzpXc32fCgtdCM
iFJ1vdHt8YNgPrGlC0XFjpJIX8rk4rcCPYaBuBwOVtC2V7UovtRalDTrIotgqZvYjrAw5oZ2qdOQ
VTmyzfU4p/ciAmNr9xTxUyrWkzCeC6N8hAJZnqplKo+ioExXbHdT2KSyhtW+yMqbVm23eSOJI/bV
ZAbPhHfQXEj1GS1W4veFIfZqLz1J3DcM2QlVq1USOZERqcDf8+SEXXw1xDbIRj4+lvdA8YJRz0+B
I+4z2vN+XtmICS37YORxRzDkWMePeKG0bNNklmVt1NG5XrT5IlpOaMJq63WC14bDsbiTCtWgborV
gsC7Dl1fmbQdLdgLqcn7QIJLhn4XiaVdD1143zn5aXKHrTZpCJXFQFOab37EL5QQO0WH+okg6Huy
oLcjCVOcr0PwdO1u6sN70qKOzRjfAXt4jjt1p04c8IiUqDyrNhtgx5Cz6Ir6QuWcNbHOW0UpDnzl
oCb75D2haTI0/G0K0wsMVNK5rOGBW+wtjJ1XrcEoX4hg1dESX8LgNjfraj9jCTrqinEX9+OXQmk3
eXvf9KrqubV7CaNkXbXDqqiWq8ZSH4WbjKgwk20bNzuOqZggdP2aUvI178N4q9iWX3VUQnpdrYFK
41tW6EeQ//TmBmq5EQBkFmshRZeKQzhPmjYeylZZlwCUyWr/AqSIMWCQ3C1hdKIueaqb8RiZ6mNW
C3UjtNmvwUF5carcBMLdJnlxQx3jSLLNlyEgvVQfg6MbkhGsD9khy/jfVPcwdn1HFki+hy18HKQo
1SALe5p0trDSpPPqjJnmqwS2edaiFPltROMPR7IVviQY0Qoz6cFhiO+L0u7SeHiBr+aP7kCaNn+C
7rx22BnynoZKSfqZrvZe1+m7JqyeZ5vmucYoieMRSBStv3XUGvHmBIylafTnuG/2I1LTTBkC+nfG
RUc9jtrlohVu7M3LcG0OI65+s9gGRePsUSRBW7W3sZM+JVp6pMP+YKMLZ9YqbrtIEu6y66ioD9BJ
nwjhvgMfa68glH41cl410cAs1E5Tlvf7cFb7FUCqXaaBbXG1Wx6Sq7LPeMMa3NKB8GHsYWunI5Zr
NWYaI/OHVpyp5rCQw1nRUcLXo7KHILUTCEm6htiJZdyNqMVdALcTU9wuWy7dkHZwTWsw0M1hqnhk
HeZDeZs9BKJ4TTG9GLW572DWtEZ1FZUWSMLocWjjO9Np7xFSZiu0f/5gRhgDnC+pqPZqDk5ugbYf
aJymu+KKlDbeMHVE8pwewGq9Tpl+58pun8ZxVyXQyUsARBhD7BdVdTLz8hDbzvd/apOP2kRmovzv
2oRuOkPm9/nP50T5ez9UJnjekDch15JnsR866hwh5QnNZr+2/k1u/mPMTGVCAYIani7xDwIL3fw/
4F0ulYzkmnCo+1sp44RI/KkuQVTIOdTRdcRKVE8/1yV5lRnIgB3rJteXwSf301iXwn6x8XqWdv+k
ddZDulwCskO0Wt1oZIn0XfjAus+EVOIsKpTpNbkjcBPIINHH9CGXoSSqjCeZySmxOsxqhDnsKxJM
RFjQUOpLfHQNwQQy5kQT6qsig09UGYGiM2fd0A4L/IV8lDGGrB+EzVUxouJN9Ogpx9pAFNvLgv0h
q5zGG+P6bU7Sixvpb6zRz9Mwa57VTdfdkJTeHKWgCOrk0PesQzz6w9MsnNe4q+JDQQAC+x4JBaJK
HtI+exWzvbBF4WGBYYwNbdkttfY6tPmNWxCDYNl3FFAE121qF2YW+XMPfRS/OLGyG0X51DZKeGVr
1dptDS8vhhs1AdaXzYR5xzcS2FHPDaPzOPpWgmRgylCvamu8cSWbooy1vVH6GANX0Yx3RrsLQWBh
EerSF8qOesWfuCUwXDrAZdw4xo7OhDKcJhrmBYP102xbrN7kWrHvI9RXjlZejruyswdIWP1mLJNb
jiVHS2CEMqyI/neWEdyYfWuQ1q87rWWHbsS2sZbIM4f+zPK+EwltTBEMxTYqMAnF+OiygusxhW/N
kPAJu/kilplZq0CV6izrElPAZAVkOff2EfvCKavcm7wy1lYCqLmck+MYRuAK7bVtAnPuDCxHmTDZ
YSX1IsRG5FnjAH8+BcyX2W3rEVRAjpZN2Pgcu/jT8uXsdvYb1rR9qHCI71tqIVmzYqy8jLKKtSln
LcraWda3Rp3cFrLijfjmFEpgk1K4ljUxQkTnWCsqnY7yuqJsHiifI8roStbTqqysF1ljl7LanmXd
nVKAD7ISJ9D9qZe1+SKrdOb8l0DW7ekw7SCUl37DYApktEVNWu51LU48YDLf+T4OJeuvQZ2Xsh6b
aob3ib47wDgcS6zZCWs3nN1Dx1peykUdh+RV0HZHwWqvyWU/Y/132AeSNty7UbilK5WtLHaKkR2j
6pUHRPt7UZRXPTtKaVn7lFgH2CKvBTuOldZ8qMt4NNiL9L687uXmhPPnkuXDlvP20eitdcEuVrnl
XpXySHY3zExXocF215D+XrH/jeyDQm6I/dLQm+6eR7lVtsZC+707oTfIoYXYVw27qhlXB0qGnZHO
PXfIxkvD42SwEyMUwdI1YPdki8ZAeteW7ROt0wNJ7Nc9e3kUzreFyODh8NKnWeQjPXwK2f3NsNzl
VuxQuRVbSxYIsd1d67JkcKgdDGoIppGXXBYVoai9iCqD7I5nIcsOR2TZ2qUSGSPz2IN9X8EVRTyx
5M8ouXZ2T0+XKoYIY4Z41DV6Zr0u1Dmjgl2fuiej/imaftfKeqgNkddQIS2gWeKPmsn+qJ80WUpl
H1WVIwusWZZaiiy6Gis7uFRhcG/2kyzLFOqzKIpOBvVaIAs3LD7XoyzlYlnTyeJOabIbhWqvLt2b
RpZ/zjj5uSwIYyrDWO2PE5WiTk2oyspRfoWgtL5U1JT0szY6NaYaKk8TNaeuqjcinYjVs8sNTY03
TZansSxUDSrWWpaujWr6hSxma4dMSqrb2WVM2lHvptS9aVGN65ZKGN/eVU1lHFEhm61yGQBDeZpx
b4c9oMPlS5LZd4ssrQtZZAuq7SovrhVZfgd1tjGox9XK2trU54Ys1JMOCO4oi/eUKl7TwvdUlvWo
6QXym/kIBIwaVa0o/jkF2PI4wENRgcfiiGCFYtdyZmg5O9ScIWbOEgFnikIeLiaZYzvGW+75nlib
p66Ohv1knNMUQxXHEy2xoL/n09Y0ytPIASaWJxnHGnYKR5tucfYNR50lU6lpXT4a9aTIs1DEoYiU
vjtyvpyNgDCxdhpJlVDHS6Vb1+3HoYqzJAesXp61zI9jF/6Ug1bgsM3lmSyqiSGtsRDHzsDbySwb
r/iKjhISkbnaMVjY2mHhngE1Odhch2KzKDH41KEGxzxATBr6/MsQ8nFaReKzw+AkBopG7rVkJISQ
PLpdECGFmbKOLWZwhyt0KIQEKvP3oqGdxlu8SmdImHrSqPR9J2QtWfY0lKHGZNdqsPtBCFKj1lZW
eWKhLcrD46h21amo1e45UW2YV+bSKIBMRvPSjqT0ZM6CQ3zMDCcm/IBOWjUudHxV5YgJ/QrG6llz
Ut+Yko2tocmqg9uwpjNbaxjo9QI1CikphVo/B3QHpAtt06gtGMN02vYGLCS9674MCfEBqfNCU+F6
GHFEQzoCOux3dC0AvN5jh5zXjh29sbI+Cr3ZYeE/CXN6DxL9kC98TG6EYS5mOtQqhMot5sGO82vQ
6TqTlJyTL068ChthzxaNtBMXZxOcEgbiWVreEqMbU9Iv+yq0juYU75BlrcK02ucuvMdSpGv656Fn
JfrFHfO7bmLDKGfwsUVxX8DsZISdHhhO7oVQrsns8yiFOC3X+y5wCUCP9qFdH8Kqe7IM/ZAV6lWj
s9Pqjp861VcGqJskDS9TQKUw4+pcgmhDYCiNnO49j9yjUhRey0M3wR/v3eyrpQuA1m6xL0V822iE
oGuxR8TmvNJzaxdN4q5NFSx2BRJCOh6rmR4CgFg/GGi5BAnxEQgPu0Td5b32jFDfyxJ18k2ConRw
L5QW9QrxUc3qnj6TLw3NxeS8R/vETdHN9mEGBjd5JJ1hqzvLWQyQ29NOvZ9HWDJJ9VSir2TCCvxW
GeJvQVMO3pSM/aaL9Bv0TzdBqJPu1FkbROEbI7DJr473bixcPwyh1qfLezWbN12lcscjTnRL42EJ
y9FEgYASghBLdRPMlnMq1ZIAXebOGVLbqBOXzFCOWTctnhLqftuS1BSYEXA5mtS7aLZezBHPvMtK
gwNyOk6Tg3EZNdRkLpdKsV40LQn8Kq6fBWZUGia9n9Laxq7IXTuBunPl0lPTGx5KN9qFDfosSDrX
FQ73NFSWk6I1h0oN67WG9XldNzkTxYlMjbkGx8V/zaQLqsP/Z+9MmuNG1iv6VxzeoyMBJIZceFOo
kWSxOIvkBkFSJOZ5xq/3gfpJltTDs+xt7xzuRxVZVcj8hnvPrW4DRtQ7gi8O7JZjaMIdpPHl1rbk
46jzoMUwWdb1iAu5muSlnkSXINI8GUsaxnBuLkjDwuM8mp9YPQRnQ+1fqyZ9glYg98vjDmYdH1HO
bY5DwnxyQ+BxpbxGbxJdKDNHilgeglLcGQEVTWGJJYyVhXexFllyUQVi1zmSHCEr+4BXxJjPNFh6
undJW5xFbIITZCN9So5QY7SPZGjcqJFkqbx0LmM9IJMr3qaOnNAyxg9Vqp7kaN7gHizOLZMlTRfY
xdZo5dOcqYOC2+3FImJX3/MPa5W+LZhZAGGT/T5OQag1kDJiL5CZMG9HPTZoI+oaVQ+gfGkg2TBt
bWPokT/H3ncdHy090Iv8P/IuuwIh3zb/9Z80dt+JdAFDMlJWNhhW7ngAJeKnBop1jBgNI49OcYlx
IT8287hS8vbvX+Qnn8S/XsTWWTdiDqWV/LFLS3yyFbSmiU5iOmj5URAbo8m7drj7+5ehE/3j3+Lg
BJAo7xFGLL/Gd9oqn80lXYCgcDc+huJeM/+NgfZP/n0UYrowCA/i7fr5vWrUZBeFnaWnfOCLtnf9
l1/+/SG4GrxDvFELF+bH3z9wFiGPVWUnl77DurLUxd//+4sd5X8E2f/6rL97f376rEHm68i8eH9k
ttMyLwFk6KwRlo7vabz+5ZcizMNe7DEWPjL100eRuuhKhrlITiLe42ZG11kiuJEe17BW/r5Z+t9a
jpdv1w8fy/IV/+5jF3qUsQFI01NJbGhDRefxaHGmTv321/+o7z//n/6o3IkVJuDfXwj1FNkkY7jl
Hlmu4vLffNf+5LkE4sPuZsGcm4axWMK++6NMKzcKLt781JhbP33px43lv/39n/NnX+fvXuLnr9vc
WNRK0LlOufsS+09S+z98nVEIQMQlx1GHu/fjnxBXqdVKzchPMScgQp90+j8cXigphb0Q+AwTmvSP
r5BrOfW9rRen2XkZnMtuUQa2/+bs+pOHhofSwiu0hJLry2Lu+w9ChRm5tKxeT/AhINUsyjzruq9R
LK1R3f39J/Inr+UK/gxDd1wHs+xP71jIwsMkWTQ/hUtPvQHrHk4bp0J7tTNuvrzUP5ayxZj/1yPP
y5eSb/EfHGX8zLdxJwoXbiouEDaxElv0d7IYg0WsbXCs6WJxzPNMfh13ur8tIhqTJp3lFn56fuqr
gNj9TbeImoN3buGDEehsfkEWY4rlkPmfQ/yLqwbPrFxolGiS2e3++H2sqyaTFvD2U1k2DMgpMVa1
Qk9RWtO9Hlc7fwHzDXq19svuVXQ+2NqRJf8oz7EopCgatXvVV2thTUdrhmBhwfMhxLlF8xGd7Cjd
Tr57JdJA92jPjU0FKyYZ1XEwrYsiK3ZuoPZdbNBQQF52icPz6oBkXFh7t7ZVdNvW1N81OyfhTWHF
72VwdGww+ejx/ZVbWZvJQJQGpXeXmdFBWGgTSsN9cErzisL/ZEG9XHV13kM56dOHxJ52/piQhWCp
6zQOblGOeLmFJHKywG4FaSHwysn3oQji4zx35Uve8jqT1e9mrUY70QUe4MQ9TYvYkqPHyIccbYYh
kcA+EpRnnQiSjVEOeIsM1PtJWHlRaqFnSV8D8iWWbG8mXM2uq2owHgVpIexaxq0jCAwakj307M0Y
tApPR7iuZaofiEE6N0UanemadeYz6yWQQ5SenzBRTDDiqMG+rfTI3k4ITzwmx/wVqpYnN7UP+dCJ
VTErcMaNlR4Yz13aiQnIK2+9pvWfm8C9izWQM5Fm7uXkv1Ol5ES0jjCb7GzdMNLFDw5eWpNyX4R+
A4YwE3fMQgHpjNaBHm5cy6C8AWu5BwTmeKEF1ymYm8orosY/ML3EJiVIkSpjtY1oBzZzGE1Ev6K3
tILkrdZp0PqK1XKrzYt/SXdxFyab0HJZIAo9XGutzvppWEKU0yVPObH9/GB3ZCzjFRy8QXOTQ0kA
8+iQxNxLScaT4cS7trDSal83QeHfuoOrnel2+DnQCmJZ/USdzWXIOjKtD3UV3DGuRTnbGnupYQLi
/N80YWdtepeCv8+L89ytj02TfRRjXq/kPJyLsX8sG8ZDCJUfOqOK6bOV6fV++dg3rtiQK3zR5eNF
lgmJASm+nlu3hy5KTO5gHRHq8khoD+2gC08SUhUbdC52IE8OeM7Ohf4VIdkGyVasAHTuUNNfpDaI
PKHa57n0T71I7tXIFDwDrR0YFerlibFwrFfRpo6LZhuF+YsSyTEMSGhPg3CDDOSYp2rfckF7g6N9
jvzovtCmygu0ADuOIT6bUfmAHmOtQale1UALX/ra2mi69tRLxhpD6x7NEZEnTpTk2k7kM+SA80Z3
Pjtzc07rfTnrKGajWa6awjqNRWEc8zojf5r5VunY5+ZYs+akg9aM8KYPRLdCcUhI7V2ibeTknpcR
yb896Qx+GCFAIg0j6h3ytJL0Gmaghqi5fiq19iYmPQwl8nwVoprwbJMl6+CvsyjeaJq9nxeAYOsz
6hY18Bskvas0VEfCe1kYJiecrF4n+dQN0EC9Q25xks3PSJjabYsvy8ZRayGnSLV4sU9VF90wH1QZ
vUKNIzBH19eEnig4uPFtm1qvqgYB1Y2kV+aV8xBobe7pmc9DXIRwUdFLZRVnIXHU6bhrcraPv+NW
/rlxJZfdX9+4t5y5L//h1d38x3t3+clv966+RMWTIY+slDv2BwEU0fNwGih+vpGbv967zm9cx0tn
8y8vNxXV13vX/g1mhoW0nDg7mrZfyz/EP/TzvUtlxuzZtqkCneVX+fHeVcRF2YHrMj0cI0yGy4Cx
NlJjnWKXiWrT3RjLGLIxarhxiQNw0WoPlaWDP0a8X2TZcMaIB3FpCHO5Fd0+gIeFtcxam3XBfDPv
kMowDY2d+HXwa3RDy6C0z1m4p8vw1FnGqFo5qauwyu6tZcxaDSacSCavjFvug4CkdRF9Ykp4l0GO
OTmLjKZYBDXdIq0Rox6dZahtfMmVl4CwdNHSr8bOeEfnRJicoQ13eaX2NlPeuBynrRhzOFkjOfQD
BwT4mVSrLnvO1EBWO0s0MdY4Dk1UrmHDRLueimNjYSQPWnOX0Il7ftC8TZE+44EM+o0zT7VnRv4u
iKpbqaYtAlNmmQxgmrqODn3qPOt66HjDOFz2y2jJnVllMoXyupGhVhHp6zHpwnVaJ2tlzTc+it29
pem8NV3Un6cR0p/MCi45AM6UmywSoHQzt9rnOE4hRFYVGt8i2g3zEBFv6kA77BOJKZik3W4Gm5i6
V2YApNlsdS91oDigBLmJS+emaD4Df/pw+Oc6jPn8U+zzQr15CZE2eQ2sIVaCLcoa01iZC8KURmVV
pD2bpFSyzZuaPRj9m4mN7lWV6cdqjMeNqPSSHQjqVmpGYzcbxp2c2XYmvVq7mnVPz6HOqj7eY4wi
grHyL0WDo5/bcMuk95xY26vBL9YtaHymsttiVN1at6JPSjZyl48GJDFCoMD9Vds5cuDOTY9GkW1l
3j/LYWLca/Y3faNhdZ6Hd1553Ixm+t47lX4ig8JcVfp0RZwgIOUkPKpO8y9IMH9l7U32Wq0bB7zR
9nOoZc4Gc5OirAN1thEzTBJ8sHXcl5dYA0BOBkVzPZI6i3NholDiDarADdruZ7d0hzMSkZg3Otu6
HPet6W8nCwar6ddPSrIak1PO8q3kJTizS3iL9YDlo7N4i93AZ4IRzvdmWRC6YUwDIWnOrVvZ7B+n
9zSskrWeWDdwR4Nze+435DheGqyKdcVsLrFBsIE8+hzPpTq0hfN5dIgLZMbL9KBnhFDozXVbYcPx
66NPpsXaqYfyjGBLDymcRlklNxA8Jd9wF5ngOPETUDRX+RBM21j3P9LSv0qZva9l1opTH3ZcfZ00
1v6cnldGLjazsKt90M1rjYU4lqOzITaadeQbT3E5L5aqtr0IpSaO5lBb70L4yV0hZLlPe3fSsNmE
3Jv/9IO/S2C4Ev76djrVL4Tz/vFmWkKrvt5MWEpxwBj8awwCvvgavhklSObFAmEZloFDwZL2dx2h
SWavYwMYAReNPMXiP329mczfuOS4TKAzkHELI+FXOkJELj/dTHSWi0tDMd40UOcusIfvJxSVjXVh
cIQPvl0PN+acJsrTO+Wfa2MlznOnIUxbE1P3LOPwLPKnJzfQZ6904jezJ72P8J/B2eM2xctemSIm
06QiFTqOqKowoRYPhO+QdIhfpAkWqQPNXBxxxA2lWb9Iohzf20749dbILTI7yZX2crZGObvwbYhn
tdq0KQmMXlrLflvVMdxX/ImKWhmV6Ze83CQqyc6NlxjdkUhtjZA1rjX8WVbks6Qlddd3dVaLiwtQ
M+lMYO6yFppI2g7J603Zapbk97LWpgccrnVzvgjJ94WSdCGL9KCT+zsyOfcsu+ZapjHziqbv1kYj
w4tS2jtRaldxj9ai9N3zdgkV5qLPvYCp/UXeFITTakOymWyy4mvCzEmH7U5j25y0ZHRXA/KC1cSm
cEbfu8ERbqsV5b+GKdSc6o/EbG+jVNwycsgstgltfqVVyXw0JY67qtwGpR0+FsTdOS32ksbPoD8S
/WIW4QftRewZJXe3Ubhssrq1mszsVrOtYVu6bNCcCqBrTdWOtY84YxjfoPEBSiCdXht6Hp76gPSj
CMX1ysS22o5acWMP3Lnk6+AZrlem6nJiH+n0I+2ocwn2qKlXU1fK+0aRghuyK6yn1N0yDohWKXl2
5BYjZS2d8snyO9p+XaOVxtQRNF4zIZn67lG8+l/sJnjgGB7btK9M+Ri7/PjFJidwEIlq4ktDhOXW
TAfjhWRB10OpzOz1n/Pv9/OPg+evz7+r9OXtvf6T84+f+nr+LcEp7Dwofb+I/JaJ1DejGB4yV9Km
22xdvsy2vk3EFs6MbS4efMh/X8rvb+ff4rZnJgYvH+qkw/7pV84/kEQ/nX9wZiiUXQY0WCEWyuCP
X5N+Guh5pTOc2rFne9gSld1PN07R95tUBadMr+I3HrF8FU3mHR5LCldTY87gDB9aKLbIFCUOSWqh
wKWGyVPkCg6VOGHDr3XAgGRMqRZZp99IdKk7oQp/N/T+0c2wt4al89qZ0a3dz59CZhFIAPB1GqX0
RrJyqd7KM3OZ02XOYhhV+XZOjVteC6wHIt4aNyWe1AnAhItQy5/tY5uoe7ZDNKlJ8Dlu3KNk6ynk
eAqDZl84COtBRV8boRBb6WJLiGV/NRpIYlgiQDsxxgEmNjiWAF/mXHlm1XGgS1bUQ4kmHYj/VrUQ
XxLUOZSzpbkxE39nYxJHDZ5xaJbyrlbw+Se17kxz0+FIXhEPFXlRNh3g6UivzUMXcdL8YKnPRIPR
BY3LvOXM6dtHYp1x0cXg4qUZIUGefBRefYfOYpzee4FtRHe2jqkBnhfhQ6BzyCtXQ2/EEp7F8YqJ
BPMVB5i+c7lMiIKifig06xUB5DmJFygM5rUN1L1q9AM5v9fGhFgtsOwbl3fIp89ZaUW9HdL0spbq
xo7EazLORHbjV1xZoFMQ/Q33mSGfYlZsnK0Dc4NcbstOx/g0OudEQ91pKUoOexYPUR8D+sjj89n0
78uxvkSjBvcFvEqTpu9SC5/HXrsrTURM4XjTKnsrbO2x0+I3/OvWyrKm3qtLArfmRWZjNNWHM023
oqPjqKQ68jFdDLHD+hx4gvxAHrTxDf6coZu3pbN0BnIhmoAXj12mSYGzm2MHZ0tePJu5/WSSVuXl
0/giu4Hvl448LgtI9+nb4kLv088+30hVmxlcIbjjqX3W2dO+sNvPvSbhRobmncX8KuDohzhRAVkY
Wlzq/bhm+hKuam2K11rYuavJdBfeQvIQt7xJc06ClUXDt5KZcdPa5UaVGSjyrFYbmNFwU0AvXxpd
8TA28FwOJs/cU8ZQlwh7vPgBN8rcSkzkU3g9DbU6+KQNE6rTjEi8kRaJbpBEHOkx7IMQQYxWfjDW
bBXCnaolHif042nTZkk13/dWASnCIie9AVLuJ/I2901aMyQRD5GMi43Uu1sgoTNuGQngXiJuH5Cf
ujFXeK52cBUa6m/XXUNGTs8QFTibDPg2mh/zqeitGJowj1sa8pXOh9ZehczEItZcnhZl68BV461b
jvaqQAI3hvPn5e4lH8JdE328FdCi8LxQFozodHPbDdcwAhAMOJejlCsUvBCu3U+RlW9Dl5YJTNyW
ov8Q0XKRUsBUobhKo25b9lrrYV5AfInGVevbMxnmRBMn430i7VveXZ1kcLLn4/pqrLp7lah9bUqq
F394bWz5UBTmYyaYRxhQzePUREBVzfMiSHyw6MCZNzNkQ3d1Ofi9ooOB/52E6YUYSD/ECQbQgFa4
ai2meXa5MirIk2byMc3VfRk7D2UVHSnsXusG8rbInJPdqjO7K8RKVqGJlWRAlNMy1xS+/irG+MY1
8gs+vApGAjE2beLcZ30/8ISYrWcNbrhBdbLGySHp8RVQOvr4ouVhmnj0nJm/MzQOTdD3oMEYLnac
AoZ+hqXmnOCkC3JOoEopB3H1YIcrv89oOCNoPZ1DLJLM9HnjJ+27Fs7ttlBVvG07FQEkEZe5rzRS
z7tpb6BZwl/zok3ZRZjM99pEW0+L96ZRId5OJFB59YDItJGM3gkQWTtB9TawVEfryKC/yPL7yLXP
w7J8i4gF9khHyO6YRO+13LgnCCLz/JJPI3Xodjs8Vq5PeWUPBycr/bVvd7CquB3KFq/+wHA2S/mu
IQ+kbEtFQCZmLXSCuCnI8g3tSANlv23Us5ER/3f8pyL6UhEti+6/q4i67KX5Y0W0/NT3FRFxPtgN
vtQvLhXJ9xURngg8bnC1vwAkv1ZE+OMlzEndldgY/tVHfu0IFeZPB1ul9c3I+Ss7QmcpjH/YEWKu
IGCO34IekwzZnwpnGQY5qMhJP1mQIZI9sVjGqnKr5Bj7qSfn5toN5090GzzPbbobAvVJgyvHbBJK
BWsP5afQsThiarqhjVnU13Zf7JQU5x3ZmXY2HsyxWc/dHgvkE8M9Dn1OseCkxyo4sklyPduifnB0
tERJg5LcnubPqQRXDPoowU7pPkG5JM3U1IgXH9qnucj2gwHnzbT6q2hozU1F7j3/XZzPPYQKAynv
wiPgQU4fcg1/YlaL96hsPobZwIaPhLLoktCjFLnN3JEjbCRSctI+1bOkK5oZBjJFJgJEXeb2NJ1r
MsGTzXM05qS5jT4XAtUv/0fzQV8j+R82b3Wvr0k+MODGRMSS+YxvsrDGJ1+YbyJ5tKarsLGJgiOj
zyIz117A5r7T1muO0El6VkIwBO0y+eDrElgmQlyzVS96JP1+E43k9oV5HwL4yJM9SKhqk8YatDM5
lhua6WFFs78Iz9x0K0D5IcTva92zo5rIuGBor3Ec6PxhaX3dF2YMUAmONucKbxWZdkxUaUrDKiaf
IIenk1X2YzHXtOwdOWyyli5m1IZozuWKHRWZs77yLUTGw3SNmUeSUBKLNY5WD09XcaZQ8DEHlNHR
t0S8xnbanIWkIOzGmhYc+R3s8wqiKdgZ098BRPwwVOHuqrDqvCrxg71ua689cfErxv7VBiwMlKaK
7jHCqLKXwn6HOWCtumoYNsjqDfbZ8pCKrvFgsKVXrsnAWm9yQKPaFG0Ukb87LOykSfSNtYOc9Z6N
oAQAEME9rbX0ypmL4Ix3juvDH/IXt1icfFMk9lhpeW8EzJXcYCZi6m1Sr3XHYXAMW/W1nODgF6S/
rhqLiWPravX54BQDvIKu3qkQEw85LuauhB214cOTsO2sjwj9CzFEIZkm0twtLK5wJeYMG4sqqaNc
V76KjEKF0pu9HPND0mhQNVal7DcUS7rGb5nb6ziH9cQzF5zV7Pf2w5zk7SYk7kQwmXVhNvasuj5S
oFZ7tijGdUHBx4zcac5bfxZYIqgoajHepZoe4EpJARuaKsHBUz2QDxx4YvYxfKqhYFs64pFpnrSg
+pQWOeWRq5hcZDO5XRnhe7Fwlmlt/KDnxVVcNdHzpJB5G2EQIk534SSVSDjn7hrBocssF7ZskTvV
QXX2e5j2zwyDtkPg4n1U2scQtwv2KXoytfgM58/jaA84WhvN9kArLoeIOvJWHLpEfRQ8pwAlERNk
7h1wkqtKD89K3XJWeV1csuR5M2z1qU81eIP1eNXO2Crdut4Xc3PbzOq+Cm1/I1rqmaqrYSBM0YrF
6bQzDVSTcU6x4xLSMTCrqN3wJhBwv5wADmCXmtU5dIaXMY6h0efGPirCs8TxT645HLXRrNYTXSlP
CpQfsg4paaKUoBlcG6+xm+fPdtLG+8DsUVbLzkQ5q+SZDdR/Je2iASuVvarG4swSXY5mtboqBu3W
bpoFEpREZwGy/NVYkNieTIPLr0TFN2mE91Bc2iu/GILrDMXgquFxue6Wh2cWPm3X8qJtaYWb2I/U
jvVAdJMGdbl2DawNnDAdDFSbhsga1a6U+rSZYxo3gHApJ4wz7cZuijd+E5lIvjO5UXMM9am2Phis
zetEzgc8DCeBqyUz4wvY5otDVxg7cwD9hIPU3yakom1xjrOCAIyyliQ37g17tNZxSeUepjMC68jY
GeYSXB3z24YZT60xMLtOcyLnGDkuQbicUoKs6t3A+PzaqntrH/YoVrpYt3dajLIlzmhqK3CX0FgR
InBMdf8Mf/TfSx3j70qd25c38rsQQ/0Zm4Kf/Fbu6GQbUk3AR6R0gf71Q7nj2syGvv4XfurrapYp
j7lQgricv/KFvpY77m+CMgjkj+Xy4Ej4Qr9Q7sBo/LnccSi4lt8OtiPT9J8x7Gbc5/QfI2tKwD+e
7CKGhX0Yb8q4J1lubLdE9zU8l5bsn4Y4Oy8bHgkbSgVdShR5/hQ0az93dfIP7Q0CG9rpKXc8W0Ta
uWjnF8s35kuSpd8HuwKWi4VhVab+rdlp9jHvuXam3qx4XPvqEgH0Jg7Ch5aI1AFawjZS7lnWGmcA
Fz+ScXoYQiYlMjlVKQYV3diriMGQirkboswsWVoCZiBOPV3gC0TeK2YnTObeY0feD7b2nPTa+9Av
WVY+uMFxgIDEvu5ztRjVE6FdtoLJNkGyYDASVE29sl+nEI8rgLllrQnHsScbct1BIAqz4tqwA8Ll
MHY6k+Sy7tp+E9S7LjgG0YEwuRtACdjI/Pd58cXlV7aOg4oI2cucYcc8xp+yig0hNOEwt+56C1Ss
iD+mQJbrKDWuXTIX8VJyg/VBg36lRdTYkYrUpWG6HVv4lJXibK0hBGWgytatM8g9gpzYM9MQj2Pe
MTop5MzSjX1F40O35Fhs1rIN9kkoqVfhIBN/G9/gRjTWo5FyeU0MN/TI6tdWoZnHulrsLgWVTIIZ
4AxRGOvcEak/MugdWhCgPHq0rs02woEUW/vOV1PykAeaExyNZs4+wQZkV5Eyquft62dvNCln+zGi
UrHcjwZ3xBjCQ2jZ+jOQoQdrv/Rj9UJ8Bb3naED2UPJEUve3QHf1kyOi0eO2wmxiTPm2lENxzGYj
ukf29FATnrk3bfWcRGPGJV1Gp0HGxlorO/Yrk3un8uFggsgua7/DWIGOq9b1e63j+AWEZW5Gf853
/UBicSZRDjgN6tsmV+sK2MjKbPrjiEH3jm8AsjsJcAiN7niVTwwE3W4o74Kqf23Q2547idFjAgrf
S51qYZaTwNOnX2qkNCMUxCWSaZZOq912+7rz672BOfC2squUDEUnv0sMfIilHoVIvMq7wm3XbWsz
Z+pmsvgiaw8eamF8alzLWDnJAZ0wrynf08x69DL4lBsrwvqHtBftVeTbZ+0kXka/9KpweHAn8tzM
XEzoCkpoMGgJVsYotYOmqeE5iQe4NHPlryO3zXcwO5O3hPXHPsXJtpor9ywZwnHfo/Ha1K2a5bpG
pLWyLVVfD6buX4RYQI5uP102jK5XKkXf7RQRT2bW11vi+kA2G3lz1NyZ7FM9weNpjfPmn9b79/uI
o/uvW2+kQrCS6vyl/vynUbzL5vPrnaTL33RzoR4tUVlf+EbfWvAFAUz3zd3j4AJxBCrqr3eSxX9B
aq5YGdiodL9Pczd/44Jj3USnR18PmuBX7iT07T/dSRz0aIRsNhPcSoYpflpKqNHSSkJ6w0stcQ1U
BVm7cTnXD3ZP3E1fm8At2qolE8sGmQagK5m5dvyhauJ7gAAx5RhpmZd5bch1XpXBCJfcEf01htBi
eulYStfhOhirmbzIMYWOz5CORbQ5rk2i0yswv3o1H2gi66DZtaWWhrdu2wKStZDbrXINpMNqDub4
LkOpcs+JGhvIlgRBqzq5UySVx+G2LBHQFGxv96RiMwi1Ouch14ksXAGP6R/KTLkI56xynjyZcxZ5
WlPlXmKWKGmSvmRCDddMs0prj0EAvC9TaZ/zTw/cFUPY6IjulKzMzJ+zwHMj2/dUYUB0FZlHxdnh
EnKyS8fO+5uMNfSmJiNYYpfO+z1yFItbpHKfDcrx2VOtKuZVX3f2uHLcyHIQV6bODbNd6JJzm0X7
tHbmt8zQYFQGcmpybxJIB40t0pWYp1+aHWZ3tzfbncV1pCHFgBb6hHFY12kz6dhlTN5tvqHJZ0mz
wd4+9yVcCHOeFbh6OjJyPutg51AuXDd1Hz+z62muldM4QGxtnSuEbfNdNpSXymzK4YqlRudc5VrQ
i03QiCJjYFt01SE09I6+IzLip4S1+R26nrSjVO4Q5Q65iNK9MPPWWWkuPPlDpdfxeJY5kRze7cEN
3hUcjx1mcB+zdwhvMFJYFhutofnQ8PokbtQ8hqZe1qeK05ItR/tPJf17JW39bSV916Uv9Z/ISJaf
+nZiOcDaMPSYpkFGuLWsKb8ODSGTW44pXGbaC+DtO96maf/mSKwIQlgCM5W76FK+VtELSkXR/pLU
wdITMcmvnFh/jOvghXHrsBBZqJ4wfn8SOAZ+Jao8K7pL1lV4wqLuGZc9hteEr5vol7jR9JOl+8CN
Cv8YEdSwtojs9BDrX5EVfXBQSDI4wQm92AsaLToPu/gIk2RYFUZ0K0TyuRfsZ7WiJ79WGxiEDwak
iIpjT9iBlzWLtFJ8GqAkIs14VBXDJZcob+xPyI+VNm9xvWoYEkLGObW2NMr1CnXDg+Xmz+VU3Pch
o5uiJUrCt+2HumoPOdrMVmmfEOIDzHXghEbHPgkvCB5/bgo34/lwrmrTYmEXuJuMPwzNXmTvDAMI
hV48ZZOYePSxMEPyTbwqHfbMSu4noySusx22Us7wFpbMVDlEuNFJCcWgb61R8180bXqHpTzxXHhe
VuLeFJH6TCjAVcQulMErBbsI4nbjD0A3y/5RJPkbgQ9PfmWcwJa/wW5VHgDUYNPl6HMaJ7uCObpf
5rRgIp7Jteo3ZeqCQWd7y3a3eBt0dWRE1q6ziQFiaZjzegIetY2qnqxf3bnA/E2UuH+RB3jao7Le
TsWwFfVANInaB4Z1A7aKeVb87mT1nRkFOyJpHyFLZ2uxkEH5kNQyNBkGwCGGYFZijJXNbLg5hmr8
SHHHrX2cHYXwhdfViMMzYXySgXUjW4AkcN3vZGB8dIbdHyaEQSvgqN2Ws/cx06BSFCH5LXCwuxbn
BeuceGfb6ROei2RrlB3qvcXAi7LWw71vrYTU0PMnW+GU8Qrp8K5qQ7wUScnWueRTo+caPAM8Ticj
5IyI+G0wgzu/AbPuZ9XZnBHtWsc+CtphvnFSi/mDte0qCXZl9llwJwx7RMuwB1VgvE47vnEW5E/P
nfkSTw2fYWaUAdiH+bZAIbUiBmYb+P3WF93t7Jpn0YBvxTEYFDWVH6yDlD1a3yVvbTE+uvAiSSYp
X4UOiicvfHZKRMFA/d7bjDC9Qgv3gk3rWnOS3BMER9uT2Oki6hDuaBgDwgELfO++w06/cMeiX5UN
FnMW9wc7wK1vdCiGg2xkz4oLxQDwzrcxg9HdvjYdvhxR6zbWiHK+ykbbOJc5pHDY+So4pAYoonWS
DJ8AHZC6XWtNGD3wNvjtyWgXooEdWebW9jOR3zkdCcq0YyVGOEVcc+hRPDhXGp4A+4os6fDKrMbg
iXT2TZPyFVpJgpMvS0zuEDO6hQWyElYAzFcRWV4JjXbXGq9FqrFQqCK6Gac3mQszyV2PLlS/Q4fK
jdFpNLbwUoSZshqbTE8f0mt8uWO1I5rGeEwGLMDHNC9peeDvIRu2nTcRANnz8BPVDPxRzqplFSit
Ct6H4QR3onXS5smAG+CvQ3M2QjqmzPafEysCuS6g70HBVmNXev8U+l8K/WVG8zeFfvROcjxXI7Gs
7XT4/F//+fslu/zU1+vyi+qIEh/AKfrKn4GowkLvg5cciNyiH/pW4KvfqOyhyVN6f0FX8w9+vS4R
JOFDXQRli39uce/9/4ZO7NgcBl/YARAyERhHA/CdQXc2wyw0igj4tMvy189m6BT6cxF8FgrtP1KG
2s4vYKOA2RmUcTGU/P9rpC22np86lH+2G9ykXfcMF8tjaYDnJAkfc6K4KzTnZu4eS4XGr3GeuPkp
vsd2MzvJeWs5ICIaqA1G0CFKye8w4sEzVYJzkYNxDRzhyY+RjFvGucWAF2HIywy1So/nR0NqlUeI
6Flo5Rs1xo6XzNG+6biC43x+1ANnP6D582TSXo1O+ASj8X52iwtypx7xRRIeYhkf2pB/quruIQE4
upKdta2Vtp2d+SpSicMSp9yVCsTJoLBjRagmTN9lvOT/N3vnkSW30YXZrfQGoBMAAm6a3md5N8Fh
kUV477H6vlES9VOmdVpzDWXKZyJevM/cYd/CHuB44tGKgONU2qZueuwlmftUDca4UN2T+7lLdN6e
8hiLlO3EoO0wKuDSx4vF1D9tCznuDb3nuLPvhrK7I0hVP6bW9CUtcX7Y3O6DUDwDEYMuxkxdivHM
kcCRFTja2orzXduzdBi77ihls7c95I7Kp6Va/9awxw/87nFyLaikkrXz7LJNEHhL0so80/TwYTo4
8D1Lf/y8YQ1C9ktN+pu2wY2KB80mYzHt4mbauu6wLmkW7xp+Z0GQAnGagpjUGiVcfX0B7odP14cl
tIX+ZI1HxpGJWvNStPvCpbmudTz6M4wWw2lViNpZG5+qYfOpIKZ9Nezj1jLalf2pMY6feiNV1RCl
UsmtMKwqtjsYjLoKPxtyZa50S81HwTRxLVFQhKrJLn81IHPaSu/0kuq7ir4sJqTQSWmijlJHAyu5
c+YS65XpXLTQcJctBXHIzZhetPAlRWTNldraj/09/nzUTKXE0gn5LUaaNabxY27radEj2gYEaxeM
xmeh9NykMY61Unix9phrieg7fqq/XrKTYf3qJla7odY0JfPuvk6tAfVF2hzzzvCtcQ3VO8zRMWUt
belKbRZKd04D+Bi0rq9yBGk6Ob5JNGoLrdrIKRNK5iMoiW1clLe9GYfrEHW7VDAqG707RfcmxE6y
RdjPPqXDW4t/4+rDczBXtxGa+SS15jQ0r7llEXmbtOLIpX2OVnwqzjAngaQSMo/Y6ULTwgav88hA
MPAXj8PqjmVrsE/C8Djb+WWuywMEm+82yZdlKvsaPMyU1F//O1d+XSBxK/mHc4UF0ir6CP5Oz+AD
fxwtuv2L4CbGuSKUZ1Xnkvb7TczBiQHtiaSXQiSq69aP3ZH5C3Ey1cLt/F7D/eNoMX7B0WFSkCmI
hn0uo/7F0fJ3hn5pGrQ+wGFmM4Kw+cejJWL50oSExc40bKBmWknVBtA6bSs5ZBE7BGOp97PDzEmz
nUEjWj7N9x1OzABr2MnsYudLEuZLsyUvKqq32El1/WbQG8LecT+V1aLpc++aFe18CMwujfZVOxkP
QLU0a683gkHX87T2mvmmf0gmW7RrI0li/T5yvFQe2RqlzVcvD+zhXJtlbd2qN0xv5+kHeCWMGDlw
AGKbGFqZx4jHepUb9XdtNbV7mRoUVM8zxqq1rxIJs3Q6TocqFEdDJRbqqooh11CYuQ5p4F/WVd2u
OzFFR6ud5Mn355LqW8/3vnQN6B70Gx+jmiNpgsMS3t2EhqWQgG90WH2NbZroeFtzDNjWR9lmHzzv
dQSQrJLfqHdkgqSxqwqGfT4La9MmWgfoOLAXvSFQhYak0wlWD8jReGWfdY0dsJcM/tcxol6tMXNj
HzLpnrTEwOer1xhWq27cz2VZbXmiFcuaHfMiS3LUdhcnAIIs9lN8w/xxy5WNjb0ZGm5FbXZ0Ow94
uF+T07KseZ9IJKXIoBVJeuHWiTie64BnoDm5MdEFPPtOnqxK1/twZaht3X7epTodwaQytpOPjVNr
sgRHJCCgRo4vauheJcPcc+OwtoXu0WzVjss2rIdLYo7tUoTs+L3UGlc1NRjrWCuNK7n45J5kiHmX
23b+EQtZH7Iqyp/jnucWDsdvOYG2439Prc+nFsvkf3hqvXbvfzMLq4/58cCiZ5dVreQay7KHKNIf
/WZssqkFYRp22QTxLPvxwAJ3Z3pMqGDm/rzsdmnnxb7p8Z8+yQH/SoA1xV/8ZtT8YoVTiyolJCqm
7M+zcNrWrRiLUVxbqKu+l+MlSkzwxFoHZA7h7Zbi0mJHXBLgY+I3m4I057Jt5KEuLAzPCvAaSc86
1fXcLaQLT7MZbHQsyEbuWJ5rCi3LXmCbdb/qPaZJIxuQyTpVcjrsPRyUdKyKVcnGomtwnOce2ihi
4uOA71ISr3+oggDBDU8mW9Jj0ZWPtY6IJOmgIMlffU2VkbNQlk48SLtRmTypcw3zW+p5tnje5Y1m
Au20B2/dDgKO26D5WIfrbpmm1c3kt1+cLvjqZ+6wQdRjo8tTdu9STsP8pt212NtvPGKTi8zmmZWa
7FD8yXFWfmRLIv0EV3MfO9koa67w5rcmsm9Dq7q4LZ6qMkxeIsN8aAuvXGmx8VGiN63B4z3W3PGj
qtl3NjNdNus7v/K+sWbLGTpAaHnjbS6Ai9jGa5YHx3j2HnTirDQe0k1QG+KBABgZAf4IbUiPAhYO
noYtj8+uQaB0mhewMMkCV4m+qFijDFLcuKnUV6Ef3UYeNbdaNhDhnCZBuTADjWCwEQw47hwdezXx
mHEDG42parQEbbB1RrstA1Jsp+zuynTlzBBbWEN3FX8wg4iFh9SQkJWl6p7uCffqGeW0pbLXWPR2
vKel0jsHTf1hVLRU4EgKbjUMtBTrW3hl++RSTcb3tLBAbwINEqswNrwLOjKukVw1FydWAGw1SzY5
q4FDkBRXELesQlL3OmhFu8SwAwJ4Kr5nCa0UDY17XW1c4KLky84k9dRGErZhB+NLt7RtPPbYBPXu
zS7DJ9o4OwLw1IAYYb5ie8DvDUEFlwslJW4zPznM97pfvMM8hCRrQjHOtVvdLb9L+n26kHbIanSX
eWLXS9HWiEQ450s7O4yttZaBeZ305MqeTD2laQcRRfwsBv/Ryii1Jy9CS5DmPNZtYPFtGye/NBr0
ga5bVBUUtk6Iu2xqD4Ia0SqJ76IIyb9LXwdRvyN6FpRR6s1qavqLWycdavxAFETkZyjMYmFJ7YDj
SOKWIDnSIY4zXjsnUelfXWM2V007PZemAYtJLzdlwx6IqQK71NjvE2xpyz4XlyEd3kOFE7YVWDi3
KV0sjPLFhPjsITzbMIhjBSN28RG0Ytg4NQeelgIshhdZUBLdHUcFM54U1jifrG+qlWOouDJmkI8r
vzZogQWGnBjGlrP1zYWSnHFz1ZP5SdcaGk2pGZ5V1nzwzrUCLPMNr4K5H9Dmk7OrIMyYFO4az3yb
FJ4Z9lG6RAAaD1oyaftCYZxzrnN9QnC90z5COM+uAj6XiOzY4RQG2ldA6LkOrV3myHXtV90qVtjo
DH50LCBy4tK12Vw2MwkVMNN0eRMbdEFPA/G80gICwFZhqX1YyjCfx1tMgHRYWOKrS+jmv63Tb3Yn
Gu3++XZwKL5UXZT/dfVk8qG/H7eC45FGRJseit+M2j/uB5zE4NKAmVP0xFgpflo9ub9wMDIlo/WK
3xZWP+4HBIhd/bdPxnbqX3Xem58tYH9wd7sCv58K40nqoZw/u7spp8jGUU71ddIIbBLKgFlKXgwO
OE07YX6NpH2OQie82Fa9Ra60brlhspQKxJ3py7uk7j4KwTVgHEMqrftj6OibnhQTb6Cl1lOCm+sn
N9d5kJFf6OX4TkzsJFIAn2aXXQzpbnyeAU2obYpJu8Ul8uhM+bPFJAnWnZnUpYcZiXfKgZ4Vq1DT
lNXP3Ftu+ISixM5E3E5JeumoXqfb+sKWF+yNPUKXmJFfdUrxg0eL8guNn2id1sO7F7VnHzMrj8Y3
M+Cy0baH3Lc3rekde1ld/DC8eAUeWSL5QVheOspGzYIK+tF4ZoW3C6mO9qZpofHQj/X4Umggsjpc
Mc28CkX/6kXNTRh252CYlj3OZUmHK+XZ0KzxZHrfG9rA1xnFrtRxd4fZc7/4A7XHtnyO436vwWzr
rQY44oxdMV5l5bywy/p+aiZWBWN0DSyHHCDVA7H9aDXZbp6au8xt33NjxFCTX0K/OvV2trPm7pDV
066rqGsKwIfF5QV3ASW53t4M5J0TOuUCr/uudXLcp+lwTjrKCPQJCIiffDELeeeV9jIk4b1IO+fa
ae0pMLLVHPT7eqZY19HuYm/c68J/khmNIZ65tnN1vNMn7Kvm6tAX1dKB9xG56UBEqKJcfWLKKiL7
i9PTQV9W49YtLUapsXw2DG412TC+wxbzgkVdc9lcN5M3cLdr3DrexV4e0q5AjdBVzvMIAoGqZ3Pb
19jiPB2QUq8MWMqJVVQdmxMA80nRlofcrmEXKeeWnurmmdLaftVPOkU/NK/Q90q/M8JUfGfoxjYx
QJZR1b2Lc04xSsfcNT/SvMyNeV7qykHGzEMEXbnKOuUvgwcARR7LWSSnatV67G98E/zprJxpYGgx
yWNWo5xLUBNB0CDGyBa5E2V/8fdBOdw8zXjQOKoK11xhRbrOhrWRWOKqJhm4ZoEMwi9HsdIZy+uz
BjMnPtfKV8f/i8OONRn9IME6Uua7ArqtcuOVfdPyrMehB6uFYu9SvlPnki+E8vGVDWdJw+SM95+W
aRZbnoYBq5dEiXrlBEwM9wNl8C2fjEcLqyDfP+b1QjTLSfkIzRKlEectjLw8Zp5MWE33ZEFLDIim
G9FOkR3oSXqS4/QdfeUQY1iEwQpfVqMNHStjNNOHnKXVhbtltcmU39FQzscCC2RehgEFZkmzNsLe
RGszsSno+csQz/yWq+ybVqjs4sgJ6hBK2cTJuPe1dBsLGu+9uSf5QTEWTcbXSDjv+H7fR1Zii3rM
eN06NkM+aqoTprSHsZYwKmPjlviKK9PY+oXx0tI5vuAxRR6UVrSgaxadHb1Mgckn1+TXyK+ylU3s
BO/mu9bVq8agyGD0BcgP/9nE7cZQQabR6HCN0nqNodMgP1x3nOTlQzgQnhTxNAGg5e8++v6LqZRo
v/QdXl/mhio9cmzewFs0SiYKw3hb1oNLD7Jpfkf6BAnoB96ioxwnSqIB83+1p17e5nvrD6XbXMcM
jXHiyuNm5n4IxSXEVpMLcQC/By5B8+itIYfJCDeeklDcD0F7tPLwQZ8csLExuAOaVhauHMyVPWqn
iDKyRT4lj3XItBMBzVqlDNrdfRgm+aYeAESivvtwpqpWLLW4D/cS4yOefbnIhattoWEQL8khdedN
VmzoBjo0ycR+p2HloI/pbVT00X+zyG+zCJf0f55FTl3U/J/re9SUf7ev5MN/zCPYQxCbLEwZBh4R
8vb/21cyj5gSqZP1AM4S8mb/u/5jD0GMALbDJZVdp/eTFCZ/AcHDhzGp/Lbl/Bf7SrWN/OM4wi6B
lalkIiXW/+mE+0kIqw3clXjtgisd3QsW+5H8rZvh/1nwS779D19D9Xu5JkZyqiDIcrr8UH9cMGR6
IbwyncYLEI09iz5vQ2l1XG+cbDyPJpkSEr1Ts+X1iwqnlZTC6a1r3RvkbAtWbJ59dmrHa3CX+dUZ
Kd9FB+tMuzrbtibGtWwA7KxEqUMFbAaxLspBlHiMMwDrjCvbEaPdtgYssB50W9/y/uKkK4Z4a9ol
YaLevomdPNiW1C2uOtwA24hePsrE6yLWtnlGEfJ9Xs/h9wz9Z2P+WuPtouSvvV/rvb2Uf1rrJRHV
dfjZAU6Umj5wztvqtiV5UUfVvJk13QKtGr6YpX4MxxB/ApVciwQeh9lXWzqQT0Nn6wun1S7AYp+s
xHyovOa+piIMYvuTbWXcQ+wKGS6Sp6qmxEhWJyAYVKQECcwUfBfBaB8HPV0wY7qLPii22JUFFB1i
28V0qC3xWsYxgJDUUffQ6lpHdrzjnD91o3gP7QSfTUk+X/o0LLmpTiCIS83keesJFuCC4k2D+jDg
7+04WlsyivOxmspj72vbMUt2rcYKJ0utehWZMyuYErdPdM5YQ659E6gOw912nuu9X0d3bEg4R3Ir
XwVawoCDdyegFSBvRrYoYXZf1O0xNEmOaJOwv059wnlYB8OSZdlmLHmpUoi2ljgfGTzyFcHv/VhW
50GCcdJRbRYJG1rq6Pp4EcTWvSWnYmGOEp9KnpOt8j3igL5keTq158rulXcBVAsO/22Rig9pd98o
fHHhXtvZ0fQyKJIhZoLbMnezlT7KyOLeTX2rAzjYY7m+bVzxNdHC/Wxj4tedx5bNLrqUvXCnmumM
FjRTP82Ze9vn+cbDEw6jfK1q5TObIlIgeFt3aI1VZfKLt3L8QqJ/BgBc0AsbrIj0v+EnPReCBrqo
Hg9WKm5mPmmvg79z0TqlToZQ+2I0tLdq4x7X/cn0tZ3nPI3+W+HOB5gR7saKg3XtWI/VrC/UYY2f
hV2y2x4lhfqWMd0EfqwvTSMht5R4r2lgvJrI96t60E+eRIcb5BX87pTJcBnORKWsudo4ofbgjs2j
THrKVCG8WGFwI3uImeQicdn0MIWKZM+djGt8rz+VWvjgutmjVhbUEbAvYFY2nPFQedphHAWRzNg+
ICNsUzvlaHWalVnowBs72d7JIT7w8x2tWLxx2hNINVPIkgVUI4Putgtlqslu1DLjtRhc56VxC9ot
x2nyH7PWT+5GH/V9HFOdEKVPg1zUYhTRFIslJZ0UtoCCKkNDWOVtcepLK7p0cgbvlNa9T3NZaat3
GI4+VGdPjYSV777PGAFWoWU/aUwn676xuc6U/poIbk8c1Gt4MZu0OkxdegR5TCUGPq1WCNp7qqFa
BX3pLnQ9PkLpuM/KZFjEQ4HRqGyCTeLJF9sGzGT3q6ojVe6MTX5wudmc/RLQ5zhz0id28S4DlGab
SgbecmBFpfUggpIdVjwl22AKTjHJeUDy/i1khPdu9JYxMrEbG9UCu9e9z4bRNMs3aN3YheNdH7ff
nXq4ptYc44hiGWYO6asRd5vQdt64MuLoabAO6Kx5/AFXVNvk5NIcyMe+tZqmiJoCZx1XxrfMbkfu
HATK8v61J1tq4TVi4YdpoqW0o+bPnLBx9Z1nPW+erI5LqF7Q4DnG92M6nXJv2LUVeRptiJ+DcNpH
A2/RcTz3oL+DzGfATu27tp2vJDNex9C6FNSbuLLHg1jjKoIC4QCV6yW3m5EtJ38NmhySt7mKaAuJ
7a2MLfKzKVfV1o32QTOiWkG0X8aWfU+dEr/BFDBrkDsPVR8dWtOmxzcSr5wE3NgKSrmi/IaBsN0V
cfBsTTQUmqLeWZm55nFDFHKEDMVPn4XOCSTZrk6CA9a3V6/saZIrlqWbXElY7aBFLhqqozCkJV80
F1L3EO06WFmLqvO/iDY58LteRfOYLzzDO8huum1Kwbcpm0MstF1t2W++KPc9N3zZ9vc+hDNMOfOG
mFSxyLBx0T/z3Rd0EExAvgSGyIUxR2fPSreVXz1keUtgMC92fdBXGCQzRTwyV7FhQKmK3my/OIqa
iwG+g3aTZ0JfFFION0gT4cIFN7ZO3PolF2Gw0YR7FezBkASqStXV0usajtkGa8LXKNUyXFmB9oL5
g9cLhvP1RAxxYcoo/YYjzFkZZhayqZ6M8xA2/vef5rP/nzIqz5MmjdtMIWTWqDb64whCm6DOVtHX
LnEM7ugp8d6l9W/7rv70Jf6k+068iu2EWMxFgCfHrtqV1zG++ecfQ0kx/5vW1CSlfgxboHLTU26Z
f/oxDNqGKMWNgqsYOOWd69yCh3nQtNU/fxn2YH/5MvSk4rOi7VKlMP742wqKGLxi0gfXDnJYxb2z
wRisVY+dvBnQDuyGi4/1KzLhv4Jdk9/uP18lzl/aj7+7RPCBPy4RBr32rs7akI2hKzAP/3SJwL9g
EBq3HM9EL/z5EuH8QijGQHW0bCzo3CL+56dzftEFCUXB68gDdPTv+nX/conAyo43jyJFJEnH+HNc
pukGXGj2NFxFcVMHcj1RjPTTL+Vv3r98pz+/IrHPcwlhZ2rxE6pKsj9dIYidJ2bndN21kTEP9idN
XD2oX3Kn+7wkgViv//nrGX/qZXT/8hXVd/TTxUjR3SKeUh1onU5jjgvoP50+u1ALVYs61IV76Fu6
uG1VmtrYGzumB6LyR9+i4qjlDFQlq3S5GnvbhFI4VbAo9Ya2YNMNT1ZBFYZrJMuyFt96LfnujdoL
LMCbQjckmUdykHFQq4oougBMIyTuxhOUjqgooFXV3jY43TeW5Zh0EEbF1p/GHNEjAltXM5hhiYAp
hW9fG9xl2UV3LotiQg3Fwon6k1b5/JXiaJH5lENVQ7uSEyX99nDrU7DPVGDuikK/6akAIqe1zwWg
8iQOjgU1XJ2pPdaUFNBt/NbPpjIa7npnbtZ622yjlm6H0j2E2OIWoY09ncscru1wOhedM987LYkm
QkxEeO4L8v7YpUvCPnm1qzBgtbdzKfkXXVaPxTUN5KnlOnnBz0YEqeGQ4s5XgSF2TzbmFaCGJ7ji
+zHByOL5cAqTyzTbz+Q18RgTj4FbZm5qI/oqLfEtpaJiPVjyPJYSS7W56pPy1PrDuuum/WRGN4K2
tdznnB2nE7HcU+fW9PPOmVgG1nBsevFcgVOQEnZ8ls+PVkrG3c+m5BJ1+U2etFTJ48eYk4Mo8FGO
pU2ysMXHjzKIhRzVm5KJdN3EziN2HYxlmgg2RlZ2+64bWhL4Bq0uUTWd0qmwNrjkjmnGpnC4ytC9
azrEZx1LEcjDeqNDh/PT6KbLtfuhp4AKKPSiUCH9yFs4WfvNCbGq6HZ8a+D39rqso/pKhzxpr0Cv
3bZdweMcK6Q9yO1Q9xuBv6TlSM50sSqK4n7O5U3mY0IcRpoI2jTp78YpvLN9fU/h3Yrm3xeJrX10
rBranWYu46j+ntNll8GQM0ktzzMivqSMnz6yDzEEx7yzV5VEB+MJBksU7i5JDi76A6pqcBNG/Vla
MWXw2XYU1jp1kGxH/9g0BbMNXgJCGlajXTgaVwbYax4UtxPQeWi2LI9NLJzkkJ9k3VDeBxapSnIc
hlY67ZIBDEOdktJlt4j9RjskzfxAfIvEd9qykC3u456ilJgTrSOevOxc44vXxV9ixz0XVRovwMEl
y6HBBOk3JF4sv3d3n4+Z/w494kz/fOipVnlSV39jnVEf+vuxp//C0kwn1Umu6bNr8nevHyeiQa8l
RjsLn50yhP9unVGCnbRNTjz5WfHE+PJDy7PZnbFp82yWbb96cf7N7kz/i3WG3RxlUZQgWBZfTX0T
Px8Sjh7oaVpbxdVwaaelQw5z36B2zlQTka8J9P1A53dqTvs8yw3sNHn4mnnOgWvxxoXTXqRUoxAc
jC3tOmv0nyDtgDl0ilMaOchdUf00Cfniehhk3Ib7tKu1635KHn6lQrYzikCAAaWIndsxMAH/1XNc
ijWkQUB5mKHZS43iAgekhw0v+22IRL1MyFyxM27h1+oexSJ1udADPMuYl2ef9BjpMvw+9pCtsB2D
kIaYMU20sNBYZq3CsR1XfS8ee/zqDn1+g9E2SDESB7dgI27V1ldY0CH6Op+38pTzoCfbj4yA0T6P
v3qUKqwnHytGR50+SiNrk1z6+7TkyYA4ui5yYkg4n9OjZWnDCWq1p9rg8qWs40f8dFy9UmreOcKu
1BIsLVUVM8xyQyrlgVUb3TRJ9ahWmmWlD9iWoQ6PlPqZla/W/3m3yrW05KKMXOapkoOk6s5lGQO8
mYp0M/caAX3rYOXGUxb3dx4FLeqmay3mQd85JgCSKYm+9WhbQT5fZiPr0aYwnXRx/ZK22tLvCsXb
KE9d6MJiEbQnBzhMtBmJtUh87pUFV7Cyjc1VatiYwe3bxJ9C7tnNsDLmYF3hS9jgavlaGTR/IpFd
DJPip0ojm5XBOYmujCVHE1vLMpPNsep5zfhdc1NFdruAC6AvBQuHteT617C1aeJuW2GCd6wQEdYr
tCXN9AWmx3yVlNq2jrWbZCya84xRlb8eK5POte+4Sp1Z2ipYbz/itZLO0gDBizI7R4tUtg0sUAEV
bGCPFTQkXYGp9XF+DqT/NlX9tEk1dxuwWl5ZrXiSFU5Ws3IAu2FRr1qbdEFwG7BY0kelcY4IcN43
3Cslu7yG32Fj7wkR6Qv071PbNdeoaCqNnJCTzh/TmCY7B43JS8onGqoqGr/AoyjVLu+S8hC33muR
iLvWqimqn7Ch0pM8BxvmsVXZDAevJb0gjGORhpeoKA5j3FzyIr3pc3ZBtNXTzeB3w972re/s8zom
sQEPTdT5Dp7dvJ/vDXs+BxWTjZ5Gw4ZKBMJfps3XlVt0ue2g5qGJwWhgQKqt10bNS1nnPeac1HCQ
jrXKdGWthWpkLgJyXN1sIG0iMk1Wd8vDDiGKZCIgFJYMdDf7DGxm057I0rP9ZWFXMNI5uqO6T+5n
uk1p/mHqC9X8Z9SQUWTm5Fsv0BmA1JxoMjDSAR3sKjVDGmqaLNRcqXW8ckDREylXU2fG+Okyhjoy
/14wlmZqPqWD+2nGmGzpBOJGNcNaapoViiWAxv3uKroABKszSE8eE0LcZIpA0CkWAV1DH6aiEwgw
BV1DR29mj3cEHsq9CcqAbc+mkuJlAnFAhezGU8yDjImZLQ4chLELnnNFRqAKZVO6E3oc7M+yvvFA
KAg73sxqjLGAK8SKshDZya5Q3AWM0I8uujdfuV9isXzQFaMhVLSGuYLbUCqCQ6UZ51ExHRzgDgyk
u1HRHnLFfXAAehqKBBEpJoQFHIKflSVR0hC1iKovoSJItIolAbVwTUr9e+B9jYj9NCAnEn4nnAMA
qRWNAu/gDVHGjVCcCl8RK1AfaSNWFIuhj7dkPbAiKMLFBOoi4tO5in1hWfSiA8PABJcQHoePIRUp
gz8ozAxjvFMuKD0rCYsorgaw8B1sU3bMrGP2GDmXvkZW3DyGqEcE7Z030czRnsfxIlDQjkCOGy2s
7g1oHrbCegSh3a1HdPeFB/MjMaA1aY25xU5MLL+qsO2hgeIXuO8ghkiFDtHMatvBErGS8sLCMt2X
UEaCdrwTU7HWfHNi5+McC3gkmq4ND+E8dZsBVknioX03jnPLUoyC1nQ2/9Mjf9UjJZugf1giFOmX
/G82COqjfhqlQMTi7nXsHwan321Rxi+kflwCCzaphU94zw8Xsks2gpQ6HRjIlJiqGHB+jFLUQJnE
GwSOR2IVJrrmvxilUEP/cMPnZk80QxV4YMKyoIYJtfr66b4t3SyuZWdMV7cN6hsGi+wu0kvnpUil
cZiGJHmd9NbZuG0vzjxBfN5FfbjSrR6Dpje096EoUuQlPToSFPDXjtbWmEmqkD29uKQKTNWrghhL
VcXgm+fjexYtK0ptXGJWIEw01zuMxkzAog3bnV6aCRYEQeooh3klJhayNdVTb1kYBgdurzM1RG28
MlSVTQNZCH1qevKMahmm5pfJz5wDap67aQttOOaqFKcuhnE5qqKcMRVX1hkFbJ8kWXp2Rb8gvTrs
4lTJn9kiDcZzayzoOv4oJ32Qt23O9nSeA2Ureg3HwGdQ65eROuxAzsGtzpO9MXsUYrPVuwn0gED6
dIg6s97IMsfAXVEBJFpt29rBTENuZx7CUDjrlCFL17Ahc3X3VkQJ5DZJc7nuDcPf2ToJvwhy3KHK
SvYCRX8718DSyhS/I1A4zJAWgYMEj4gReJfYtJTSwW9H67TwLoIwASpM168NRZiryRnKfRU2B+xd
b4Qk8X+CU1ALhnitw/ILg2pul2RQwrU2gPpLFfTPt/VdTFR8UjjAES5g9gkIVKhA4KfxeYQeiC0M
R4gI2HUrtOCQM9/CGqRn/JYieHORjOPWgEZofBZRS4UohPx0hYN3U8AuFEHjLFNohiVD54iFmjwL
Vd4KeGgr9CH2ioCCdKtcOnl2bEz9w1KgxMYe7ntgUGxGCZQnCqcIgO7qBN6OFoZtD28xHr0zSvQ2
VCDGWSEZbZ9gtc/BBasxmwmR29AbPUmN+qx4jtiUykR75MJDwB/iI+E+/gsMyMyo380BFcCDDomt
dotP+rFS2EhalSiBVhX17SfzrEo45pZsdbuv0lUyiGkhjvnFePKGHF3KocvypJNS72h3T4tD6fnm
yqGP8RQAZ9//d7n9DIRILpT/9DCms+3v7rV81O8PY5hoEvMiTzzrNxbp7w9jk0cuaRCkCva8ym76
+70WTKmFQdPjVqsunOrb+Olh7PDgJHKm6GtQaP/Nwxh76x8exmr5SdcxnhAVWQGLavxJZ2DQT8tE
xOKKnsILyFKvJVO9quq4W/cS679Q8D3NZ9iMde/Jb2G5+wrRx07yvc3SewedgruLseraFis0XL9O
E/sGzl+igH81faj0rSOFKR5gYupvgyIENgaswKyq9lWPoWuOrmar7TOe3TiZFnoNZZBNDfP+RH2X
07i7HBThPGgrh57edrALuhfmG5x//pLJ/M4wW9yhjkYGL8e0qum8VbQHTTEPfUU/pD4QidM+pvFL
Ch9xCPCHxVZ81yh0Yl01EAatY6agijHFbJPCLIpSXkNuGgsBgXFm+9vn3dFt/G+lNxwjg/IThWyU
Ct4Y5D6GBHCOgaG9DvAdWevpXwCtqXY/dzU39VMECzJw0Fd4VlZLxsnHEV5kp/JnBb1zSeKeJ4WU
1PkZfBiT0Vx+aRR0sveTaD0oEGVogKTMYVP6ClJZo6xzNl7ZyL+hv3JbgGc5utW2/QRcIoEtekJ9
LuwAktPXxOBqT4PGrhvAY06z9xTb3qZTDv0+3AoF0mwgaqL6EZeAsUkaghwt0M0B+mYUUqbfG9yH
eRQ9VQrRSdvMizUPR5oWiVwoiic0T0M3A8rYYbuF5JtziJ9D07VLHQZo47MPbqCCGtBBhcKEug4V
9INN5wStUd9IK9wH/rSl+Hhcc684TIXxuYP+GGWpArks3dtn/t0uL5hRZe9yszHQd8O4vcmbOD15
Y/ZgnwqdkhXPwU7I+4mKCD9cOV3znXT9Lnbqrc2ps2y7OtjwP571rlqXRZctREJTfa8193pfb2Mr
eZWTzq2Kh3LpWkd2ud6yLQoavvLstovDaYOJdCPbOV1yOK8nZfhFzHOJ6dfn0kvpzch80piTuTWC
4phYcpN6rGoTBhKZDIc4bONlWE+XmtwgW9ljC4QQe0vkTF87UBrPYd6qBiwPb49NZ++dUdJnHCDC
ZtqtoG/gju5Xwpz6GOGtFhv8KFRuG/73JBg/fMsT9EGny1xUzsHJx6fGrt/bhPhOWRS3nFtbLUxu
dWZ53BnW0sT3UY5UcZlOTx2kqDeu1V50M5X8cBh7HLzL5hjvinaU6/D/sncey41jadq+lYrZIwPe
LGYihl7ep5S1QVASE957XP08R6ZKhpnd9VML/hGNXnR3SgLBg2M+8xpX79Das8Zp2FYQNhG9Rydl
oZnDGoGSGRSNPxHKn8vOcMOLpm0cSkjISMdp4S/9SDpIqVSYwss2jGeO5K7CZFhENnLOPf2JQR8x
YalvlaIEaAHQS036RZvY2CwF4TH8SpKxSBX+H8uO0n+SJ7yQ7zV2RkPfLCjLT9ukwXQXYe0otWZD
Us38wLlLwpBKTOkD9MAsCVAAoLTEBDsakU0RMSL3/VBRIpfrYTr0FlByAiTQuCcoTR50UGfp1yPc
rHYd7xZGGBo4TVU+NGV7hvPerAr1aznwgDMM5fEYgbfSUW3QI2xmZRA7BZrXC+QHr4zG3RSm4I+0
yUGNjhFA73aFlkM/lQr6Hlpy7spUN3zAHmFg2BMbtylfb046Kz3qJTCrSYQovGf/iDUEyDFVhac3
KdGbcazmPDDbW1nND1xSPgTprHkUxux/fSpNcjO71BqnngZjeabLaCB44UoAZPOgPXXN8boQ6gpq
feGqzWFZtCBMKMb3SBuMo7owzXKuScoBQuTtDL2jkV1YWzhGfSSn48JOEVdwgIoUuXwfu8BFarX5
UwOXPu3gXhyADDhXBDja8y6U0T52bLxWxlEKFubYQUOL0GzEQTDKPRQwpEAA6I0GCe/+XIulRRQP
56pj/0QYGjxCDhy8nlelLS3gtabTDu7zUOfntWXfoILlTxMDxHufGA6maGp8F6GsP/Py9mdYNcDw
5O9xk1KDy459h3YHiIdLijEzlZ6G4cHuapT81O/7RRGON5Gigs5q8VKB+FSlxkUpuYgWyc4PySxv
+6I/6hJUkKomsfAzRG5B8Y9UgMl+b5zhq3Kk16I6qA8HUP0IoxW3GPQVStLR9zbGo2ymSKmykMa6
m9q9PY/l4EA1hJtzl6Cgk/mPOjSP2dBm/awqlbUzjmdKCdqEcAGBIlVZ9NR+gcNjVFMTkzp1dAKs
gu2S3uAMB87bLFTPM3xfaN+ggprhquJXDyi1zGjLUTUZziqzPxhV9q/Swt4IcN5NP0jf8z67jgMq
EV2qzfKYopxNp7eNYG3ro02/iDg/bsLmoqzDYG7gvrnSU5nwmZoteqAKYr7PTONfIkrV9zAIkSua
4KzA+oGQ1eg4EyO9zRVRHlT0AbW8M+UqmdwZi/a8mFJcmjrr68vqBOTPPJvWq+AYWaiZv8oW/iFC
ReGJv/xPgPsU4BrEg78OcCmio3A1EM1+EAASf/YmwiUWJQqi00e75Z3JhvbtCYcjpBbUv8NbHTA0
oqwWwS2i00JZ+u/w1vnGv8sIfCK9B/DZ+keMZ0Qp34W3TygCuCTC3Iz/IoQVeIY3tQYJ3UmzKKrk
PFVyXT+p1IYa/9AESM/QKOxUB5gg5QF8XvIHyut/jtnoL9ltr3Q0AyaadT+0aBzkjbcqaW8UeZCC
ISNra3TrVK6VAng+lBiKCpgMZA5qxt4ARBEA4cTPvVNJciNB/qhB4mVn1VA/SiLTNJzuUc+lbO6T
wjUO23hmB0e9PsLccsITKS/OSzkzZhkSV3ANgAXiHRCj/VzC0xCs4Ka8b4N6gTbasERh9V7qlYWP
Uxm0E29lWfUpenYgYyPhE1J0PzBqv4nrIZ6GkXKlGfWdR/axxNAL0jSx/pkXUMyj5VXDgYjKuTJ4
a1RTsiXyRdAWCFqCQD3L9AJs7Khe0aovJjhGXvSqfJjIxkavk6VWdutKD450Ff29UsIgnc42Omf8
trNK5PIO87WDrKc/jF/aXVaZd05IpkuZV9ceKsd5KNXqrByDWyPrHyJKRIDE5JG+lnmO0DdlcqNb
JT4eWGEt0XiWGm9Bb+YKVfxT8LCnIy2faSiDWh5UhPeNwk4OQqUqJoYiXNZliOFGFx8VwnTDkHAv
9nrlKPRNb4mbh7kovPgEFwx5blf9jVlJh2pHWItB0aGdASyWneQsH3RnCr3VPijzVF0OdYegQ5jN
SnHy5JgvLiPLL2ehjDun2br93GhUGWIUP7UGdQWi+btrW8h9Nuem3ACfSWHYSU6xLDGBAiQvlOyo
7FCDmfR1501wsAdbJpcHKDhj8a5K7hLAmzvtsvZItqCg8Cr4zfI+RCsb9s05Oc2BFxJNmGoI4jED
CauvHAUwYTSaN3VYkMh53zEk3lA1lAhV1WxiNKZgmTj+AvnvuzQsco4XvMGs/FZqcAuJq+5GciBc
8adozIJin2ttdDVI6jDXVHymFAUedkUzPsjyEzbqs0iHxVQPPSWtrANs3nbzHuG7M6tDPFYKS3sW
ZoE6BXW86mqoz5FW9uvaRR9arjBW0kp0R7QovG0wbIqDG60WGHcyuzlrbabrLWp0tVUvUzzMSGfK
fNUrqjvVMvkIm7AT6NqAR0KsEkZJuoBk4GN4XACoVZPTIIXdi36XieGnBljYG0mksnXUF+gUaPKV
rh1Kw89IFqRmD/lxq5prQx/OfN+a23r2HYbnT3ganNKW/rMc5R9O5WC/FZ/mmMWppgJjv5L8uTnA
VBuS4tJvqnWs48gSDAfo2wLndDhu6dFSm6cPY9NjKO3hp1qVf3pSc9Rl9UWcSyd1i45ikNYzWPcn
mkNHTkGNE6h4p05CwaNvHB+7urr+mUtJAtWuE9bm1jooyj+pGcj0HKVoomY9vNHORpEb9wjkPiWb
ZjPtZcUpJojrVZM2Nh9qxP/Bj6jBjA35qJLKnj4eUo/+2B7WrgbnufQuTb9fE4+SCukRndeiiue5
R9uj0ouVmYD3IEkW6M+r2sBHhvrkPO4xcIYWqM6B4JcsuowlYZsYkJHDZ717mgnnPr1x+6kleVdY
9pxluXPluPpK6wdMiVIhfTLEl26OPbWnFAuvtuO7sqvwAOhANeEwQLdDLGwjvEVAmvJa20ULtlV4
pap/36cZ+ZAeLFBYP2RDvxz0rF0VdJxnHAAXuY53TWAY0EFte+kTvE/bStMnhpldu3Z6CJpfn0ZF
DHW2vQgMndplCAQ6gPtuZaUyR5aTv23bKwPHv9WYNvf0eVE+Rex9oqaqjyB7Ac9glH46usJ54ZfB
0nakC/Tb702NtV3Elk3nThgq9miSpYjBAyXFOqTMijukGd1pbYPxTYYeLS4VmK0P3WaWsWcbeSov
Quq7CxQd73FFu6UkqE87N11g34buAa98wnFXTjsNXHPdAz5yAPRNzTYwD2iQI4KsYxEAfZFFY1Dc
1dsbf4guOs7EaR1S4A2MCudAy/CmSKoz3WxUs5qQf4MEHxzn0gh7UkcwVqJDCb+2Q7uog7wRmTdI
/yxhQj4amXEeevmmp2OGsk0IuJ1SbFfCgTGb9Bi4a3FqGSPKBTI60Fa6gq50UMd5OdUHtQFlLGd3
gHLig2osbjSVhY8Nya0EhxOFn8euiBeOG95w2MtHgQnljfP/oAIpS4Z47YzRSpOqbmLBe4BeS4N+
0LuVa6DxCfNokrUksJRo2plqWQ9Bn0mzBMLQtMjyEZlV+1JBdHRuGD5UO4DY8zxHZbuNG/dALoe1
KTEZar9VFxRscIvDkch2pcPA89YlQEiPRBwoUQ5Plpg7tfLzLAJylDmyN4cT9JCHvb6ASPpDl+FD
hoV5Ljfm90w3l24e96vR036GcmexxxKUq2pJR6NP/YVpwY+ozSqayNnA9AsRR1KCwUEtVflhIggB
IiOYA6lDf0hi1/YHHLrA6XdTUwrXcqqewGqk7BG4IYAAdFVb7PegTy6HEaproxlQbuVoFdLWm+Jr
yHknlNwKFaGRLCzjuenYj74nIQJie+UCOISMfV7bzjIZMmU0il3VvCVNV9DQQ/A7KaRrNItuSodk
Pw2cadbFSOzBifIaG6O9KsMQSfevahPCrxvXBw2E0GkiOzd62px7cedMaYF38ySXIOKarCeNwmHv
SfEMXMKBROQkdM9lMszqPvcSYavKskdnnYYl+EK5m5LkbzpaxlJu/jRlCoFYxs+shC4xJKyflug+
q7H60A7lkcNJPhks46HCKAudcyQkPOXQTbUUGA3aIb0Z3XoJmihFj4CF3ZjTUEqoJd7LtndMYIBZ
ESYVE6UJD3NBis+bEB/kICP1Q9eJJu8PD2l1+NfhtVICxgFiemkllC/UJDvQne62J+aCdz/Cr8iz
dF7UmjcFHACOICr4OjifTOwODhj1pyMbr3vbHkSxr4inrLuf9NcoX1FRnXuRtpDb5i5vWbp+qVxg
PVhOmQsnmhnU2GCE5QTMxJUZ8I4MC+B/5vfs02V6gqANvFNTP1Ts+oGSDOXQoL4tep89qJFvxjg4
7If4WtVB9ndQUzJLvm9b5HBsEkXkYCDNZ3FznFflIpV7eyIP8KQBMuEYYYYbRzDWW3weUcHcjEkJ
Mx/vKK8cD1Q1vUNEDUOR8CZv6bVXRHlWxNbnF8xM38GCKqO8CyvGWsp9+dP0CemsrEeynpivhcMU
UNFtrPTAxWkJ9uwaEcv7sG7OdL1Ag61WZqjrLuCSc1JqxQrqxmXvK/PeoBPjFtlVX2HIrTsHjiHR
WQrxqtKmQ4CJ+aDBEcH6DjL3MSDVA7xqpjH6ODBtQ2WYFp6lRhdxOpp3A6x7+7SQKBdcxEYN52MQ
zXgjl/4Dm3/ueBv0HH6TgzbMnSTdbElC+bvXJBTqreIQZNEUUShkCGj8X20W+Rv8CbrhsBwQAnkr
2m5/08k/OTxVXL5wSSVFfW2zWIhyKQDq0Vo3OSHB+/2DnrdpiDrFGzqHaLPIsgkQUXV0kIyOyFPf
5KFKa1C7zZLkbDT8Q3r3VLCx0uvRcx4RH1q0BoE4po8neh4TyGj6Sm6UZZDXZ35D1RQoFfT1ixQa
YaMph12Vr6NG/+FWdEDT+qQflWPP0Vejb6JdKmXD1Le8HwDHL1rXjeZmkqxpJJlTVIyggsWoI49o
MR8lA/iXOPKR9Enq9DbT/KOmyezjlFKk7Ys6OifXZKQjUTrRvSkZC81VkL/KzkDNEQc74V2ntGiM
puaZTfCHnDWI6AjFiLPGzB7NLCOQ6El+R98i6m4j5cAY7OO6tg40N7kmut5Q8j1BM0GUDq87Cl4Q
9LxlZjZHpiE0ilrzzMisw7iGBur4xo0G/wWniz8731xULcKKJS3tSefY56iCAqQGR9lFp2EXLnJJ
cVmEoG+QVUR8o5RuHYFSzMZ8JhvhsV/ieSkkUzUnQn/ewNc6iUayaNNJFlLo/Nmj4260zbHe2Nlp
XlyAUlwkHLODhTeQQetE6y8HFG7xogsmGlU6TQFkGUt3re7emrq8MBvSG6ft6PbHyX0woAIsyfTJ
kc6dKH14OrQMXRE1F3LvEpdGZvK90A/MobJrSgw0uQHRtaeejIoLPRha3mY3HZr2ykcsmP+NYxXF
5FldpN8bHsMFMzCNAg5pjIqWRoCSV2krU45oUIO8hzDEyzuU7XiWDTaKRoN2GdjZUde5j3qBMntg
mtd6Zl5K6OZMpdo8drAMpxxgQQDNSfyD0r+U6D0ZQN+gNBB790V4bbvpA6rKs9RNAPpEj2Fafvcc
SstUgwgM+VKr3FU6hBRQaqc37U0tVV1oOoiqwKJzhzE0mO1mNjpCViWiF9KuIhXfurTpB5y4m41t
GPlMN2myyVZ+l2GB6dC5OPYNRruISQi8DLhG2isAxKuyp4lCHXTsOSJNxclPAD1Bgo3IJBoibpkj
MAtoDoJgsyEZpM0kLiG9gak/VlAcg+94F5jWMdSUy7TNgqkVoEopKeO4TFIi/BTDz4UzcOaBF/sz
T4sru+XFG503G4zxVG5c3LwlZaa1BhIv9mXTuatOAz2luO6BFUm4MDLpoXbbi36kRF5ikQmgIqqo
/MIgCAv0VKRxWAPvxYyxgkQaM6KTGjvhupVmcmRSm6HXpMQgQ+GOLZH8SOZDdAlBFst4UnlvXKOF
ta5b89rr2+soBjTW2+coBgFv90YyBZX4Tguk73BUCWUhcAqTZX9ozUOK6rgRKOAiaEuSlUjDmvc6
HOqVAdEe9AEGOdpMlfSN2lcnsSyd9HKNtJ09pHNAM2vgoqshr41pZgI2lK1AGK9Y1mQoCcLVortK
rC5DAaRWli4oEoFd4HnaOJ11DTOQf/+pxogOD0bsTnAxtcg4pEuqMpsqYUroZhIQeVg3eVmcVjHI
RCQTN3kOFEPqFlVIriSpsT7HhIGuhRIufHksj10FrEeq87YZ8SPcaimHpMympk5/6Bh/LciWYaYH
tkOdjoAtHryVq5v9KlOGdWFCuHHYGomvFwU85CmwmZOx9s8qYdBN3Rq0S6Bd4VXXAbbLzotKXoJt
us5H9spMuVK8Qp1mow3MJ7PWHuCX3PQPVb7crAtkc2LIzY1kjsoUJXDhLEutqTSY1FHl/mjN8UdZ
U0eodG/lxRKG00oj5I0w5q2bq9xWErwleb+aBP6b+tu0s6DKYlp6T9DOVoFMju+csdEtvcIHDKpX
1yjDfI/U+rYsEMWJo+ZWd0Z5paidQgVARfi4CukB2r4xHXxh9+7Bb0Ta56CswqvU1JZjjlCUGyk/
uog6hhOHCyN2QtRXactpuYm5gPq9NS+66nB07zqqgb52QVVpQhnvO2HzTYCiALrq9dJMs1M1p/qZ
x0q1kkNzo7DRz5XeOSdRZWlTfl1JBpGgZY7BPLYC5Nl1fYYx6nGVx5eto66sPmb7DfDLHJQrtI2O
/GwYJzBAbq2amodc1IdFfdqaw6Q24DV5tKJgPwWzOHOCpVqUsFTK4FYZxiXA/vCY0pGCdEN54gyW
tABWHS20ug8nIyVSaDTk1YabzLvcO0SRWJpWWMVDvsk8CipDo6krvc82dpD4J11aY71K/G5YtyGi
dEvc4gSqtBiHU4Vqw9SveM8WFKaVZ9cYG7jTjP3r0K1H2hxamZ3JozSu3KrWD1rUweij2va60Ydh
OfbQDvzcFua8wGKxXlkkhnKi5sYBu9GhielLZOtUS2vqYFKpa98R3GSHaAsKipW0Iqw+1fXKW6W+
vNEGeQOs+J4jB6C7368GmWTYhp4LHkujDjUBA5XNoj5GShe1SsPzl7iJ0OJz6UWjK3wH5bddgtUL
5x1grgLKG1krnvWtJNr75pHHYOf3tXyo6O5l5ForSepU6DgYvOS9Ow2aRJlGsXzD8HOKK/EGwO5h
i9DeIkfSqqzMZWhXiINrVrrAcgY7j1IWloV0SJWiu0vrnjpefCVI2GZs3CQOGp9FSDVojA463VyU
AVBv1gk1sX6h1Pk1bLsHNtfzGozUFM3JcBqYxaUilQs2OJxNddBSjgJG3AeObyHVmZqA85wwObPg
D0wi10dqyYmGedmjmM++H898c8Q92KzmSY/gUm5idxhk6nrE0Q/IfIcsMJx99KFPCXLvyjI/7q3Y
In+W5goGg0Zno/oZUqhSL2m9HrFyV5YKpQz3nJsc2DOcq/ikUzhqI+U4cOsjN85ujVy5g20iDHut
20rtT7Ke1LYLHMrjEkJzjuF9TwZUkxWUDcfgsNTLEwpNi7xTqeUENqqlOWe0ZN40eXsy9v4EB8z7
WDfg6VNvrbThuO3tZgXOkcSxN08SxU6nZsJGKAFYMAKqfoa+ijLsEuTxqCk1DfIcwCETWl7YJcm5
Rit7RtVOgtNfqjM8mAEYC0eTTlcpzyfpMM0rBBhBG60qXaWMLof3VkcMY/fNuZUDSnZKvMw9p6qO
kwJ6ZKF1oHcsHLHR5oxihEgccmpiTrdmcRmxPerXZi0dmoGVLE0/O3CItgD15VqIgxr+msHkPy3B
55YgPbJfp2PfaQU228hcorX2VzZmkz2pmG3QkEMa5W1L8MlCS3DaDRwB5Sd68ysCWf/mkIkBRtOd
J2wbOdJrNqZ94zBXSeE0QWUW6dM/yMbe52L0BB0LkSaRJloKYBhd4JPf5GK9LHltWaYYaAmvKJa8
VyHDhcvUm3HZQmRWnsjzfyd9Tx9koEypU9GUVVXWxYO8+SAlrtvCDPWcyNBwbiK/wE07wfx9XNmg
BcHZ1WmjHyAJMV6B/8d4z1TQKrTJ3fIstA9xbXeOFCvJaTmURn9OLedSGzKyJHPwMBRvo7DS/mz7
wrTPO7do20WoAFJqdQyuzUiKz7owhi4d5HmmzinCNe0UYRJsBYPKpfASDdh3sgDlWZU+GLHenVpk
n2d6I+fxVMkBXywyt9ewU22gYSGjBKW4y7QzuVWM6LiNw7OyRsckyVFO951zTZE3RpU/phxKbiVf
W2hMpJ22NCQz49zgW2A6AYTBXTjJ3OiTA3dA2E+LkkCAHGbxUPz0sfumjHmqqPnPRmuv8NjlxIUL
9sOK4HQ4kKtOJCsvoRAZ5mEcgLpF8G4OTKUiXJW0n3pYpSvdRaEtrYt8jlgQgtWxZMzVzj4B53Na
pTCvRtVuCflGdVmn1s2gSHexCp4xC32QZXXtqdijQMRmWnDgA5wM6P+IW0DvUJD+vSn1Gv9G0079
y8prpXkDrHbu9HJ/pwMuZBTRz5hUEaVEXSqHWWiMlwU68oe+hL7l7+eYKvrXH6aYjnElwl5oegML
/VBXKIYSyWwI7KccQOuOTOMK8vUEPA6oiHTlIv8z8+bJ0poDkZ8Yh/pCm0NAmkb/Yq4/WTf//RzI
VWgC1I8rniFKHZxn76e60cMYRs8wOyW0PxxihOojr3DJa4hG6CA486J1BUnbhA/l2vKJZ5XuocI7
MqMimQ7WcOpgNIC28Phn3WfOolJpt9d1vnDt8U/LcA2qIxTX3bG/LWLUsdWywO+1glnXd65K9kOH
xvD7+aA5y04BquqiPqjbLnhrZzVqWMGjOqzrBiqaNSYrgQPMMUlXFORnmYZgdCbn867zjlUXrHWE
NOWsJcpIkhDCI3bRXe9oy8ITQDLNu/EQSVe05ITUSibjzJdyxESznILqvhxe/f4VA/V984aFEAhs
WBlFBN2hfqQ5HzYRZ1Q7J0/c8lRuk3DJRgD7tORslwJ/bmSY7uiFt/79Rz6Bft+9zQ+f+eFtSn2L
a0XkVaeFp/3A8AAnHi8Dx2qt9KSBMe3SxDSppliQx42YYi9NsuF4LDHBtiXjOAvsOzmgVNtW0k/s
uwjnihM1My9kd3wwvOLPpAuKWYFf6v83xgQvPPDZul7Pn7AyF82mHC43FX3I6vWsEj89z2jeXmf/
b7/0+xu9oHSuh3zz3/+1fkyCdBZUdRk81G9rp9BeOPDeHfBPz/T0wL+7RbymvdY8cm/N+qYaOkLr
iiM/Xew6cZZ6Lz9mG8PSQLE4XgGNPF1PH/hmjH41Cr//gs/D+fvf+fU3wHGB2OWdj5kwA/vHI8F9
3gwFeCWwTIaKScPTxfJ9NxQqGtUA+SFksXD5rP0bBPljvPfvTIePg6DKDvUa6GNPl/jp2/kgNG1A
KOOVtJ+DINSWdp4JFp7Vug2NCX8hcX2aCcgY0IKwYGzs6UTYfTUQ9zPRmQdiRLkQ73k3EdgYiBMs
qCHPk24PV8Pz23lGqP61Yf+LzfHjajAUVIbkXw2C0KZn+0TIiX1zP7eE52W6yyDAGYX56cAy3T4T
2BKgk8KJUpgjezkIyu6D4HwDvghzFtfJX+2LUG4VuF9EWHs5CKKRyoPtNhPozKLxLmC94vp0ONCf
tcXxoe/rIHxqUP/zE1J4iovWr/6LiIkwQYMUptBC2deZ8LxZ7TYToEJSChF473fHAt+e7rwwZ30e
nn3dF/XdDwcTfLuOfbtAFYjr4wkpQiUE9tAJ39fVIPj6u20J4P8tUa9QxQkhrk+hko7ik64RKj0P
+B6GCTzyboOg2d/QNzTJHJ7HQESgnxYF6BPOSCQdufZ2UTwf4LtsDIBtdJx6DPNX56RC/oACGJIV
e7o7voRyuwwCCCYRNcOKeXrd4n2/nw8UwakDwZd5nnt7uCh2nwnmNwuolkF5/mVVfBgEkUBgYmDY
L9HZHg7C7pmkg8wrcq0INX749iJoRtOYlbKv+6LQzdttX9SJBWwaHbR7Pn57/RsdEA2d25djY0/3
gpcixw57gTggNdGgeq0lfDobVBpsSCUCKdzTQUBmePeJoFNIEGYqzxdf9f2GSOIgNDJsc183RGX3
mFnFHUalu0P77On6OAiK8Y15wIZJYC2ufY0SlK8InW0Z4WkZL+jn68N8UGx2R8eEgbqvUYLyvFp3
2Bk04xtGg6K29Py6P0UJHJCi8IL58L4uCgEU2O2I0EgPkGPV0Cl7ngi873c7A4NAMokxpLyvM+El
zd9hJnBGUEygsfCaSX46LuVvBr1hnOn39ozYfSaY35joVNV1ulpP1+eZYPIzSq37uhxeHmyHmcBy
kA1V1UAh/GI52N9E8oSY1HMJbl/PCGGYtuPOQOiMyToRInQLcX08Lqk08UMZiPVzq2pfh+KlKr7L
rKDSJMQX0Mx4Hgq+6rtNkqEgfEQ/W2hZM+z7l0qpu6dSCKmBZaCI8lJ3/TQfqCwg2YwT8F/7x14O
xcs72mU+UIIWOnSG/FJw+nhoklzCgSKYFjXJvRwEgdTbeX8gMlLpRrzUFz4NgoJiiUH2ubfl10+S
hP+8GSFob9i5AdB43hk+LQqSDhRbdPaGPZ0J6s5lBjAsfD02R8iCT9fH7ZEY0jF1C5Co/BpZ7OWi
eCmR77Yz4E+Oco/5Ulf5tChkxkpxCB+eT9V9PTQFOnLH/YFICXDCXyPxqTMhMgvaMw6TYl+Xxu5t
a/Mb0tFPWOtf7A9skmwPwBH3tQz5Uh/dZVGQWWjA0YVh76/2B7Tn0Kl66Q7vYfi0cwmOHpXKMaFz
XP5iJoBpogKH/8q+zoSXMsguM4Elj4wC5YaXQPrTcUkMqQBt2+OY4XnH3mUQLJaDju8cxtZP16cz
QvkmFgOjsJ8QP4Ttn8PaXQZBoxhLLmGbv4K3gQE0ADGghrenp4O2+0zQgLLICFe/FCA/VyCZKmB9
qLjs6xFp7L4ximatQtWdQODpYvt7n1yD8QPVJcyp9nUm7F6QxzLCAu+JTeXznkCJ7eMgQOXiPxSs
xbW3i2L3uJHWJAVpNEpfEAwfzwgFyDznJLWIfZ0Oz/N0l90RxzWD3Jma0/N04Kt+mg6yKtPbfV5/
+xcxvWD0dxmEp9QZARBx2rz79swAzIhtpsjL8OzrRNh9c8SM9km6lTzp+fowFFSadFWmv/1imLt/
E0Hfvb6gi+8oqmm/RrIgnKYJcujrIO1lfUF7bpzssiaoPFJ31DGZfjoGPhfl8X506OE4zn4X5YV0
1I71BYN8CTFQQAvPQ8GR+G6XoChvEljBDdjXg0JIW+04CLBELJr4pI0fvz24F4s2FTCffd0dn1/L
bquBwqNFKvVyDnyKmsipVTIpxEH3dBD0nWMFQF5QgDgOUQh4uj7Fz9jm2IRULJZ9HYTdz0lRbCSd
FJW2p+vTZgAWHJUEA5mEPR0EY+dzkpkAdMmkgf2Lc5JgAWoIMaOoxXHt66IQ1Pvd9kWBfATNwFH5
EhFs2RnEpknE8A8G4d8Irv4iKE/9IH58oiYHm2obg/lXv/DKEPr88zec2yfm8bvfFFTl5w9/ZuaK
//8/75jL6lNb+s1PX9vUT5/08vcvX/Hzh7/7sNfv9fqPq2BTrssHf3j6wfDyoKfrBIbz/8b81+P6
I2NYlH1e/20LzfptRv37u+MTsHm90cHjf/8X5VXkimVW099f9QOH+9++ebJ+zMrXG725OXNm55tP
8PDa9uA83M73nq7jdcsrqV7v9ebZOXB2vz86otWnV8qok/1/wc3TusToPKvqbR9BoLPzR8w28R+n
Wbl1/Dkfdr7/PP5jlpVMntd7vRl/dqKd778oN9U261KB0dv55st4k6av93nz4F+xXFdNcp/Fj/Xn
2wu0+86PfpDkmzJYx6+3+vvpBXx499sjK/96mze3/ooVe7Qpt4y5gBvu/NRHQept2QiUr1irx+to
yx4mCCU7P/bxuqo228bkKxbocVb98b+pt4k320bmK5boyfqRDfh1HN7Mlq9Yoidr3IS23Psrlqi4
N3KRWx5dIEV2fq0nm/Qxewi27V6C+PUF9y8fNo+vN/p73AW2Y/ebZzz7633e3PsrlulJtnVMvmKV
cut6U26GLU/+FSv1dJ1vmy1fsU5PN+36c+xIA/IrluhZuWYL2DIoX7FEz+P1w2ZL7CiKUTvPw3MU
LrcFd0KEZ+ebXwaEjlXwuGVkRMtz5/tfrR9KUoK03nKWal+xSq/W6R+TDW5r2z7gK5bq8weU6bp8
3LqRaV+xaMWHzIKNt+1LfMWqFfdfsAIeguph22d8xfIVn3GYrYtm22klquFfMJnSP46boPrj7D6o
8m3f4ysWs/geJ+t6s+3+X7GeuX+9/mOyLu/X22IG0UL5ipHiM6bx9k/4moUtvsW0bMbXx/37iBRy
D7t/BX+9NScURdTdb04NY+vgf8liDqoI57/m9TnfDMyXrOUsXm+LHkSxc/eBITD5pTX7kwrcDvWb
q3qdBlW8bqrXJ30zNF+ydEWZZcs5LADwOw/N9cZfbxsaUcvd/ea/dQzddeCvG3aCLUe8gHvu/ui/
N5rZ9dl/L5y8691/ZPGWfV706nYelx/N/ZZIWWCo/sWtt5Vl/6IZfS7Wvqo7bvuz97Vo8RsP8WZd
/s//AQAA//8=</cx:binary>
              </cx:geoCache>
            </cx:geography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_xlchart.v5.6</cx:f>
        <cx:nf>_xlchart.v5.5</cx:nf>
      </cx:strDim>
      <cx:numDim type="colorVal">
        <cx:f>_xlchart.v5.9</cx:f>
        <cx:nf>_xlchart.v5.8</cx:nf>
      </cx:numDim>
    </cx:data>
  </cx:chartData>
  <cx:chart>
    <cx:title pos="t" align="ctr" overlay="0"/>
    <cx:plotArea>
      <cx:plotAreaRegion>
        <cx:series layoutId="regionMap" uniqueId="{00000000-C8EB-49E6-88B9-ECD58AB6E868}">
          <cx:tx>
            <cx:txData>
              <cx:f>_xlchart.v5.8</cx:f>
              <cx:v>Sum of Amount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3F1Zc9s4tv4rqTxfugmQAIip6alqkNTiRbZjZ3FeWIqtcN93/vp7aDtpiaJtuqZVt67UXTOdSAc8
xAecHQf/vm/+dR9s1tmHJgyi/F/3zZ8fnaJI/vXHH/m9swnX+Uno3mdxHv8sTu7j8I/450/3fvPH
Q7au3cj+A8tI/ePeWWfFpvn4n3/DaPYmPo/v14UbR9flJms/bfIyKPJXvhv96sP6IXQjw82LzL0v
0J8f9XXg/oyzyF1/3P0O//nxLg7iD3pcRkX78cMmKtyivW2TzZ8fdwbBHz/8MXzWHl8fAmC9KB+A
WNFOKGMqV2Xy8UMQR/bz30sIoxP4giFE0a/nrdYhkExl5JGN9cNDtslzeJvH/x9Q77AOr//XG699
379+P902zPyfHz9HbrF5+HBTrItN/vGDm8eP85O1ety/2+ebx8n4Yxew//x78BcwPYO/2cJ0OJdv
fbUL2xuQ/hXAhD6sD4AqO9FkVcMaVfjjhw3BxSeYYZVRWC9Pa+kJ23dwNA7vcIAJCA9JjgzkLzC/
ZXYIkNUTrMmaIivsCWRtADLiJ5grSKYyfLON8jtYGkd5OMAElIckR4byMkw2mbsODrCX8QnjWCMq
IPn4UYYwkxNCCSGI0cfvB+L6PZyNo703wgS492iODO+/gsSNNgdAG/QxVwhFRH1xUzP4EMLU3U09
naNxlAf0EzAeUBwZwnoMpkYvtvPiEMJbO5GRxrnykvDG+AQpqkYYGgjv9/I1jvboKBMwH6U7MuQv
NtFDfO9GhzC3+QnqNzZjz8IchPWu1a2cYJlRReFgsm3r7HcxNY75/hATAN8nOjK0/wrXD3F2EEmu
gIEtYw0E9S7GMnhWGEwzmY8p7OkMjcM8oJ+A8YDiyAAWZVEcQlPzE4KwAo7zC5oaHGhCVIrAk97d
ypMZGsd3l3wCvLsER4buTY/uIbYvSGoFYwzojRtiAC/FBKkqp7vwTudoHN8B/QSABxRHhrAeB2V+
CBMM3GOZYwVs7SfHCmIhu3Ian8jgX1OuQmxsWxdP52gc4QH9BIQHFMeG8DpYV5tsnR9ECyNOYRcz
9gLI8gnV+mWgDrYxxGKnM/UCzntDTIF6j+jI0DY2wYdVDMH0fx5tFWLWRAXjqnet+s9e3BNiZrKq
QNxzEPh8F1PjaO8PMQHtfaIjQ9sMPhhxBib2P4825C4Y5pTg5yA350MBDoY25wi86NHI2LtYG8d8
f4gJmO8THRnmM0j5HMR7pidMQRDrRM822RBwiHgzjcA/aKCxp3M0jvOAfgLIA4ojQ3gebKLoADsa
fCosE8QxKOOhLYa4hphCBoJ7MifjwO6ST8B1l+DIYD2P8w9/RfYm2BzCFFNPZIKxoqnkSTnv5au0
E6wqEDRBT7bawG1+J3PjeI8NMgH1MbIjw35Rhj/i4KH453e1CmpYo+Ap7+9q9QTKCxQZMtVPS2LX
z3oPS+Nw740wAes9miMD+mYdfRAbKJ04hElGTzQCURGsPO/xoYaGqIkqYxlWw8Ddeh9X42iPjDEB
7xGqI0N8GbUHwlrGoK+hfOjX7t3R2Ug7ATuNUk0bpLCm8jOO8g71BHx3fn9kyELpU+Tmwbo8hL5m
J1SVweKiyguhEwTxsV5jswG+7+NqHOWRMSZgPUJ1ZIifbbJDGN7kRGGPuYwnT1ke5iXBs+rz1RAS
H+Qlp/IzjvIO9QR8d35/ZMhebLJ7qGbU//EST3aiyJRTjT4bWUO7G8snqoY4mN3qWD5yOl/jGA/o
J6A8oDgynM+gpvgQ4pqewOaEos5f7tXQ9IItTOE7SGgNt/BUhsbx3X2fCfDuEhwZuudr/wCBbQXE
LxQAMhmKBh4/I7kqjgiiGhvY1VP5Gcd2h3oCtDu/Pzpk83xzAN0L7rEK5X4ax0/QysMCT5DPFL5W
NTrYuOfrqRy9hO4O/SR8dyiODOGLdeYm8UFyzQxUrIoZ0Z5BHrGvOFWZhmGLP352IyHv4Wwc670R
JqC9R3N0eD9A1vkAFhc9gZwzhKrZc2XBEG3Y0TKF6k4VgZLeriy4WE/l6CWUd+gnYbxDcXQIZ+4B
RLbCTjhTCcD7nHrcM6nxCVEQCGw+cI37LTWJoZfw3SafBO82wZGh20fuLuDs1yGCW48CmzGoxX+S
x3uVBHCCCmtQzKsO0hTvYmoc5f0hJiC9T3RkaF/EUJX9zwtrqBlRuczBMaJPSO+lHuUTomKo8kRg
mO0I66kMjaO8+z4TEN4lODp0D1IxAClFOCrzO/SxVxDUn5HDmsbB7BqCO42fl7Ddop4E7dbvjw/Z
YpNt2n9+6yoUDi/D8WVFfi7u2/OcoEaXUJUqw3OuF3C4ZypPLyK8O8I0lHdpjgxpUEH9Wams7A6C
NZhcSJV/iekRkwvOWmiyvFeP/S6uxtEeebMJeI9QHRniq3VyCP8JpDaHSCaEKp9CInv7GowvCIjI
4E7vSu2p/IyjvEM9Ad+d3x8bsptqfZDWBKBwKWZwbP3ZN97DFrKKCEru985VrCZz9AK6u/RT8N2l
+H+A8Oss7rxy35vir1+7Z6STyHsbiTCwtFRKOXo61DaWQaSIYYYg6DES4dpuffJkZI/xNI7sNu3O
Oz694uuT8v+ua8hltoYSvQNoWAWqpaFYWqMvHGhD0FWEwKFF2mO77QhN52gcvwH9CIQ7fwXNcAYU
R4Zw78qfxuu0nBYqemfHH4hdQeRKxepzKHpEAGMOaUTOnyT0AOx3MjeO+NggOxiPNwMaIzsy7K+C
9f1BzjNqJ+Dl9vv7WT6PwA6VXNBkBD+J54E/PJ2vccQH9BPAHlAcHc4lNB47gBTnJ1yhDA7FPKvZ
vcClfAKpRIh3KYMzElfBVI5eQniHfhLCOxRHhvAnF8405u7DYVQ112SiKM/VWvvGFtT8wIlHKPUY
bON3MTWO8/4QE6DeJzoytG/W9xl0c4sOUlWtnRAGbYFUOKj6+Nnb030Mu/8HSvj6z57Kfg9v46iP
vN8E2Eeojgz3u/LHISIgfZ8YBAfdIDD9+Nmr94HmElDro0Fsc9cWn8rPOMo71BPw3fn9kSHbG5sC
qm3X2cNhegHB4RdoL4A05bmma2iRgb+FIcgFVtsuxO9nbBzsF8aZAPsLlEe4AAx3Yx8ivQxN/RB4
YdDYb3DQEUBHVNFgVTwnnvexn8zTy7DvDjER8V2iYwPbWeeHaPQG1X3Qqg8QVV6S5PgE4JY1rT8d
tx1VuZnM0Qs479JPAXmX4tgQfsoDBeuDlHyBwQ0nV6E896Uie3QC56AQxLUHbhfI0n7dTWXrBaxH
BpkC+AjZ8aH+YQYR03s3v49/bbCR0DIYWO9rnM3gUKssMwD1d7xk5/QbNHCECBsimjKivn9zNCUA
8CLkf7/Y72GmgT5CeISwn5du/uHyh5snh9DgBFKQmEKmClZB/wGfaxd/qNoG9xzav43g/07WXl4B
YwNNXANjpMe3CkC2inX24zBCX+23eF/l+XI/Eso1RUXQROzx80sAPXVbfxL972DvxXUw8pbTVsEI
4bGtAXeTHUTjQ68SKivQuuAp5jJ2bAO+hOWhjedRJvP1Auq79FPg3qU4Opxz323j8rcqfDGL/F5V
33cVU0CR41+3KYBA3xX1+ITCMWkCNf2DDe5O5+kllAcjTMJ5QHNsSMfBeqtc8h/DGfqJ9Q09tb6g
cFylQ0NIlcN23mteMZmjF1DepZ+C8S7F0SEcxeEhwqraiapwCrVlLxWMPsZlqApHcwY7OZ7K0UsI
79BPQniH4sgQvt0460MgDOEWuAeDQqOpF0wycMug1ye0n0FP5Q+DVMl0vsZxHtBPwHlAcWw4w/Ej
uKnqAEoZmkrBeXeIoT6b1ns5MQx5buglB/19d7fy7XSWXsB4MMAUkAckx4ZyCeGrQ+S5oaeBIvc7
9eWiQsz7uBoZWF63kzl6AeNd+ikQ71IcHcLQhTs8yI03UI+mQZ4LCs5esLpkCJBjhDS8h/F0nl5C
eTDCJJwHNP8XSL98Yd3vy/6MdbE2H68J3Lqz7vVvHycJ7jYckD5nJcaDpk/W9/Lhz49Qq6/0laNb
gdR+oJ2cxl9PN979Esi7ZBvIwPz58fHmQbXvVqPBiXgNmjVDwLzePH8FyRIGHSRlRcGygjB8FUEr
aQcuMoRlBMY5VL2o/SkRaM3/8UMel89fQdhdgXQ5nLCHIgno/fzrTa/ioLXj6Pe0PP/5Q1SGV7Eb
FTm8Vt8uJXn6Xc8vkQk0FYYaduhGSiH8Azeswff36099FxX4+f9ojZ3yUnPKS88tklMt4OpFFjVn
WhSkOimzLzQMjdQr/EUUs6DbOHGeStdl24o27VxdQ01wzZ0kEoXfXhe2ehrnYTxLg9wVqGsrwXwk
zd2gUoWaODPbr5xlnRaybieWKvI6tx2dV2k0C1kSlDetndxxp42FBEVhghWN6+kJztXTqpG6U5JE
jWPprda6p2XgGy22pEUhZT9tHnW6K8nWvEVxKRzk82VQ2tWXBMTtGXapf6EpUTJH7k1SKk5iamEr
zxKkuUaVSbLBKh4ZsdIpRhC4WGDKbZEhfuazrDBTG+mkwMWMNMlKI04lKiXmsyroGiFZRTPLnahe
ZHW+QnnO9SJK77LaPm9RbTpya+AcX8iqfVZ3hSMKLymFa7Wp8DRNr8u8NCNAWNiWVJjwMPunVcf0
e9t5lTVLSeqIUpY6XXNytOBZ+cnxlRvNk6NymVBHKq5dFKULkiZ6lDp0kZI2j25oIfNMOKXFKqEw
S50rqK48QSzy07fKetmHHeZl5PtGF0ZXrZevqJqcRoGzSmV8phXSLM7rUymkRtzZszyNhOx1OnGT
hzrCn9yC321fVLmzJu/jpM1c23m+XPT3H/9zG4fw7+PNlX//ZX836d9/mm/iPs6YD3/UC4/fv/r7
9st+s/6+CnMgAp4uOP21a97z5TuEB/jV8mvCYydcOhQhT8S/REjfrgzD7aUKaBUGpwNBc/wWIRCX
Z7BtQUJAkTNU2fwtQsgJQpB2h+OiXIMYgAob/5cIUU5UiuEiRWh2B/0rYdj3iBDwJXcFCIeuiXDs
VGXQDZfDZU+7AkRxkFQXbaiunPB7l6+a5ml9PN1jOiKiVATzNngCHJ9ScN+DAHM4ADsQUaWVq4VF
mnJVdsTEOPnZJuoqsLxPJCt+FhkyMi9zjVBVUgNJ0RIzvshSzyxZkggq0Xge18o8YtlCyuVbr3Rm
ap48SAFyBebnJckaPS/8WnROcIkqRPxzpSpS5dIO87gWjVsJGyZRJ04atjMlbrtc1DJZNk5u/ayJ
fKEooUONtnCZoapu8JDiwBJ+hwJTzbEmMtmWvnmBFBrcV+9LpwlnBWK2rvpOeoZ4HQsbaZcsYZIZ
aNk3ntmKCWfJHJGoan3lNTUSCo6LGcoUT7RZdFZl7ncf43NoT2xwHrbntV2liyCKF1FUdEZmpbcW
CeZK515ojq2Irou+S3JNBFKbn6EvXRYNj0Uedt2sVDXDToob5oVCkpOlkvLvviwtoqQ8LRI5Bg3Q
Xje+dup1TSTsLjNQ4Z+mjK0tVNWiYN7C5pJR+u66yK1Q5AzkPNEWge1dSh2QR7XhWPgu9+1TXrJF
mJJzNUqJkeHqIlA6g4aKmSXpgrYpE7HKv3huVyw6P7jKrNgXeeecFa58l6S40FvJO1Ul9bYIkC9w
p/hC6dQbV4li3ckbxyw1d9kGqSuIR4iwPDqXUzcXMfW/lyo3aznTAQtHgKasZo4dnTZdpnO1+qrG
il47ZEVzepcX3aXvqp+c0IpEaYVzplYXTp0t47Ze2o331alaW4S8XgRVfe7g4IaiOATBHnzFUf4F
WewrtcpZnNFTrSMzqcm+U7VIRFbwuaTkdzG8PG7DZi613YMfMLNljp5ZxFD85jypPU2UqZ0ItY1g
UC3HQmWWsCn7Drtg5rnenW1ZnmjywptJZQnLJv3Zxt5CKzxTVZLvZSbfSZJ8kzPQMb7lGVXDdZkE
PzrfuvZD1Amntc99L/PnyE58oUrs1um4nialo9uu7Qk5DH9wFLpCSpzK1DpGLrQmj05dl3aGlKDK
IPTG4+q3MsntmYSzRARJv3u8+kZG3plUJprAaZ0aJG0yISHyqdEkWy/bMjirbNkXDVVykwdJJbDq
Wmad05VdYGq6hH6RqWYbPLW0HxkvKtOBsqNYVAktYX9nlZXrYStZrfDcyl01mUvP04TKBoepEIqf
2HomgV7zgtgxVIdlIigl2Sw6NRdRYfmfYo3iQoSlfJZQIjSnxaJIs7OiaC4TNcmXUdmoAimRJxBO
8wXRNM+03fKcIrsSuZ9Ec9SRudV03OwajESpBokZF2mMRegGlyyQA18PpPy6q+CNLSu5J137JbOU
NfNBTyvownNQqHMkSUYbSOeWj2WBAkSET0mjF0Ec3sSklGCrMiv4WvrRp7rKah1jeqm6mgDJomee
aigMlUacRGcsZSAQETDN6uuoVGw9YYkAGXVqp9YiUFLTq8CC6orzwJPmDnEu5ED+6meVrpTyac2t
YB41/nfVs4jI3UKvNYueoUJuhKW67EdSS1jvuhSMOTWtw1sfhfWscpW5wmJXV7pU0x2t883OdbOL
TvNXCk4WPs+vUUpzPchz0YRlJLqaGCDylhhZpWkrNFsGbfWZSsltiEO9DEUZGHlWOmZbFyEHmVOe
1jKNv0dqIYH8lX6muSMbbZkFAh6nGllC1ctYCeDq7NZn1aLynGoeqWE7B9HvfLVSeAIug9soVFwD
/HF+WraZdxp49irihOoBGOXL0seOUGN2S9LYg//y1E6EOE+NVrWsGfHTW2q1t1pEum+dFbl6UMb5
jJQ2EqxuZkWrSfNErqJ53KaxHgChyCpSfsvcQJs1YKF2euDWDmglp1ioVQQQ18lM0cLMaMP4jlbJ
MqrdWcNas8zjS7llp37afpYdz6xc3xZx4nwuA3yrlSk/a9qmWsaSlxmxFbR6Unq1SGT5DhK1iqE0
avqtpAkykjjshO/AQmdumYBxqnzDDS9uLEyamVZKXPdKuTW3rJYR9QyeyJZy1nonBdqhg6nBoQAQ
7rMAj2nbf8BhCOVithetCt8zSNMtCa2v6yyfvf6Y3uMZeU7fpogpkL/aMwIK1oW+7USrMAgucoo/
g1S60sLwO4jLTNQtBwDaYFE1ySzQ/EWOnXOnwkLD0RlIqnNi5cLj/rVjlZ9oKpuKU+olL0RkW5u4
pJVoYQuonbaisr1+nfVRzuEICxwWVQkccoCM3fYMkbCMwWr2o1Ud2sJub2Uv1J34/PWH9K2YducH
KmshHYChaSLMESz03afkpZ+0oV9Wq8R2cvCf1KUSg2CQrRT0RlUR05Kqb1ISxNcRhzXI5WWt1aqI
2wQElSJfd144c6SuvC4dhd9EoJXKuFpJMgpgl9SgyrHXCRLbK1dyTxuLwJxj2Dc0rAPRctJ9IihY
+0Wgo8B2512dCitH1HQC1zf9QrmXMgweVFbqIJWoaKFBjR6nytxzMl+AKgLTxqHLtMMbV2XrBry/
ksiuaFhw0XbgyTDWSgsZ1d6F7CSh6JrSAbupcA2He8xArv3FKlF4m9YE9Aeyz0mYkFlOk2JBwRGr
YlBxKFFE6zHfTGR8SWQWGU3X2CDvg3NLXpfqrCRsCXLxTpOCEHY5WrSeehcomWNGSdSJhGZCAW+x
U8H0AEfUN5hdxkYjhYusCIkIUXNaytXad7Fz3wZkLtM0NFjgXOC4C4SSpzNXybkocfMppDRY8RIJ
RLvmLGX5xevLAa4TGVkPsCE1WA4aHEHvS3O3V52lSHEE3xUrhvBa4XlodEkVrKiU5gLk6Xc7J76I
ckdHtDE0N8gESNQLmJVOWI7PFtjOLwqpE3WHL0isfVPUyJnlIUlnZSmry5DgUtiuH4pKqzRTjtVw
gUGpGzVyU0PLJLBHQBDJYRzpLklv7NBtdOTkMWiDMhdFkoooSWc07O6zmK45NL7RKxQzPQvxZ4pb
sJ1b21AKZFCIOOgZkXyR1fSbp9FlbeEHyhpfJDWIAR4saNTcWtw7Z1Wmp7FyQ0kLKyQRZYtvSFVd
+J5zk7rkU8j4nLbFN833VQF2o2zStARbMK3MvKwrXSO5IxRPMmQLg+ag0lqCNaEnXLlDivQNOVVq
pEWnmA6TZ1UnQQCgiU2kZnNZ9pY8qkwcMwHayFB9iHFoWn3GMg+mpMpBzSd6GRS3Sp2suNYs87hd
K7V8nypQ78eoSVrgs4wMv/IvY6c5ZxGd1bFqOAxiIG7EdMzdaz+R/GWrdWactyYNLCNMwKCJqQ1+
CWzGSuLXEF356TLJEqyVdbX0ZkVR+jrNHQPbhY4QPae5MneVFFBCdmiqdqfXvYXql865hCzTR/XX
OC6ELblXxFGF7cQz7EtnIWhxp7YXGgruqiSfpbaI+FJVDYRAawZWPStAvUdZmBillHpG4Etzr9bO
Os8XjLuJqJFd67kMQrfDaOYhTZBau7I0tLCj4syu0/NII2D1FoF0GSR1smgDdqra9VmCPYhFxQyw
SVyk17K3cJL6QsrBSwio7imhGZcs0q36ihKT+TXYMauwmdF2FqsLiIN8TWRJaKF8QUmWmY2lnntO
nYvKsqyzEldMz+GSJp15VjSvq85IwG5YxG2RGy1li6wCK4TFRSOYVZmVlaE3VNsbO1Xp3d+tCBx2
eOvxxC9XFPR+lV+EUaM3VSis+tLPLhB4LK/Lht2IH2hs0BRbkmEY8cOOE4F3AZIhjjeIPVTNp4qf
R/a3Wl28/iDS65y/Y4tPT4IuzdAqFEEdgkp6zbj1ZnVeVKknV82qQ61tJm6T666Fb0lux0snlmDN
NdVZkriyiJGMLrRUI4J6sQTORCebNYyr50j6qcradRMpGgTeyi+SG1/GMrsJwHwDr0cvcnzT2Hlj
RIU9Cwv3e+SpXyUnSD7ZpV+ZxHGKeUjKM+LJAgwLs0VyrYOJN48KhX3lmN8kXWBAJOW0VIqlq+Cz
zm6XJOGXtW+fZaC2meSf+TiCzSQJydH0JkFfwyQz3cBa1gkSXtBooiDhupNboge1fZc2PPuKbasw
ca7Yb8zqbrxlf1Kh0H57Un2qRm5mac1Ka7473Y9WO30dtbfGHygOWQrARrb9duVqN4nHRap8fv0B
e/YQrL+tVdFnNLdfIKShL/vYblcEX7kqEjBNstPqrz+kn4X9pQftH8AkhWonOlh6DctrJ1fhLTjW
cXFf1CHYJJ/dhr2BRl//uvUgiJ9zAmF6ONsGwS8wTfu72rbfpvXcqLa7BK/AjLkHpWbcBjPLkMxK
uPpXEYmvS6pX5z8+ubrzpTHXgdn+gB2dL5Tl6y/c54+2GNnb1o+Mbm02Xrk84TaIkWJWGbIum81N
OQ+vnRk3uR5kMzSHeZ4hPROycExuJJWprqL717noM5V7XGyBS3rhs8VFYOWBhjOY92/NEptMFDN+
xcRlrgrHmH8l+jk1wjlfObNmEd2Qxa1l2PNmAXJPdPOYi9yA0JnBDem8XETz/NIRTiNs40ssypWs
t3Oy5Mv4DMLtn8PZzeusK28t/IEFLeHcDRLJhXUpYpHM8k0yS26RkeqeYRmO4ZqQpTiN51f352a5
JDo47N6pJ/ipt7J1UD4m9cWDpX95nSu8G/zc2+50oB1cN64yRoErZ8mFo3eLcG7dRrLw9TgWVFgi
01sRzLVVusDfIZBmvv788c369z4aSBsQNVKbJ22zkrvYZHV91kn+qirl+A2l1EuV1/brQOporqZU
VRe0K7CpRVXfy82ipj9axUzlAkJRs9ffahzq3281dCalEIQ/Sb1y5TAfPL9PiX393z1g4PMpjRZQ
GoID5ZMz7EEckDPj9Se8AQzrN+LWRpPCRItYCxstTlZ56M8S/K0rtTdQeWueBsItR0HuVcwrVk2P
ShfovPH0/+49BgusjLu8jPKwXdVVo7t0FfqN3oVXrz/kjdXFBlKJWrbUQnAOtEFDdZVHph8Ul4pS
6qzNda/Gq8p235i6UXygDyvrj8XKvE+/bOMDJ+gUK3GLcqWGPzNv5isOBPnmr7/WKDxbzxhsmsDm
uZQ6arMingrx++swfCOq8NYDBiKx88NG8eK0WskgtCEY7SvBG9P0qB9f2/iDdey4kPSxAljH4BuI
VLdPq4V/AS6CfprpjmlfliI8e33WlDdWA+3femvrIIj/oQI7oKO+QWA4Aql6YcOzRb1G592yEled
nsAXgpihjoR2LYlPhdlr9au79Eo5Ba/dEZ7ZFmIR6c78LfZGFTnUCvw2XYYrx81qGVmw6dBlr8gl
kc8DdRkhXfhz1fgaiVNZtGc/5R/gnGWf27Na1G9Ir/7+6Fel8QD3Ssqpk/IWbAmjMjqj7SAnLvhZ
YHziK3quzEvjDs8sEUHEdpbNk7mmS29I6LdYYAO9JzWlpEZ1Uqyks1g0BkQ2vQcyQwY7KzfNIjHD
czaX5tJP+07Rm7l/aRve5o11Mq56fwPBBuvEr5RQzSNYmtmsmaUCCbe36pa+flstm+XS7Y2WVRGK
r/IsNsJZMmdXpciM0oQaB+F8D96QlI+O2d5W+Xu7k8GUaBKH3FAEIiU11Tmd08BoZt2sO3fPkLi3
l9bM17VlsoCg3nmjs8+mBtZBZBZzf3bjGr2R8GwcPNfjXD09+6mcZDvFvp1xP4LU/XbyncA59a1V
slfys92c7+9ioSeq3+l6aIXQ3wsLZTsQtdJ6r/h3uh7OWPWtIuEqOkjLb6frVajGR31rZ7nvKAhX
voPQ+pWu79vvw4BwQlMDtQH3lr0nXY969+rvVdQ7LFAtDHfrUCgKUKBx2kCnQ/gqTtKybFZRrXCz
qi0ngdAfxEV1n9XVNZVIe+o1VeSbsuwXd0WsVp99NW9SkfMo/bo1e88LaKf+qBdmA26gKQRc9QSV
CGp/BHFXFqtRm/jcgbA1TiO0sv0uskTJYupACKQAh6Cq1fKOVWCXiyzUilRPIXdpC6uDVLMOPcKi
B14U8iWM4ZQGDgL0uSOShuYtJdYGtRJq3hJMuzrxcf5UaNQMN9yAvweXvQ52IeTFHMC2LVZKQ2zb
oE0XfK7goIUyK1gbE1G1DfIMl1ma6BhtXdH6sjIPq6yFQoUqLh6cJs8RlCslxMgLMO9FEToyRLgz
4tumDXG8K7/kp2HOndyAyn/+JYdCAT+oSWO6uUQv3MypwjcsiX0YoFuazAAICmtDwQNRB8F1u4bk
QL6CPCn/EtsagswzZMgSkUBS9KpuMoiTWCj49jr8u0YSxNgR60NDkLaAtQj/07O1pYmJ3NiQd7Wj
VaR1aIV8p1xFeaa7muV8ef1Juzr/6Ukc7mplcPEQ9KHRBussidS2SzMnXmmJrK7TOs6CuVVokAH2
E8eU0zLodEVutRjCiaQO31o0u6qkfzwslL5GR4GuoiAdBo+HQzouVByE7oqlPlmHXknWftDzQLow
N2kGvlwrA/TzOkhrLFI/Zpsi4Pmy5q16DhnzTNaV2ot93WNR+FnJEqwYjta2m0SqEgOKxEKmEx6r
GaSZaVe+z0p75J/1YgMyiliFvTowCGRakogQS7pAUBOxdrMih8SJ5BcRxNHbNrJPa8f1f9gaT86b
LnVmNFYbV8eoYj8hcQeVIK1jM12NvWrjZgoEHUnisLcCV2QPZAXKhBRoLsVBtvbRmN3lRDPNlTOn
UC48NU0srhkFd7p5UzQKnxVVWepZk8rXVdgSKBJ0HEg2IAgyQAkDGFgJ1v0gDT8lAQkh1AthvK+1
F8bLNi8KkUCN3Wea+5phpZEFmTHPc4VbKJCHtbwcMnuJlF+mEmQGbBtxT0iQMg51XDnhgtAi+IQ9
+8puI6WBigSWrgoo0SlwKCkGrTBMpNtikA1q2XVCrjXvPHCIdmfJpXrqUA1sUrupOIS9HTXUQba6
S0nL2hBynlpnoJpIRuc190meFjdQLQhR8jos2MzK03KpWhjfpg6q/bnFJCh46hzf+gF9HzIwZKJU
+l6GLDSSJMdLP46SJUp58OBCvQXseyX0b1xuNUxUqWqfZhbk7lqYhzlSMb+EcoDGVOssnSHUoMoM
IGNr6//L3pc22Wlr7f4iToGYP16GPXb37sndtr9QbbstIRACJITg178PTuzYjk9SqXtu3TpVb1JJ
2WXvhs2gtdYzycw0GXJDWFUK5aMVAozKKoe6IAmkPqDUkDnvXB4Buo3bt1a47EzGtH8IfR3up5Q7
BKSdWF+SSI6lci1fd6ZJoDOx1n0hqp0/K9r3Yb4S7U4gb4mhO6u5xMsxz+VCzZTsRlmxotW+gIyp
DzNgkaPEhRYG1Izi3Mnjao6B6IOszgLdVrmvnU7sx6gpaTAt7t3se0FRq9FtM44nSe98Padqb/3Y
XkXNurbV3QSaRYhsqdulGz+xihGyvlOzY2PBsnTEUi4/QubDtT9mk56m3gU/rjHbntJ6WPcmnXR1
FGMNWoSTVj64seMf+bKNpCD8oR9bBje1uF0iSYquqlAPddvMA0Cmmbr52GqvurDBjWJ5aJYYQoPF
tqkGt6N9PFFzJT0159DLObvIYby6GLw6Ec2HpE82yrNRYte19Zhm7YDiVZXW1FHuVPCGhwBE3C7I
JQRdIKrTaa52cxu3olQVuoJd2FEBSeoaYsXsSBNMuWCj04K5WKi6VbUjQMfQOvnsTCau3cKVRO/r
IJmSm9CpaHXq/FjHIc87q4Z1OSgYUUGxgraORVkpsw67dFRdvVvaSCwHVynRg31e2jqPbbi0+7Ee
aifHbSXPTi9Wr0CyYCMK/OeCOOKuo3DJu+6ZC5GKow8hUVs2TEf366R9f8cdSbwzAzwcd1nMCPiB
ajR994Bi7J84XUmzm3qcAZQ9LV1LSJwhkEr4AspJJAsebTCr/VhUnjedRj8M24JWPp2KuDO4nXUM
sVvWrdxfX9sG/r0iwQmIwl8EG46eWwcHWsdNlJOmGfyilnVVrFPVhJkzj316y6uZB7lfD6DbRc9X
5+xWbbDz+opCEc3SuC+9ha0gUGpvpmWTBgxiEPy9zEvrtMPjQ/0ht3MN7hb6aef9iP20Fyer8R6R
G2/t6rXOEhM4/uPSzgSsU58usujSQV+HU4eSRFXc4AOp8HG1qpp53TuIGTt2GhbRQu48hysmDk31
Y8BJ+BLaSlRZ4uHh3U2djf1SRWuNk588Lgqw/Y3Kk7kqaxDD79p5RmfBKTcPCkKRD/3I/IOJZ1qV
SRO6JOuSCj8nbCW3u2403g14XD+4Uzr0Hj3t4G/MkaOSXHtLbEtDBK8PoyVkPnYxVeRSO3H61LnD
9nByPqh93Cqmbu0S6CR3B3A6GZs7nBgYVDwGqGDpk5+4eLoFVskRnGhq5VGrtCK3fJya5p4kXRoc
bcDn6VpbvTWfbLG3YeNEtpSzwKGlXFeTWSL0unebePvy26nPWJ9wXr3wboKww7eYhhCXijWyWfO0
MXh1+pY29V03xnjlxwldAcWfYU0lumOXwQug9wTpyVzc7nm007VwGKCJ2p0Gu7ObVLhczEC2RQMv
U45vhAXEpt7WJ+tOPFXET0+JqaEdSxg0TbldaPQydz5Ow458ufe1ddWZos3lZwjKGv6QoFrsVed6
N0NKh3fQD0dDxgJWk5NMaDqdKyapKZYxHiD6ixd/30Pt1+RuPCwfm7YJb+2kXHkY3MU0z3MkqDqI
yhGflzXd1pB6aEFFR4gMK2uyMLXrI5E+Q7svdmLu6ZDFAZa5ZZzZfS21Oqei4WERkpFA3deGAcoR
I+nTyB1Dy5Z0eE1WKJ3ARHfSG14FFuTlBLcD3o15W7FLHjq4otaspkSRmaG5HScS5VXaaoNK6xsX
rffA34+pSR+dBW36aU2hKv6kVbcoqDq82BzrmeBHWeGxNQ9mGtFjj9sy506TRrtVGqOv7RK3D9xA
CJbE6hAIa8LDOke4OY3rqXXft42U111kgytHu4Es2dAJc6bL3LNNeSDYIzoR9clNOywjWDqVgZgL
FoksnU0yoAosw0NLB69+68nVTwA+oANb3vTad1L8MFWN0CU4UNo6VT9/YNR1DKRuKmqOdep6d1Y5
1bofJ6j5ynqd8JDWRHP/1jbtGt6IqG/bbOiNG10HHjDFfEF3o8qZ9bhrc9LVsESsMXShiVJt6Vnf
joVpSTLu12TA098ElsbFUi2uyqteRcPzHC7eI/Q9eNZQ6dInPOtC3XZp52GBJX3KdwmE01BYT+9I
Ms2JlzWNid+EpBvmAjoeHVwHVZuY+6FS6YjijicaJDJkhzsMDou9qn3dyKt47Jl/S6zbRsfKyhTf
y1qHXjej08+FUBXWDHRjk75u2wrnP6YNbA0saVgxW9c9LkOA936Johgqx4rFvylx/tMYyXUNnYuS
n/XP/oYfwJb/PhOEi0noWxTVn+CU/9P2dQdY7g8oZfNdhe72qW9wCqJJAuLDBr1ttAGj1HdwCnae
jIGxhOFvoAmmkq8GqgTB0fgHscJQ6QLrAML5FU5JsLU0VHKbXDHFhnfwTHy1gvyAeME69isA409D
B6I0oLbDCcK3GWB43rDU72ZYOsYz537SXhxveEdrjVVxaj94S3hsPdFlPFpziFvLGNIW18S71adX
6TLczAnUgNUshqOoB0hgqZOP8UR2NHR3LjRMc21ImcRyyg1drlxdFZEj0V54+qlOSJ+3XnvFwqHN
jTMe2ka9iAhitskLPkG7pPLeETSnoT3bxHxqJm/IkwZuJNf3y2gxEBgv3Vq6k9MWowhtgRdQ5/GU
TnmwuFGuZbfsOrnckiWEXp2258mGUM9R/dbHOFVgZfwk3eiESbsvBtv1GTWqyQTcBiHD9NnF6e2a
es+mWimsTnWDccuZszbW+G3E63ylPTTTgkKmVB19qndLLKts2JTGZLZPK6PXOu7OfdWfGb4TZIr1
CHkuuZ/rpjAUuqWmI9eVRx6rpQXhDbtnBjEssBRlMK41TpIFgX8Q/lLnVdI/J+Ho5JG70InmoRlq
+qAJ79+jIXha1mA+Q2p/6X0NpN2DnpEP43tLsep3zV70c5QFUyizYIYxbfIrkrEquWaUPPmD8rOp
ni+QW0Zl00xrQcKVlmuKgkvHFPi0nO59h30K20ru0XzkHlqKMwRv2r6g79oFffSiFl/uIdzft5Oi
5djPQj6lHusewFj1zWtN10+zZfer78IjNvVQmDUjS5KX0eM3FZ7vo6s792A1kRcyVuklEJU6LWkF
ogt6rDmODnpcIOxnLjQIQbrc+HzFWldLMe8xtj3PMGnEtWDXvpWvWMrJwZV0k9NGCVt/AxL+06vh
f98650d/tc5tEbPfUvL+vNxtH/663G2RDmhP4ApFSjbYw+/RYx8Zu3EC9YyPFe0LRPx1uYNfFJtM
AUn941Nfl7v4X3jwsbmUC4m2h91Oon+y3P0J/MThgwDb0CGoAJ4yFyf+/WIXtq6b8GpcL6t+HhJA
tav+G6hp+wl/AMJbuhQSqBJ3c6NuqCC8aT8cYe2rqEfL712UdeCdwihQZyr8ZMzhuxvwi4X7x2/y
5+P8BINLx+uHsQ69S9ib3Buv5vjTXx+A/Ahu/vkIP4Gb1Bs6AjG1dyEbhhK8idPP0lny1LmkE3pR
4ubKvOunw1Tfaix+Xv3K4ZClt0Te6e6Bzj3MKecopGUCKxLF9MAfZsEKm4q/uRTeVqL+6ppvuNp3
Jcyv4WOdx+1a+GW1CrSBz5Opc+jHL3NVZ1XVZPXyOXYATOKXSVT/DbMV/wjc/Xap4IlHBBlufwhL
xo8n0CWQchs3Xi6L4VB4eunYXjVoCmD66gHl5ekXzys8s6fRqiyc5nuvxbI8dxKY0+aQHTevLOkh
v95pujlb9DTuW/GWCP80Vy6WaeJw7431Bd/7TQqbVZVA/M95OcIs0k9LRgzGLr0URi97tl5MVJeC
ovAMTjZF6JtteivIbbXyXTW9VVWbUfWoaHLt6zYbm6gwHU5glkcAAnkMuffC+6IJH8G1DEXk0wzo
My6il0/edBW7aKmhbx3eKhjvFsfPhrnDSB3ccX7Nrdibjsg3ImyBwgFTlOmjDqIi4GHGDYp8WNOg
COohKdxEBKVs2ncaYkoh1jFLYXQoGhr8jRDgiwj1j0cErMePL/7PrNFcp4prq9aLu/cP1XG90s/+
PjmOFyibr/QBCu0yKdIcBkkQ9ycBQtS+c47NTu/dPSiLHf8bgfuPhMWfX66foN6gBZAqtkdWNkcY
BVHCRlD4u8H9m+XoV0/m98vRTwteUou1ZQzHcbqsfbSfBprXaJJIEVV/8xL8ZHP980vwE0eQ4pUd
/bQmF+bn/LaxxWTzEVieKnma08v8d1/tVyugB7wcsX8pcsDSn1ZA6DBtHLc+ucwcaof1g3Fu/3oF
/NUC+P0Bfrp2blcDEqOEXJQpJrgNZidXUO3/3x3kp1U2tWm0LmjRL6k5r8NJR48kev/Xh/hVSfr+
e/y0PC6o1SO6ZHLZTAq2nTM3uk/5TQpp4pcD/ae7o387K24H+p6o//3A29j1/9kL7+Jh/osxULx8
kuOf+6LtU9/6oi+zHrauTgKYzUO0MX+w6thkEf74CJPYTzEayb+wFbKL0J0tOem3julrW4R4PA8b
h4EQhHseoafxP2mLUJx/KKFf1kfsFQg2Ey6vOMHegT9WMNmHaxMulbq4rf/YSPVAVHiGfOSusfA2
zSZgJ+qCmfGCA18WXoimqXaVieZc26nK3AGGmHiZYetcnHs3WNec9bGXwZkRwQXt3Wl3ACOb4md1
sWRly3vvmNKRZD1rH8YYltW1k0nmSXvtDFBnio73+Qwfau7YsCqAuPOyNQQtlZ6HG7cTj9iLOLyO
zdpdcfLFREIG5FBgAiFtvA8UIjASI+c8YgzFa+weWZcgHwO6w8wd1XGAvQollJaqAaAbB+IVtN8T
KBMna0l4kL7z4KwNxN2Dul43dHQN6QdIIng2wFOej3KGVeTIvSuP+p8Mexn9XKf0IGVFi9lM6DTW
ieOKNG3RtbYpyKr6sl/4y7xiCrZ6/DTp+eTpfs5SF18I5uCjGpPbxYEBdulKZ72atHeyQfI+5NFR
ulDIpUsIr3AcXo10vK2FtVlgEogfrHdpIphLqTuVXgJ7AJwBsChRqo7xGLgZiJB7QufgLnXYR0u6
O9UlwEFbv81rj3k7shmAVWy8HbytU9lXEnKxBsafqoF5f3STK1Kz4zLVQRaOrOBJd28bhYlsnbxy
8MHcJgqBKlEKSi0CjlrSQZsHql0/r7z0mTqSZ7Lu94PLT6qJH4N0ffEc2u3F0mQaUyE3LC0kYXBE
gUrJ4GU+zK4heaSHk+/hu6zjsE/R++RN5XXubR+gwUyqAQdG1ewbeVmD8WMNm9+RoArgAX9JZS2z
kcMlzxrv7TiY6xFUUOEkAbQNs/9q5+nVxMuyU9r2MJQl1QHszAeBVzSTOJW8QerKrp6nhxBOsrNI
3JPh/F2/plilPeSJSIZYBudqWJY+U6jA6NsqL5NNNWejUjear3h9zCOj1YeBxcmh88GHcUc8VCuk
lJZMz4MfH5tBw5EUyhNSTVqgBJHYJao7RjR8MzKXnYzuoqzh6wN+5nw1mNAAHpey1DQa8y9UiBnB
aXnpdvOsv+RuVEWFVwXPSvIxNyuM5Up13UkRVGPrxDEM9PWQtarV+WqVfEvdih46xsZbHoVpNiOE
wnaLB7+teErIyjOqIXY33MsUkTVuUN+VVcsnIOFNjbddk6OqJcskjxhiEaajuybucUjYMfZgz45w
LtkQ+UuGZVHDxASKjesVfWl3CPRw4E5UcIkpjHOYYfrW8fCmBToHU2LhsmRxkVJV6MAD14VfOEF4
y2maSWXeeJafw3E6SR+62GB8MLGZslWJPXPQ5XeiWrOu8W6Mnd7UMkT7s7BbEUx3DZ2fksZeI0EC
jTAA+QZKnUxI/gQ2+xRY97Ao9aiTyM2GCUp1V0o/S1t71aihjN1R7sSSqIyM9roa/bumW9oSKRdl
TPoTmeAXX9T0OQir9zX1LpAM3EDhcDvwGBCWUR8qJIFkU7O+bRm6+mBIkhJ0znslYsC8S4WMHdI/
ShacrdPL0rR4aiBpWZonf+LhoQ6izt+jGyIlkyBjw1oW/09q+H8fwrH5lv99CQelql9/UcHxoW8V
HGUaqVVQQrk+QWTB9xUc6retcMIZFPuQH6HD+h3Z2CIwYa6BpOO3Mr35y7+WcGy+DJEH1HIhLDge
NNb/qIRDRvf9FLyVcHQIEVR2SGJEgNt2ft9Pwaa3Ctw284E8BC5ebnOclwCRMtz3gYUNO+nD8jrq
5TlG+EihaPBx9JMrjWerCDf6isNYuNcjEktm6Wad21073B2zZO2nwiqDvIpIFUE6Sjg3pg9L2r1j
NS3Bqd43Ad93iz4Rn9wPPWo8H5YpS3uiEENFrjoBdpg68RvVpMgaSAUSUubqzSr5cwjWHOvtavPI
iktI/Ys3R2U6yFPcDscmXP3jCstijrSDJDfM7qGwK0nSf0Ya1/000/AEA/weqU0fknrJUrU+WeR3
ZQ0RBKkzTZNFgegKv69y1wKKjnv2NHvTe/j2gpw17EAm2WW9QtSGYJA6aKy3ed37N40YTm0T+Nk8
jp8Hw7zMOhIrZptcajGiM6HDhYemP1mhwQbVqPqxwBzXsJHmqUurGxVJF+buaY2yIVg/J8TAdxLE
H9caF7evBLsj4JoypsZXpt30msv2GKaAKCrSY4LvVHJRtRVlHM+4axODVppqmkPRPoN/xrCOJTna
19s8HSG54RDYmN651Pf2a89pNtC6RROFwR3KEpnVwqelu7T84Pu2LZ26JrCub5qxFQqoyIKhxDIH
orPyCs8uwHIDVe8Ct692wey35Sg02WsJp2rn8yukdp1XzS9N5x31QteiFslnQAtRxmMM9I6qfcRd
LLxEnMyybybali5nyP8IvAUxYUO61zwCkg47/T4l4AkFHSECA8N+D7w32U99yEpsjsoPrltVhTGt
nynfd+5a7ACRiRXfdLBRlNWRG+0S6uicL3OSLZL2pQPeHkRcU59ClMw9JexxIeoWpu+uZE6yZFL3
H+SW7VEzhKgsQxqc+hRLMfU2reO6XaKadO9nFfI3HUQKmWJpd1gmCDuJpTJrqw5AE5KJMtavFci6
GNd4dKZDMgOVZnOAJjie6k+NqGNEj8VVaaiA9x+JN1PYllXVocqCrkQITwdDfuCLDE3JlDkwGyMa
RLR5ZHh0t3r2jluEPcyiKRXhHiI8SHsDmZM+gAn/rDHxas+wne69KWvTdryuwWrmvo2KdhyiY7TM
1VXkxGYP/C24J870VKdSwxyuJ1vtGbEeFOFT/3HGWcWwRUEXwNtMJWzYw0X2iFgsb2cZjXLXpKdO
IOFmnhcvS82EcDq1ZD2EcVD10LLuOufkBO6h9v03BuU9Ryzeoxj4Kebd7Ryr3HHiaxW+r2JynmRk
3qItfp0jfWUDx8k6EAFFMk/z1QRJyyFNNc/qEZwLbdwrgqOxnp2NCT4PUIDk3gqXPwwGmUnjpzWB
gK/mK/yrSnxSMVR9EP0cJV/uIJRGNlYNxRkzftGJRO6b2oPKwbCwsIu0manRDY34650CHxUrP9wt
C26hN4jL5NCH1lbvXTm96wMsD4nbmyJuxnM9ey+2iSIMDoirMUrSnTd5iOYDCNYEY2k4fCbx6gn0
WOZaJfPzhKz6InaC29TGSSZF3B2TMMTf1C5HJ9CavNfyPHH3ALK4y01Q7bgrh0udaiQFQRAEl35a
aDu+qgoevdDUBfRa0Tuk4YmwlJ297oj+KIMY+T/hW3DE4bEWsPWO6wco26DfkvaAL93uGIHmDBlK
RRvFN4xjlUnhVSYI6GlSBzFF0js4Q3RYkH3ESQ0VYL2F8ogrpMOgk6/bDzpJD3Hn3yDvYu8Ew55C
t4V7CkzBw+/DF5bUda7q6bOq41sIQTWCK5ajRoZMOcVt7gTNHbQ2DmrBFqOxnJlu7wTyt7yaPbYQ
D7OoO8RT2xWTqB9b5PlA6DBmXaXiTCzrAVb7q7rNE1dZaLlJjin3tZq6JUMdc5a9SohKMBc1bU6j
7t6t4ZX/397IdTe+GvDjv++NYBp4we65L+oX/RE++K0/AsKx5Xwj2NN38T/0J998A9jmGMl3vzM4
4cYxf2V+sJvqto+qC2EudMU/EN3Y4X5rZUAZQba7xYj+o/7oJ9sU+qPE35owHMkFN5P+bJrsaIJC
YhKEFbktPfToGxgFzzr683mKzYI4S6Ku7ETk3ndXNNl2uoUXHyWyEx/GgMhCOeqAISIsUx/RTXSO
/IwHbMhRnOHucWZSMJ0ga2HYksZmK24Hmj6zECltZvTh8nHXM9RhV2MYHBKZouQ6bD8s/XOVUJkj
jOp6HRdQpLIxByRtnKjgyEALwtMKFBcESnwdkeANDRHBqevkLp3jpujGGtDK+ELCoIMIhz4ZESKp
AmJtyBNjkzdmvY66+NlWULF5vv82beVzhNSCtPFAGbWPTiiudTL3OQRLb7qxwmLjQXhaIfljDe67
ju886rwjCD+hA90BxUGkwdhf9bF8S5LoxmeCZyy0e2MxYeGheNEtZqPOtixzYl0idI1lyFhtC3+0
iM2phqVMkm4qjTELtMfiMs4WqjnqHyQjyMuZp5u5xRxH19nbh43e8WgA2oAUsLDxutwh661fRR+J
7h+badlBdSMyn3a3Noh2CxPHGiK2rIrVbTTFb9hQIbYhWN5GNYj5eg77Al08Is66Wu78elFFR2K0
vOvdaLt457H2ZL32la0CIiiNHBc2wm/ekiqPZHrhJiaIbYwPNqEPw03AjhEgHgiez9HCeY7dZ3Z1
bMCzDxAo6ZWX2tdmP07JWxah25lAp2WtrPdQVXRZI+THJo5kwTW4bTJ4SH2C/MhFQ62XQw0eCXwI
/zCO/ivSkl7RkdMDHYKbTbplDbJLFteIki9t8OSHDVSqwJChRQDp1Q0nEUbHNvSgh2S7MaHAByCV
LRdrkSVAo2WffGHhu3DS5Wycu7qfP6VrM485Iot47gJsWQdkzsWAXwJnIPkAQCaNtiGfILwPsTwJ
kiKTA9kwHDnaF4g4H2tXFkaJ0kVwDPQNqB6AfqRv/JxtaBBav6GsU2rLJgZbhUE3RikHfqRbzAt+
2N6nBmYUUvkZrAbHLo2uKqO8TGw4FOIY8V7E7VQmwA13/oZXRXjTd86GYblQg50XwFoV4C1/w7k0
AK9kQ74248GxV/guTM9Qu62ALQIALdRdL1LiTeEbioZE3dsKsBoTrlv0G9IWAXJru+i9BgSn5F0d
BEhABDqXJKI62kje2AowugGClxL5KVAtICRgeyIQPfJbVFM41mmKfoMA53ADPgfEOrHV2QOh4et7
smGG4xXnSNGZy1oOSz5UeAyMqF6WDWwky3BdbfBjBxzS9sGh85iDXpU9ObR5bSa8MgTcYQl9+E6l
kOBssGYKrgSStvYREv/P6YZ9Uovnzt/gUNnRMoCzAVZ0YC2GDt2VQ2x47QFIdWox3FgDySxE7byM
07VCshSQ16mqZE5HoLFsNtdmbBKghEBq27R+YCOe5jCg3nFsOUNWEu44hLSwoyzrnaz6CPHJPnpn
YWBGBSTsD+OEDh8vFluHKnM25BgZvtXOLJoXctDBgeF+bThzA905dCrDHRJRzy2gaLdykQgKpMMj
5lRt2Ie/rha0uhxHfumtN75t0lDNZaS6iOdq4udpMgj91XBAEoB4VYcI6Fq9S1LKfmcW/9Ocx38h
XgK+7S96AuSuq5dfNAT41LeGwPsXknqg20DQTYxBBqjIt4YAW7uAMdzCvcLgSwj4t4Yg/Rc0P/gj
KJUh+kDx/wMwgSgOOjU4z6H33PiQ9J80BGTT0H0nG/gCmLheEngInts2Ekq2P/9ONmDnikIEXQWX
Zu3j5bhGUvgfDPN1dYHA1hcCAIhDDkm19a4Te1gCEOrIr+lRNiYEX1ZRncHv1JQI4gsKFQr34M5I
EUysD8TCyBdvWREcGtYviKCEBdiHIW5U0bkVFPrmit/yAarSLWanFwgYMQmUrcmyYo5KgbRA9FbB
/NEY8I4CUaKjbgsW6fPU9WnmxfWz8aI7pMfCRyvGXCJAyKz7eoB+z7gC+Rpc3q1AOmUkj1gAw6xu
JUT7GsGeKbS2mLDWl5SPdxHSBA8TpjtAnOSWuLq9noJV7iBn7wo42yWcJMNnv6IvE4fGTjhxqZdX
FO2wgJumNI5Pi1Z015YEz31HAYajmzjAdyxydFZ93vSIAvYlGq01ScfcM/aMZF9eknF9nZJqh5S+
LUV478WQ5vdyrxCuOsLwgonXYLrsm3w0/qtGu9/MQHRTd4vOveowDqwhbDATrRAWHuvcYGRIttmh
bfsDkhZLK/lji+FC6+6uH90zw9AB/SxU2KG4M7il0zaXuLYeu712vGSXRP3JC8UHhMqBGImrK8y9
V/BEIDkJMz/ycH0y3nkWmMh7PraUlMqXtLtzVr30e+FhDkE6rPsW4eeIJ45M8xGJ0BigxxlC5elj
qtguJilFthf+uJ7mV5REhDcom2bC2INe2E3QVUmJznHZDZp9nh0MPzxZ3kUuBBSrvUO483s4506u
XN/VBqR6FCq/jGnwqSYWkaN0ed+yAVoX3cOr5qMhNPBJhS5Q9nC8g2D8EI8Jkmni4XGp8bWQWA/K
jCaXyipE4bMVqHVYTExjyGyitNTR4h7W+LPHZQD7g34yGtp30UM9gJCcm4am/j5EmuIIXTZCpZCK
DJdo7kj2kTYD8kOnZd0lM3g8vtA9cdS7epYHidcm75LOZvCiAENQK8gMCDA96LztHFSgdJzbpXLe
jto9RRBSYRblb8KKQUfkkRhkFqgEWOOg3D60cRODJJKnDqt/xuCzmbYILhY1nxXTl14EL0YBBGlB
YzQLvwG5c+59ZjK0c+cOpqCM+L7JOTiAkdUIRdBm3g8Wgm8N3RPStbH1WZO8W2NZijY8ugpm/cbv
H1YnQnvLEtjhSPgmdtiDBTPppvNbpFnUx56lx9UO54om/bmS6m0EvAU20gcnio7MTy4OImaZG732
wXojxHhoJJ7NNVoQ3eZ1UwFP3b0xwCtgQ6BTvR85S8vGpl2Gtyd6r4w6MsKn+yoxWxp0uwMmeI60
av533P1dng2lx1+Vtk5/2aMSW5D/osDhs98VuHDbTxTCRATIQvb4Q4FDnn34lZ3fYP8/Jl5vIxAQ
O4+Nz2BN/a7AYRtjqMiwEX30G+H/zwrcxnD8VOA2pzAmXRi68e82kX9f4FIRrwh1DM2lNcj0rPJx
kO6ptV5w6gC+85xH4s3CKQYH61wlHdpHHgrUGx4VrHNQ4TR/tFSfm8Q+GNdeLRX4755FyACdE/hW
6hV2QP00I/0mFv4xrCN0m5XMhk2NbO3/sHce241baRd9lf8FrhcuMqYkCCZRonKYYCki54yn/zfK
LrvK7XYvzz3ogduWSDHc+4Vz9uHr25nrEYl4NFMuZ8xcuXId2jNn3NIRfwHehdn8LaIhSuACQ6/b
1ImouCqgmcaxzcnLyIqj83kyWY01qT5tmIplrlKXd7rJchOonUprGKy1cgawNbQrPaj6dZ37j6kj
XbjcLOubxjWi4c3sklXswzQ1pPXOQi5ao5J7MrEerTDM77XR5vxgaIvB7skM9K1tlTNQRs0LOZNW
WgMh1OwNty/sXTMSKzLpPZq4fnybCv8tA8KtFGHF0dk+R4oTrTM92SbJuGdUnHtyHGq37hmz2UH5
EaAidEeZP5WFQfezTCj9rv00fXW+bJLpNSoNyI5GhMPXULMVQ9iNyG15o7KpcHX8oTBJObQKLo/t
MCRHaVQ91S1jBqZ9devhU17PuhVRl1uFl06ask6xi27skCI7cGZ04NDeT5Nij27Coe3Z7OddP0Xe
2aI1WdVNErIkwMM6KSDOc6WJjjR4YLqcob1VjX5+QJsRuoWyRAU0qXJic403YEiS56Jmi8po1Xyi
HcxumlpW59BUo70t6/GicnyalCktDviyaqbeuh5f+ENeLrbE8aKr51RdzZniv412JGx8NKLa56py
nRSO3IThUN4rEy/81gfG8CJiJ/jSbRrDbIkhIceh2yQkk0wZYpBmCSvpl9iSpsbwR45Jywk7gtOt
yDdpyDnBm+msRdVd1ksEir+EoVjgHmk+CEixlqgUncwUfQlPqTIF6/oSpyKdI37WYJUsUSv5Erpi
LvErs55It1giWawlnKX4ltOiRrfWr8EtRLgUS5gLy5D+wcEVuzepsFfhEvoibOJfGnJgxiUQBtOk
uwC4f3WX/9un6H87u7wNyTH6i2N8+akfjnGNFS2IA5VZJCveH45x7ReQ/TQI/BuQRj8uduUv9A7w
UWwT/RyVA7/wt8UuO18UXswsIUOQTkqT80/6FOM/tau6Dq8DaZZpMA8F3PHzMU7yuaKVaZWeldQi
CEeHPyz14aG3zGDbVuIKf2WNyCo6JSmiiXqydxVBRGQfyMbtR/uz6KITRNU7PcnTdS7R3U6aQ6Ee
IMOwtR1fH89scbyPcjdgdM0ydkH0HPiS5XNjtGsTEPxKI6ECiMpraMWnqe0+Lbr+wdE2NBSwr2V5
qkb9HW7MNpiciMMS1AODhW4Xl/WudpxjEwebQjW8WY03YlH5SKO/MJEJA225HFRw5lOtR0iX1dcU
2TwpdE9QRQzP8n1spkSXbGvI3Gt6RmD3ZnMwRlIwbPw1rSp2jhZjkY5v/b4t16OmQcwux+tc6gHt
SOnh4lR2GU/uqFkqiQD2wIA2R1IiMuvK0dIP9E3ldlLReEZBoq3E5N/VafGVlt3oKvnAjqqJTzgE
aYYCNdnkfZku+jaU0mMxofKyN4mYDqHR5m4wpPctbp1DVrHHsIvrsOZSyG3nIAlVWFlGe3LyBWrQ
bdV2vI6wOG+6WTASw86CduZLCja8gnHWGJKhodvOcxzLGyCGAvU6gOku1bL1ZGp3cxY9J3nlDmmm
rSI7sZicRRc4zY5xpXw1zWzuiD3RXTXqpk3YcGRJX7smpOsxjHn+wcQyaQ6KeW0yYOpMZGklJl/A
B91nESd78MTuENQrfZmdTq1kD8iOK1K4LSefWrTIwyd/ym7GGrNlYROhNWvdNgggElY5m6sWqro7
sKRm1dM6rswSfZsVHXM3+9GQPu97060SCZdHycpn2UUXbRxdYLSEDxFIew14InJ1FZ63g9WZxlND
JNSWW18rLvPQuQCIbe0Jq8Bb0ESXSlw8V3EVEd0F07uLandkIm4OPFGQyLBN035XSeWsqnjLjCHb
JdI/1kG3b/LyvhP9tmjyU1gUnm7SkNkZFrSg6Z2Nbg71ykzJb7CV/mmuos8GYZqIx+0QlZMb51W6
ys0lAIG/arLOBVsv1mn9rZ2kjMsPFYSt/uQLcACKQwBLfiWN/Kz2pFsY85XoTIfbsN+q8B5WXcfY
oAgxYc2o+cwYQ6vIIobPIsRb5pi85PxS0MflmiCQDOx1B41U6b/CBIXhmGmEaZTLVzVp3kZquKGw
vyx2yEQvVPHa7xxnK3NjH0oyXGZfz2rmjBqG2JxyTIgx2Bij5q/hVA+eI+ABAWlZBWPYHgo/ib2s
1z86o6UwC5MPBrtPKBzfZ8yDwLzhzQfacJ66pdmLzH49tWYLpFBl/IspX62PePDaI2cPq0W7tNia
V4xF86zdG3kWm57WkWhy3ytc3ttQr+W206eS7xJQJRj6Y03p0gWj3Ni50MdV1auavdPx7DOW1bDz
XwLAmLpbR8lkezs4tdAw/HWAVg1ywZ7qWVf7q6Qtd0XQynXJ1HxT6InuRZGBUkJBjVgHN41PK9hC
uND1vPNqUY9bW5hHwxojF1GvTsqH+V4VRbNKWizlWaw/MT0iQaRnVi+V2TxoBR/mJLexmOgMnyej
eCEl7jWMa9VtbZwSWH+/QLqQXhIiAgEPp64UpQcM35LhNCFJm8rGHSOcxYDST3peXwu/Q3tYvPTR
8DULYn5GxsQNQ4hVUBrputHGQwjtWRmyFVbG1ygpbswICWKrLgoK/FmrtiXXRsVp1zgXIp6e01D9
mpFWcPwTqNZnwAYil3A6dRpjV2ct7Qf1TTJy9GC4W42jO6bHFFexkqSIT8fiFVowTSwTrlEAo6yi
mb2Pml2aVkIckuEgMxHiWuXGdAfLQBqC6x+w9NGBs7DmVSjZIJPJ1hRKu9X0nrOdeRp8dWvD9ovv
ki/uWqLdjOBRrRtG0mS7uKFYpmqJM/Dg1IxO4uw07JlonFLb1QZmOoM9FlfZWA6sz4aLkuXNyrZ7
4iqkdRUN+alLrQzwtX+FOZ2hdENf3b6azjBt0OXcTqmoNnOGTMV3uECMuLv3u65xuyF/LChVY5Hw
HLv5qasc0rc6kzFgSxFtKCqu16L9bBznngPaU0p8P1nYrpjw7yBP3ld9hJjCGjHBIooctDOC3RvH
KN4iLjqmeMqlrrRHYjf8dZ/r/taf5bKFqfeBYD82tUOwUg2HFVuS7B1jAiEe5OvYVqttQ0ezjvSG
tKfuTCXiIQJg+yd3ZVKFsL7RsU6dzrpFYXjIGLQivssHORjwb60+hiiTEDojhNyaamjvW17QNYOv
K6VE2Wtb7aHLkadUpnOwmvGedC5lQ1DTKeHI8kQ0B1vkIceUPQ1NFwqYmm/aMZDq2ZQU3KJBDt7m
SrafVbQ7gOrlatIqnxJaA7kfncMufhDYND3ampzwIZ8Dzhh2MxbZFYvcs1rDsbelBhalGN9ZdTxq
RnXV5OindO19ZPVTNuZTkQRPaH5Mt9WivZ+VTwqtmYYUdLDVIzkIKAQmyA7pAukZXoMs3XaW+ukk
84GxCgobq1o5rXKb68shLgyPsz5c/ysZ+CYZWIyd/32Gcnqto/w/hyfLD/1edZMeqgPVt2ybMQkJ
4T9X3ZzgTEEAYakoI38cnqDqWKybtoJ2ErvE71U3maM21CyCazXDXJJq/pEvHvHBfwxPmJosFB59
eRb8wp+rbpachmkKFoXE4z1UGnrpFFLYkvqBpnJGp12ZW4ni3JjEuh+dh6wgWE3pqBEzx7yLbf2k
Fe0+w6JX9TamNsvKcmcTLR1suvSyBU1tIDARtBxgDi6BWLyBUmKFlkutD4+kNWQjCXSKT/1BUB2R
aVj6GMJfK3mpuYT+3A4J5ny7n64cI+WezDW3DKl1qrG4mybxgOj5XiOPa6WooI+VetibYroKI/sg
LQR6YfNezxjek3xYBbFyU8YqB4l4UPsmR8nAANRvk1Nf1gmbwPxrqpmihiRfIJkOXLUm+c5QxytI
I69VGo+u0WudOxXhB2it2W0Vws6c0d4ESjusywKbAetuyyfWSZ/2w1iINWEcR9lZVxrTm06Gx7mz
1opkL9xncPvY9R3rvnwMFedZ6KSo2Sla66LZtEb2kESgxup4vm9rAr06WV5Kf9hkZfGlKtIlYPDG
6col6DS7KINsL7PpIWm6oyj6L6U2wAiIiUASaFXMsPp+JSDBMblKdlUjSi5nSFJTobq+qnRrQG/2
lTqV03qeqmTNzpcUL3arrcNiuojJ+MmUSUD/gYmTMwXHpW+9E1IHJkpO29ZHvtWMkom3uscXvaPG
u/LTOgfWF02nsKqrkvrR7LJti1OYwXsK8qmt101jQOuhlNUKOpYw7xFj+m8JEYpJOgrGXiO15/ga
mIhOl7qxSJcIWDqHIezNVaiJV6UOYnYn1JUy0daycT6nJLFPDNGJxVOazlO70LxIB21Xxnl9Sxqk
fqm2WXGUasDNaTmxO9fdLuxHhhNmqmO/sVw7yyS3RtQiV6jMyy6ytyjb9qJqHhTD2Cmd+jD01Fhk
OCku0RbyUivV+KLM6S4CWvBNaEDC9fuYlmpcOFG6WEJvpXJZjpp6HZE/s4u4mBwUB9MQHLKEVdVY
qa9IhAwXqX10RRD9QBuoe5OdeV3bDC7CzXRtDPnb1BD10kfcCfCinBYeWsj7GadTeqXryEVxpv5w
qJ1/9Y/+iP9czoA/XKW/Wh4xxEJENC3LsRdT148D1lIb+yQVjrxKMxijH2xPhmz/jx8CrZKpgRfl
JFS/zXh/WFJOZTA2lNQsKZu3LjlP5V3u/GqO/Xc0JBmt/90d9YGo7S8uKX7q+yX1LbpW1eCzUGYx
f/lxNKTAdWF5/YMd4PuEnzH+8nGwdbC3vwJvv4+GNPMX3kuW2/gHNBhRwHX/AbxF/4aX/eMDyArb
1hcSDMJ6Fgkwef/0ASTebGrUVgZXvpN51gTSr8UEgNWlvsTY/VgmYlWOdN9zNB0suvVtngWntOh2
ipSfuuir9eAY61AbGvq+9Ah+yF/NTnzKwx7mIYV8HpEf2xY2bWKWPjDWRiYcOfTFUfkuO0aVrQ1l
GypJL/tnNtEsCxPuhUXCG4QvppO6AqjiA8YgBVVZcgyywQdgaPQuT7vwui66LEDuUairzxTpCDUi
GrxG0xuX/acOHNH/6ofmU0sNk9wlxdzYBU0mQKbbIgmvxyAntmZ4EBMlnGMG/bowoplpjHEwIAG7
HTHTq5JIbpQrxZttxO/Eal5msI9X9cCf2DHp3jSlPKMkInczOBXlfIyLqN/GNardJlLPRhyflQV9
GUXUAIPdjuvU1O0tOgBumGZ495uYsEgGGKj/7dSbQy6YVInv+n46Rx36N8AnTKPR4VwMmXPbZMRe
ZRIT3lB7capnrnDmY5g6h7Adj9yUyhoeYgPasd8HEnFUUGAJNNEIrooOHqKIGpzqoTJjpyiQS3PB
bzqEO0SSt9qBoir2nGT8oH8gRRPnwlrJlcBtstjeaoMtABVqF2Yl95XOZGxC43M9iRyJT9U63hQo
CjqAzFnSs1jTdnl4XZgCkRcomMhir1C9TEo5b5sA2XpahpmXBFYEgVP3rLyuAHb2E3FmPm64akay
lVsrqFnvNL2g6C36hFTo2SbNl74y819Si5oE7f8pIv0PS4pG3riN2T7KmbsBPIt8iYY4Z9ynqtUN
/UvoWmrP1TcafCA7y7hUGjA5NajKddDN71BotFXZdCyohA4HJ8kdapflTolVQPCTfcKf4CDQMD/r
si82tSPBSOP50Fo+yoZOGRP0UeqVwWSvpTBv81B76a2EBLMMxXtjW+mubUYa72C4ZUrY7GHpvYMm
ZsqU+Tj1ghyoQdfzMXasMxhKZhV6qu9EZjw7sfqmJAX35Uiu0ticRCa4FIVdQeZhfxBWeGr0iTff
qiw3bxzzWpnmVj8sQiqjX/HhjTZjPVESDJ/IUB/HgO+8moD8TXE3rOAJepPWamdryJ5ZqBBFY+Ne
8Ju2o7eaHsbAZJTrDwSIRfTVg5O4xKRN6yQpHu2iG0D3apj68MP4NbAiydLpiG+yYpsXMuE18ru5
8K9qs7zoRofeuMi/ora6VTXUeqp97G0yGNv4OM/hVk2yQygIa41Z7BdsGFd62unwQvUbBfm/K/m9
XjXKo60RdmbBlSws9BQQMJ8HTLTNoB8VoXyZYGDZhi1HE5QIP5sO8EdeVShIq0q2BnUuYhekkuaB
0GXPHoORUXFste1jzg6wQHvBgn0dirq41QjteyjGcXge8ddgC1KavsboYRsvQVIYh7aB7nZOgzSg
Fa6E/uIHaBFPsRFBUHKS1u0c/xGsHDl3I04k6S+zAj4vOx217maIqa8HPncbg7Xnik/hc6d3xEBT
zCN32IUmRhESjZUdpX6+cgr/2p7nqzFHUDOTY70WQXZOCa267yQnXFaySK2Znm26IP4C0HVdm0gB
xIBBIWpKNMhI3K3SutGc9iOb+ofKKGaPbzFOj/phdoiWZKh1dvTo2CVEepWl8iqXHPAiH67iIbuR
g0zXbes3uyoVEZ81/wrIt8rUDscU8/wRQe4gk31eqOQGa/mrVfSMk1TqTKJ8LqIkflPtgdNgfBst
1csRMbOyJVlYh/AbpEy04PjdsTDOe7qhBIMrLmjESWgZRG9fBdKIvH6Kv0wtPMzMAP1cYwedRhuZ
6URK2gQRpn2lraxsuM1mbSSDm9MPq0bg5RrxzNNEagEWhU1bjKQ76NlW6xW5zgbyzlkr3kSx4WCC
sS78sjoXDdyoamAuSnPD3F1FuSvZAQfCI02PJsXKHxITlhoqSNRg+Row2GNs9+/xYMKzZvw1lCPu
iLE9+uX8aFSYTcroiukehOTWPJQ+m2kGnx6UQrSm9oui2RESctAuEM8IWc7kRa5FDEKnfoVX1EU1
cGs5rBmkqn+yO6y9Yeaw1ez2GGdw4jPoqvyHo1eb9UFvbbqjCGt0VFt0EBbnM50Zuu5VIqJb3B6v
VUc0ccX/104XfSEeEo23WrGrTd0VLcdN72Uy+IwdZ2fQrhaCf+uX9lfbxx9lI4+ZGv5aFf9bT0qm
Df+9ntxn5WcdvaZ/UVHyc79XlEQomFRrjjRIudUWPtR3UaQ04WMxk2XN+M3wwE99ryi1X6glKfBg
NBDJg5jjj7GH+gubSwOs1ZLgRuHxj1ykUvu5paGKpNhFmcIQhQoVsArP78eWhsO4zkdRTadRK9Fa
ywQR56m0sFB+KfOcG8CbsezTzmmRYs070umTgStjjJHfmnpy46vh4NoYCHa17K1ppZnqe8CifU1p
+VrL5Dbxk+xMK8ohNZuqpxmSZlNXmlNhml9haccoEtA8yBwDYth1CNwaxOutidiP8aZxMXdNthd5
Sk0lEzrC9WiSAhvHQX1ZIhvF1uVcxGabHB0zyt2mHCavNlh3thXddJopFI+OXHY60rnU++mQGNGF
XbT+kQj0xEuEg/EMKTXEWdXEQgkVwxsdCg9QsyjhtTFZy+QbNTBl2WSTeKro4jk15VVpjvnBCrs7
abIu8jMdKnFkluvAmcRlHZvvQ86epCosuUX18TXH8Ys1RA07vl5mhMKiOCz1eLrHa+m7sP4J9dGK
fRfGny1Q52cVIMD1nLaF15tp5VpNil+CeQsSPid3jr3w5cYcFHHQy1G5MKIcanWoYrytO/Oitqxr
Gxn9bSbT/RBOd6Q3sMLTc32rsKO0TCTXjs9YgnwPxD8FDOE5gd+hKxAgxikRFzIEUWhNdWiQngo+
1le05Nj6k2y32BunMF3NNQfWVch71+O8jU4TwGSo0AGXJRl0/CYo1I5Almc7QKkQRwljX7aTeicI
O48gNzCXrfvcuYr6ifFxMdtFsML9rzG19zlNIfQ7X710kgu1YJ8IxfsWAY4c3W9f2n9PL/xTf3N6
uZ/p/12iDfr8z+Nr+cHvx5eq/YI6CruWtH87bX4/vlQdP7vKIFX/ziX9fnwt4TBA8eiqlugFRV2i
C79rJeQvGrQ8AKSmqS1zYPWfNMR/PrxY+eEyc9BcMCNmx8YJ+uPhRYBv3KRzrp5zPI9KEl1YQbLW
+v+VGY/C4s+DH+bVi7YPRxu5H2QD/PxAJAIkCBGS4cxwKNmDbLP1jTF3hyyC0FuoAWXUYGFsbIsr
YqguqqS8t9SaZRe4kfUAV3+TcBYee04mF7ER4RhTG62EUS5M1fppaEqOKTtE2rx418MmvS15wLVa
pudCiRCCWuyx7EolBFn0iN9oa/BF28eKkTGwOdggIJtdglDxeye555u9x5ybMpa1mdskI8Jb/VFw
sjs6zRJ/5lOopwVzbOMWF8mNyMZLIYzLNlIoJYYopv909hCmLwc/CxBbyXvErelKCXoa+UU62/Xt
NaBqj530o2PXn2pgvQTZ9FwvXqqEdGOX4IezUftH08oij5nGzuTA2Tbkp6+1ur4vzGAX2XqwBld2
hJXwlg9h4vWc1+iroKCmxVi6oqMOTHGzgLqbX2SWLTK3+Eq3UbCRWI67RXMrM3npLHlfN3TzY9aR
zTvdWFW3RXa5wz4lcPmTHjDorL5BMsMBUA16ORQRWVvZa8t5cVpsTFSdXcXh2nQ6+1xmATbGBN6/
eIuB6cueEEUopnESfYcwOAcyUCGvl9Z0qQ4gzCf0/EMoIy+R6RlieOwhStnOmX4KAj9YtVLfOj2v
bThwDwqTcUhZOS9oNXfgGG6KfJ5cbW4eIhPUTAA9esU057YZur00kt6tNeWdNEDWm8P0kLLFJtth
BtMIK6YJ4x7Qdf0hU/VDHVJk88h6mA7vgUlJNPTDlivtOiMKZCSm6MLSZmQSaf4+x+VTaHGTZmZx
h3qdZXBlJbuh07YgCBiW+x5mazjWfMTg1+hDuJFjWL3mcRHU3mwLWknDHGkclTGhxJzUGnI6LHQu
SGvwpD0szup6PKSpATwFkqDiYx7StY8BYQQgSwLJixrmS1L2D4mhLf7vgbU6tMBFlD7KyE1ida+h
VZGgFNrFKWdXr3gwbmQiPm2Ht6lCV13wacTx3yNcbVpgOYNbDInc04HDLhj6CxthjyuQotLaYbZu
+gg3ezA8m7HVbMagPAWR4q+bcsT3sYDjm4syBtnbNmij2idyUfA5OfG6jxX4+sUpMfnKanlyRgl+
TIXYg9sjKzYIw808TkA1+ujDHGja4yHWQIXLG5IctiM74wR3xnokkzk3yye6cohWe6QPIP3Fjtzu
1zFWXmaD/aWVgnGf0pdUv2USBomgO5TcjKnAHZDXa9XDtRY6eouzStsMmr7rVbQbMsRlMJf9ViP/
0lMolWAc6y85DVY7FoPrixptz1BuO5lfTcXwXBdg9KJJf2hbxT6VguSQu0VHGth67e8Klcph88MF
8xfT8z9Bx/jSgFGROvYFHMH4hJYV4I/HddMw5/MnczoPjD1W+tY/jLfFaR+TmPqaP5abZI/vfOUf
meF3LuDL/zFaX4ajfwxPf3v4Zbb+bX6KC//nh6/9zuiF2c3n3not/b1DUqszvogiW/393/lXj8Pe
CUIM80nosH9G/LXcWREA/7OMLgjPWqXppxPsmUj8j8f5+fb79e/h9eQOlGSxQbn6+e+psGkaLNIU
UuSPtQkPmqme/vj3f4v+Myjutwf54Y/504N0oaI0KqToc+81D2CyNv1O+bBdm0HPKeMztrqpN9BU
PHV3f2m76eqyh5750Gz8zXV8GFY7VNAXrct/6BYe/9s8/P3zU5cX889vqs6KmD4GUSf6zJ9fhJQQ
Iqw4ijxT+V7618pGOcnH4MDOCEMjKYKHZ7kd15eVN+ygIWZHxrPXsDg86N7/rv5/s0/wmv/3NniT
/p9b1AAR/6KQ5Ae/F5JsVmySrug3dW7On70TSGt5C+Hbq3TDFJp/9MEOclwi0Byc7ksZuVgKv9OU
FpCAqtMKg7ij06Ro/SebFfXnL9OyWeH3cDIpusZ3id/78+eoCvzRELIHiKgXD8NCROtBowlK35UV
N/WZiCy4aVyWT4ZetiwkUxQvlrDYk0AzakSfH+YAChKJgDVXnf6ILdhya/xc6xLNgzfrgIOyJcyG
oqhet3pXbCrf6dfVQnqLQb4RAoSfYrRDfBTWvQMWjlsl98xFHGiBjOO7GuxqIHJtND76DKtAApW3
dcGywxSRs5NK8J6DoBs15QgV57JQQmaTC6VOqWPpTYZE8QnCLh2i7bQw7Qrgdmjjnv1WhUNaNoQM
dbdKH6ReUBHg1A0Q0UAFvZl4NHbtws2rR7pjpxg/zcL8RLkcu8ByOrcBt+eM2hMU4PxQdmmxYkv2
SpzYNZvzYs/TfHfy7Cox4KpovbUWoVkUDyM2sQ3n6BZpZrE1IMvDPvGCAkaIzxZnNrJPmvbNuFDo
i7Tc6nDprXq4Gcwk2LGZsvHRQZtOhnl240iYm06MV4gZEa3Cuo9g3vcL/J41a8G6yS6QcsBgjmHk
p/2w18z2hQgdMkQ0MPodDpZ5AevbyvRgp/Fgn8cG10DZjjNTBK5E54Ld8tfchQbYtj7eNHFH5tQI
P0af03GbRRG9fhQ7+7KawmstUe+hnMDPW6bAKhrmGaHx86xYqxLpntPddWYaXOJVLA+zktUEoohk
VxoFs2XlRuJVp8iw8d4DLVglSvSwwAwA9pCYrQkM1FpAblpplsgwCvLehCjOQYyoymxw3pnKHeFp
WNFjqJMdjVFqHvQu5yXGSePH42NpRB8WWglfxIDzEGmCvWLCaonuVWfvQfOuPQs1faG8JnkhsLYs
KoiYD+OdqoBCsApUi93sCZU9SDXb3pQjR41ZYqTJhelbhO4x1iTsj2Fu/qWkhb0h58xcmUxE12VC
LlQv4ndpiicDgfgUjjdp2F5MvbiDkPHScl3SJDirqhPHaqwvFc2/H/P4OA0Z75avPgQZXsew9u8I
ezu2Ma9QqQa6p5XUrYntXOaq/uxbw72pyJl1VBojXaSkJtzrrdGdm6GOL4Oy9lTfgRlq9VeD1G+0
ib8l86PrupF7wkjXuAMOAbTOzhyOpTDegql9WNqVIDfgehnIauadVmerUgGvmDTTk9GhZY0DdptJ
hHuVY45tTyWQLy7wIZ/AsnUf1U91kx00pz8lmrpnqffAyg2VH4lAzJqGfVkbSwwhatFSpDdwtd7I
tQPCk6T1ajZtJOSxtoGUY2/8Fm0MJi/Q1Q7eWJ3hUFxmMbFSKOIbeI4q4pDlxOWUksUm0ftzAW58
pVat4nX9dB0oTPElZlGFl4Az6VqbzFPcOe/IHxajpnmvmmiadKTEWgcHiiENBqDliKuRLKNvvFWd
3EstlkVqyVSrAeLGEDTdZYiAZcoWKshac23yeevm4FYq+puV4dcNVPuU9KGPdFwIj/79BnUSysMg
kQRCWW8qaWMbmackYpjlZtLIBcsiVV+csR7ax6+6nf3buJrZ0dXyLo/6nBQRK3ovQ3FpkmyEPJkz
IooeUcZc1U64ywz7a6YE3rRMKYF4KUDVKoQ7UWMInNXNnD1m0OqC06wGyNhN9oQ4/Y6GXd85C6Cx
XlCNZEK+FHPkbEq911YtPEe/B9Vo9c2b2YpqPXf1WY/SyxAGpAYLcoQJKRc4pJbXh3RWNzDOU/a2
xjUsyFPnEPpmLmjJGMakDWtSEXi56gU/acB/p5Lv7jTIlJGPgQ9SZbwgKxNMIzyb+Yl976mppofM
GK7LIT7zeeBFgHuZwb+cDXS87YKD65UcASRwldFpb3OomZLFKhmFR10Z73MVY55unE0om6Wj5/jU
+FYvAE4rNWnLDKCcTFRVcFuAOnMFmCdnrIsKfoeed1cvUE8razh2TAJMFuAnIn9IGt8goGW8nxcs
qEjIE/sGCl2QoSAD1T2gr8h1FqBosaBFE6XGVL/gRoORMcECIP1WjPw73lOoUP57VebVn03+VyUZ
P/V7SUaykEnhwzwOxoKiU619X02oAJxwKFN1EXHwayb099WE9Qv/DJKBVcIi4/wx+Nn4hUEh+wrD
QrdEY/KPVhPWf/IanEURCibbktDeDe1P7WKSMbJHD2Jd4lc/BG3V56d2UCdzHWd9WS7T9m7e2gO7
hizMgvGhQCUxuYWTw49r4/B51JpbQgwnNyQVfT203RYjoEsfzmRCyVXceykeCyd+0+Dg8EU1os0k
GpLLyBfDP8b2PBXPJObdALR8HLpCJtctRMlbht07Z2BparF/xpECByASl4mf2wNWBfZwmQiep7IN
z6wKI/McphhFjNxm2KLDNNBWJrinwjX8TMnvTEuQWsg5NWzQDfotsaxNGD10XMRsRZPhMVGdEHxn
UuyiMI4nruD6ROTiYeiMGyPQJ4hs+YMyp3edjl+nCMt3JBWkC4UdHtU5Yn0Tc55pb+ESPVcL/dLs
VJBQ40MXRsZaoyAUvXBFxhEQLNYfvSyla0/sAZBf6xuph49QemzmRAkgG+M2sVkqx4RBTyL6IOTl
Luv0T0VHrNBkvCiG3V5bWsLdB7ZoN/D7EceXycukkZWXDNFOmZnRVMuoLUvtuyqVqofPBaEtsaar
MVZ3IaFLed/XbjZEey1EAmlkoQU20JpXjZLkGzWuSMhUpgNaw2tf7bL1rIXIaHV1VyQMmlQblYEz
jep+6iVDwk75UNgg2CySiAw1fJBEzRZx7msQFkfTsY6NBqkismETooq/tXwQfQ5Jf6MvPgxn9lJl
ZP9RXgaIIdC2125Z47X6f/bOpLlx5NyivwgdmIF8S86kSIqapdogJJWEeR4SwK9/J2VXd5WHdvS+
Ixze2CpSIpj5DfeemxfKaRpUn13JZMaNJcJMLX+XkRix+BTPPNL4AsTg7VxV+vN43dhG3S06vzx3
DoJIew4uZKDeOCGc5TAyboNKo2flRl3oY+Ms4Y22rP2jVeSUz31iNgvsLIeOT7BDzUmASLwdHUhk
rl6X67lAb4EyeKydJ6PtzqKL75MOU16st495GN2qSERgR/3WCF1tz6HN5ixqbicvuAeveDPXPV8R
A1fwZGBCEHE8IdsILn0w76Ys0HBLa+9NrUWsv6p0OzlcUrMhkEH0OKNDp8U9rdsrEiDnQ1l51wkh
npvSd9AC94W1zIesQxojj1C9vmdZfIh7nyivNj65GAZxmXlXUwlWUReYoCb2RwZfgJVtJK+NXsnN
JLpr0djPg4Zaiq/6sEim3F1GvfWJD4jVeFXe9nO17HoPTAjRKp6nwnILzG5dOjyYci52ms3TGaiS
rs1iBDXmzOXoPTvSuUOIOe6HMmXq3Jh72kRrZfn+MRo0E6AsQ2I9t+2NrJPrOHTJNUtv82w4hxHP
tozYmkk0cHEuLmZY1Bs3o5+QlWQy3YwT3jj3XhpY1PVG/wxMG7lA9s42VrlDuOdDdC2BZn7YrfbY
Jp5Y5nn+mMvOXJuiv0P4YGxjN38pJ/vK0cpJ6YIQctsHzx7dG0t5q+C16BN51fWbhawIyyVJWAoq
3zv1yVXaoxkREg7ut8YyX2pfWDuhdEoVgqVZKZf8LgLv1YBXdZWuCe3cO1zqdq973V1UdPAXKz3b
TTrGx14powDnfqtc+67LSSiV5BJuyNgmzqRnhJxUVQGmXD8PEMfWTHU/hnlC6+5QWSpF1qC0WSxx
BSlw6LUE/hrk1HRsUFTfGa0jGlP6Lj2QzjlWmi/iKUdWHibrWARhUinDJswqawOxWKpUY2gv0J6h
I4udZFpNSVSdckRmE2KzXKnOcqU/M5USbbR4WqsmeXeVSq0KknntIFwLbUsp2NCylYjaUqB0q8hz
s43v0/hxHs7bAhFc4zvEu2oQMINtqVRykdLLOWUsoH9LNBpdLjaj0tXR5AQ3bmFWG0+J7hDfAR6A
pKf0ePTJpAVAdF4im8M/2vff01pPNpFS8pmVBfSuAlmWonLcRUUxP8wy57ORE9IVpQfUKO4XIRmy
CwexIKGoTN8NH/KKQy4ngsIAYSFenRwnDf1NkM43hFmuQC7f+ZrnHueWTi9SCkXq/0vVR/eFyeIh
JS13A4g/XvRop5aJ1b27NVgIDLT+dlT6x8mA2wAcfsRWGV06RJJFMOurVOkmKwSUEJSOxAusoMBc
BqWwtHCkAhOi3Y6RXwpkmD5QxawNGEh4SE4xWjhkMziw3P1pHSgdZzij6NSRdhp9+lqm2iVD8pmS
JbBEJO2uk8ZAI2VXHxmAmjDX7U2nNKONUo/28HtxxeovlVKWDkhMA9ED/DP0YSXrBosjQtTCxxOc
jEn4WEcZkQDBi0sztTD56nrIWFnCvziWRhxgd66+tiFd/h44plgTU5wSLpw99koVWyp9rIlQdtYr
faVl8cmA3QDSOr3K4E4sbe5UR+lsIYh8jH4L3zQ4+kqJi/7/AFdIrOpUWyRO8ZQj2h0LEzud0vE2
qOP5QA81Eh1MAd81JDtypH10maAQfb5DdvrB8m/TKpVPS6wyBrR+IREA6YlO5vpVntCroA2q2vRV
9MlbRKJ2NWg6ZFhvD7JaPTWIi1pURnMr6dxSPh4lQEoY/YxKkhQHJm0xKiXUTCRQoVuKk5D/Mwc4
Uoxj3OA6sZXQCbJnvKVy+0YFto/HclMrUZSFOmpWMqkevZSLbioQ8smw+MeVoEoGyVWqJFZW3r3b
kDJDD/FVhQpL93J4fMUjNhjkWUW4dZRga/KtM5ulh0ZJuSol6tJQd1WoPSY695WF7qvXgC15iYMz
EE1Yr8RhA3Zz18AeSXfhLwBShBtg3cx+lKwMjOddroRmZCRD2KLuxGUSg9pAjlbYzd5DnybRqUVK
sBZK/3oykm2J+hXtpOlvm6lYGePRR+sWKdEbLIt8yRp8myRDhR6TQsaa3yyUcq4M34gdO9pKQqcF
Olb6qn4lZ0KlLkvygSt9aK74+tyHE2M1+rdHA5cspMGF35JMtbPCbGdCCB/wRga+Vd0UbpOT9oDA
BIAgkWTaUzSUpb4k3qNtDuz8pDKFy8EfNmU2aNPNxKdT6E6srWzEFPA10Z6sfJEeSqI2FmNKAjo9
53YWIQ19iczYIwCsSDW5iRGy2Hnar4KhfIbBO68LH1noMIUGAcbJg9UUdxLb9IZtzmedNE927DmL
nMJLCzCKQB7YR579WhXjBW8reCYPqFcUd/mSuqtFf2oDTZGDge2+HLlOJupCnYut5Urj81OfHbV5
L+BriehYN8RpZpW9GjvvPHQxYXTeUQFwlEf/1RDIiIV9NOaJ6qas3rhb4MJn2RJf7kMbx/ah6/WP
mST47ZygAp8GjMRDf4HZGlHkAbKilVhQ10gSsorvDU5xCw35Ejz6vKlb94hX8NZE81l04FWdvJQ7
zt2jkKxJ0cguIVG1u37gG52YvKCDoTC1sxbPLmtbLPkL6OzbyqTaFUb6La3jpR1dpyhSE2daEPi8
dxpY5MIfzjjb4QZU3XXuINSbGlYmBpDaCcF8qJ8dwjezYjjb5rXLqI6I6FXTaOFh0MunVIb7Lopf
Oq97qETJmnDW1wQdj653x1Z0Sd17nmrzW1wZO9FqnIx5uJ8nb94nffaNN/gQqdbeoxZcR2gdrzgV
vtl5OTzlM86gsk6uRkLAVy02UlAr80kOGPRr13iuBp29ZXojZfGaVj7g27bjSRAvmVMeYyt6yiUz
0L8beipKNhCs3v57Q3//Eb3mr/++Y1E/9aOhNxHXoKhx7D8CN39v6BXYhEhitoRkT33JEP/Z0EMv
QQBI6DATTRY0ykf5+45FAHRkschehBLpa/3yF3Ys6IZ+2dXxGxJSQVoiryWABbue+euOhZmepWe8
jetBRGm7IqgCvDG3suLJ94DljQ79NrcnpGAw8KOiz+OPdNcGQPoORN2yAlGyCZPp3tfKetsnDIQL
g0lX6cLGBW0ffkHu5y/gveuWvbaywOC3PmhjIKNy6zZucIzsyd0no7dya9NaVt7QnBzT7hdOaJJ8
4xlvCKU/dfhMu0oW58ZUKH63pKrB2n47genHTu3e1IrcH6Yw/PWs4Aj1XfYEivAf9ogPJwG0kcS6
tT+mmyTstZ2hkgGSHNyUT1iAUZgje5OBtMquSIad26ISCVW+QIc9csEswbgOzKREQUAOQacSCTyD
27fi5ec4KxaNBxIf8gpjYUsoqLUyfFvylHnBdVJGBwqLXdegxekKE0azRTJniBmz7Aam70FyWzqc
xG6JjFAnacKl9ITVOm1nNCwUEVxBiGGWTeQGa93XHqq5vRNNs4M84+8dqrxGpihWXPFk1d572ZTn
GpUz4R/RgYXdxemC+3BAOSGBYA2o+JqK1N9enBzi4Vdmq6GcKWyPiPnyOZHZwS3ilzHp2uUktM8x
9Nk9YU6Js+GbU4iPqvDqPWOIeJkUnY98gj8LCREoUpFdHOMYoWhKEPM3CLkXf0oeU+qJhcxLlEOF
M641X2AVRWJDVlD75A5gYV0AJgC+mcnGPd1mHIFGrB9LS7Ch05EVjb6Lg0Yf70uVwvBFtYgHcquK
GUYlQyEouXZ/qRQGQ1dAjAYyBkvB5wFSRh4W9iawjO+VgmhECqdRsIUKFGAjLLxh4yroxlwTXJby
uG57ndkT+8KcLliBOirb2msK3RH65F9ZODX2I1yPCb6HjSXQUsAPEUhvbSRwh3u3/cT74fJuscTw
3a+WlYKGxLPHBChgdwmLB2gD3xGy5hkJK9xIQLo2/ma6Lkgk4QCSBLThtQWjxIRVEsEscVN/r8Ew
6c093X0gT4J/s7W7u0rhTlzGWWnuPnmCnZ4CokiL3ovFEps8ZD6KmVJ0z56CqJRjx9giqcS69Zix
lKITiy4pNmVanUyz37Za/tCGPblY4bHLq3xnwGuJTYK84bfYPTMVTyFdmnG8zjNzPvh69hKBf3Fc
+DOuLr19UntHU+TnGFRMppgxZJOZyxJ7Ll0GRBkGKz5+CyPe9+BmTLAzRl69ZIpDw+iQ8ho0je05
TzjDrk3FrOGmE2yz4Ng4EdS2RrFtohDKjdYjfSVeBt8ZG18NFI50g6dZsXHqCnHHzPhtVtwcwAMj
UrNshZJoH8zNR604O3iyKTTQpOmKwRMpGo/gz4rD+GvAdtNJFd6i2D1D0tqrdGjcHd3hJ/rHKxvQ
TxwxBBsV+ycDAqQDA5qBAgW0FstGcYLqjiy7FHSQA0LIALUOoqW4MRVdyAAz5Ip+281wh+rCD9aE
sNw0IIkC0ERD1J70L1ZR5R/ihlIl8PKbDCEX203tEAE4ih1IR3o3HlzQRyyIWZOMJhOqmkLLLWS6
zhQradaj06zoSU4AnlZrss9wDu5rDGiLyTBTfjmoS2OUfG8q5zos4THpisxkK0ZTwYb/SobavOuw
qeGJUgm0882EjG6tKcpTKsK70YrXvcI/gYESIscjXTUHptWsFrAvLesaapQlXYaybkncXz4956Cl
UGu+1u3ItMyEOuWDn8J+/QDU7gjokx/FV2IP9obwOOIr/KsYgFXSBmQW8RARSQj0l1jG7eQZ7zPY
KyfkzB4BYbkAsWqj+cCmj3O7fp0B6niKnNVOBK5axkvpFyTqQYcBPLwOUn3nAd3SyY63VWQ5SjdO
7oqtJEwTPPkZIkLvvgLdNdvOR9pxUMaWqxLBvB1fblLBAH4ZFnSisRXstSBymEDBMp5bmhib7EEF
s1CJiXzRbhoHm7vrzeUW99Qrd2ezLuMI/F40lWgdLffa9zV/q2E13TZt8xynxp1T9JnSBDwYXveS
pDCIiG3Hmwnxa5F5FdayERmD6b9ZgQ/PER8L7++tSWq6K7/83gakCAsovitMdPO5SGlzlB+HO+8k
2ZEvpBrLCwJcOqixVqWVa5H334k4IaHRq79bUcFcWbTLgDg3UN4BnbUL8DGcIiQHYliFY2cTIdCj
PO84wQCDnyNP51tWIZAFXgiDL9zBKI5wELxZGg2p1Iq7qcSgFmvJN0T87xCEsfvn+ZaI6C11BJ9B
MNwZDttABvfeYdZonzuifjjEiQ2gNCIxcZ4w9hjttZjtVTjlnymuvqWfy+uRSfGi1cKjbpE7I7rq
09fgruu2eKEtN9ZanSNKKtzXNHKcRRVqz3rdBzeNX5w4zVsRnOwh2ka0cxqWPqAsepeK+lxmWRkx
7Ij1kMykuB5meC6ijv52gf9TrsSe6L/X0dvso/gPpBLFHPmpjIb1Yat8N1DlXxuu38to8zdsNzb/
+aed52epEoNhSMQ/tEp/aN4tgebd5N/iv1DqqTiUv1BGG66y5PwheVNltMNNTo1PJQ2nhH/uFxll
MbUe1aMvuK8aEoMcY67Aqyo2taUVkbl2orwNvrH7b27As0KyzhXUeoZu7Sbi2BQiZeySvqUs7JWN
ejC7cDPZNmdhZWWj4njP+2K06nU/iBvWPZ+4zuIlLGnGSiZnholEmYvVqbc6wUB+wZym0nZanL05
DYlUXlIew0TepCpTyO2aFXuTnadz5rE2IjoLjJEoATYQSMTddjaZJMYm2FcZkVnU69NuUilGhWa8
JcQajYRg7hvfeyaWaT838p25wgmyeOaoaC33RWE5OpWThHjmAxbiKlUJSgnUWKYKpCrNiAyQ1hZL
czB2NcFLEBwGloEQsVJLa0Cxk8+EhY/fFgTuqi3nJzZvJ2CKFJFJa2LMJOXJ5G6PbDLUrD7cNCoJ
CoSYt04Ih/IJiULrNaxq22MeW/YvOUFS0GyZnpfXHOro/PPA2eQqdYqUvb1UOVQiJtTIQKW80qWN
U1PlVVWKC8sOKV8CqkGGPN3kTrpvCWKBw5J8n/LB58bkAG3KAJESyl4rnF5h00sqb+MTMOLBoG+C
inpMVJ4WcCsyJr4ytiRpW6XK3ZpUAtdIFNdMJFeuFfKZz/Oqc77NuXsC/bckUIIop+Sgu8GdVNle
lPpJu0LMywkEprBnHBSnnEzVP44p4+vMGkMHOF/r20xOONNi30faDfZenLD9RAcvLWHeUVlRhCWV
vrZ14mGjwBd3AalWAtKOMVJFlazVBmeyt1Xj2Nkq68dwa2B5Qv9WNObRI0Qd67Lr74jq1Z//Hit8
jRXsP9UJ3HWvRdxmr33776MF9ZO/n4k6ZxhUZEYFruV6v9CbjN+QdKIVgIHqfJ1uP3xAlv8bVh+G
5Mg+AWB8nVQ/5JvebxiHmDdgHmLFihvor5yJELj/9Uz0ydzlLRAjASoKQOuvZ6Lma1bajFl53VNY
z6fErJzkTMZUYq67Ls8uHvcoaQaZc3aoSbhsGUGzcm/M/H4wECzmRn6szeYlm8pD1ha3+HpWnWai
ZEyCk+84J0bY6bLwSBi0WOKw5DhGunyak+Lj66tcDibjdjpq1rnzBl8z7CRqnj6IGB0zXKDfSk4d
6v8RvCyGjqEw3kwNbwG0jGwjw8E32LixhDmYqduFdFIaq10SCSg/czZDLh2kTs/rDtXei718W3vi
4GZMNu6toOOMCXKJaF4IlXjSqPCTRMWg9CCRTIhJg0pHISfF+0pMyb7SU7zG0Vai9Ztkl9KYzuu6
CfV6TZgQurhMjm+9m1NDZcWTh8582UVy6+Ne3uJWRz5fEtItazIL/UyCcyxPSJXqpdlSo1VRvK5n
FsQRZXIZsH/Vg0etmffoZW8HwHwF+kubYfqgdcdROtdicKeFX7kqewnyafxKcXiV9Z7GvKI/YSYi
DFirdj6T5AUIh9uh1/auYa6LoD6D1/400Y/lmtwZcXeA/boLg/qISfKcm+MZPvabPrW3ImKinrgP
sDpZqHu7AIiKGw3tos6qu6xCzFTEq6zSt9Jpb5vOX1mjZE1uP+Weu9AFd5/fHhCG0kHkYMsT8Vkg
q7MzMrFkvwa9ubWhhxtlewri9gJC4IXxLxBBf1VRChZedJ7L/BpR5EI4VMetDVPcfJpleWJlsaCt
PPNZwqqExRlF5yQoz6gSrmZCCkmyPSQOU2RX/2Y6ycaPu1NldW9h6ZM5xUcfeuLebhC0wWpitnFE
xdwteqGfe/amU52cG9e8qScYVrP24ETWPkvUJ9yXqyrN962B9RUxrQjqD2FzARTZE7DfB+TDt12k
bYLKOaLp3qCzgLo6ACqdiBKzx7eBN8G6xgDTZBDeRHPukZ6FkjP0DKgl45Uco33ZMoPyp+aj8cxb
FHO3zYS0MwgH58ZzGnbbMjoTyXKa4J5fN2BU9uT5scCHDGWhV2ZNunDG+hrr1VEaPFK9sPfZ0GqM
n2W1qlrxfQrHsz4iFsitI5vWm7Hu3NVYxSoayVtZdf0NiSiPn+XSKQRb6olpo1nBN2TVJynGaOPn
/T1ZI2tLs5gk2R2ySpR+mI2BWVg5LYAWgetkk4byJDJOQA9ubYgZSzbLEGpHPnGyOS5JpW1bNAsV
Q3LmZClB9q2XbKBenLqk36ZBuHQIAtGZOax5Ovi0VD626NtLDVNkWdjtlWkRHRdNLYEx8bUdpEer
1ra0fOvcrc+VicJT1vl7Zed8GLO2MiUsrCQgVSPu3Bsn8/cl6tAVvh6LIGwisYN5JFg76SEcmGJp
RqDnk7g64ntGpt5py9wsnzvPpjs3MdZp+XzuDevEzu27a9UEevnmLqgKxmEIjxZMKW9Zaz92wj1o
DiHmWp9Bmi+qpR7LkyOMaTHYnAC5llVLURFrYdYBRV1c1Zukn45lbciFa8XXaVo/DC5BAVE03oeu
w/POzLEg1HXwU1hp/GmiGmeJ1SQPYsiLpYgjsaBHkse5tLKrCAfm386Nf7RCxp+uFHZ9TvLt9+7f
b371c7/f/LAIUAGqHKav7QDdxu/dEGwDzEdc+7qlYpWY9/9YKlATINwj1snC/wRjDrvFDwcwsZE6
qAvstD+0hX+hG/pX24btm4paoEiQeJHhJfx673c96aVe6chLrx/g3yXTbdluf+oP/4Nt7R824j8a
Ln4LzCmol6BtUP1gt1LoyJ+YbAaHR5KkbXWxJGZbUE1Oi70usszCukQ6cBtlBh3Tm7mMXf8cMah7
pjsw0xtfd6ZlpOejSfxBtWyx2dfReIyDbM1XYT3HfGv62VpOU3YJuI2zUttPrdhpdXnX6TgNp8hY
z7V3O8btLphqoiHycVPEnQG8qD5olbzW/PQNQMyrRnByX1V7AmSf8SewEo+j65DDzDezvRe10BPG
5rPp1dQ9lquMbmUb13bP997IFp0jd/XAnrb3kgfP39VWu+TXew5dfa8LJvkcxod6LD6yVkQMgrjk
p/wjqMiK8/OqW5T66C/qttmQMXSkHlFICCVoloz9Kk9/G9viAPsvRyBWUHCFh8A0H5qRyt6Mu6c0
B/oTTfK9de3DZDfFpk4qmGSjXIkadKUTB84yKJs7IKTo+O2yW4eTdWLUjpGmtW4yKEL0t/2zlliE
Unjj2jHZAfhm95l4NQombhNiOkts4vYVczIbFXcdL7K0TnauTqI2+ptwOSZ9sY4rE1U8J9GC6/zJ
yEsUiMxdWSXdOoyTFrmZ3UP1In3PT1+0urEXpqz2guSUc9ZJji4tPbRazEjLqG3QNuEx7N4hA28E
J16cS3NpjzUqB6qqYCaUPKiZEpahcWj8vll1g7edPee9ipnayqm56j373W/zaOUn8aefs4IObX9e
we66x6PzacMEVvN2wAsS6VSyi6BGrAyCTUoIQ5Skb0aSQPCwkVbiC99DnOSiHLpN7CuDj4Xd0247
ubY1XYAe7S8I0x+GsCfBOeugPkeN0n/eMXmrVyCb+mURYD+wCdod6H5n1ZkJP4EJpZJHic8YxfCU
gsbGV+p+Msz75hipShPEoApIgxhAyuFTkWfNMuQmWnKuPIRTfVfYTnWIUus6zDwPGkXEyHocvw1J
xtMja2IgJX8Pz5tfUjfArEzvPlB424Z0N0OjP6Rhxq6fgMJRI49jCDs0YNpnp/kvBICjSU9BIFsG
yt4xwCxB+LVb0hZYU7qvvmyu0m7qACwmsk/88vW9E0qglW7KUy6y9CHVLbF35jG5uJa8r2uT/rP6
yDFogTHLFllZfTe6Gmkn5QcSfxRpqSS3rYmTJ9vuVpkbABBzH6HBjtspmpJjDk4l1rTbpk+EmjJk
NRHPOSFog/SvNI9ReiOqctlmjA2RRS1Di7l5aZ1sMueYw8BmI2O74rvJCqw6t6X3HPnOB6j+esGx
Bl9sNjY51/AQTVeMsl61sb+SXUxOaP8S9rQmnDm3TWGsSde8LQ1rLw3tlizslauFj/QfL63voI7W
r4QML2yUL1POZL/tNjMi0UBM3xE8QEX1QLe0UDeJeF6mNUSntqEgQikHa+3sEaLV1GmGpHZeoTSW
i1IgdUl8jU5Gu5665jGPRboOzPaj7aKNWY9PWvvh9DyJg+ttLJts+WVAahd+qUAywKKK0LS1Pkze
oxcO47auG3OZhFBaHL/qqnNqWc95aROgOddrbyhCQnASVUSmpV1Ni9yZrW03lc3SzyiafQusbN1u
mk4+S5k9trX2ghHLutF7Z75w4dWbJqtfa9PYR431fQz863qeziIToUoXZymAbm5FV8l2KQENk885
VXjuT6cwj+7iMHxDsastZdpnVw1iCwZNHe7mAq2m3UUvhcmnKKP7OC4TFrfsv4f2uTfKGamelW8C
5ViH7N2Ct+HuWQoo44yGMsbGfUWOQAfayk2QPU4T282wAf3Lt7x9CkTbr+zOy3d8m/1VnXUr2x2G
3WB0cou6qyTmsJy2stDZFWTsqMMO1SsyNmcnyU/aMce6EGh029qREnhsk0ENp7TgPS7RYc+ucc+Y
7bkxxrvQadw9NInnUkgycNn0nP/82v1VLPB16WLi99WNaxKpoga0P1+6btZXcDrq/lL6oIaM68S/
d3nXDpPC5H+5nH+tItRrMeWF6mqomQQGBjVx/emCb1v2lKqcvrAaC9LHetpE2v8wKv+vl1D/+08v
QW5klsk+k5eKL+aEbzQavtnV3Z//zf7jiwiGzB61lWGqquvnF2nBxo9JIeXFau7r8jhqZ23Y//lL
/PvHwp/qp5dQ5veffo8OFWRo2KO82P5dXm/Aua2pQgrvNZn+xyupkc2vVdevr6TeyU+vlEWDk7vE
+F5q9jRGQcNgHvoc8dF6yMHIzf/QFb2P/xd+QHMDj1EWP7N9/921b/iwahzCzBkv4Yr59eU6MHhz
0xmS6eez0WHtcu/D6GrKn7/+fn/7kQwag/++dtkX039wI6mf+dFnGM5vrhoIYr7+ylHi4/7RZxg+
OiRdp9LXLc8ABvN7n2F59BksaUCJW3xqrEN+7zMsh8hZKnYfRRQm8b+8daEF+ulxhGVEbL2l3gPB
3hawgX95HK0oq4xw8LpznrrRpiyzeDWWOdXYDfSRGQFoLKJgdtc2KN0IY9uQyrVjdCbkd2IJCrm0
p5j2tfbjeoLKiMfKQQoknQaL7ejWPRdUFllbSD/4nha2ncWERmpBMpgrLRBlwcDC7e2L1/eiKVae
Xg321eg4sh0hl9ZJ++rNJJvPGBiJQ0cYOjaDIDgKk8c2aSsBe1yPCKRp3EUtpf1Ql+zUfXQhdV+m
zsJOE4rzWg5XsXJuYCEqzl6W9rfkdMo3vXCcCh93FL4NdjNuslbPj7GblhSDZXBONPDceHojrC7k
/iCssKYbwzODPWJleWK6KM8GFsZVg12mlBihkMGazasfs3DIOlSyywit9Z4JRXdvMuRY8hd03v05
E9shyiQ1NJwkhjIoPGzr1p/1bD0qP1HW6wQe+Qa7FKfrMKm4+nRusLtvUshQyAMMxJ1ti8+bBoas
33nodnWgYzI0KsBIQkTmN2uu5ks0M8ldpGZvvqVUWVc9+pz9xOLj2XJaiyBqE817xdU/My267vv0
nT9psSekx7gz2ljPlglArJMtMQQ4qArOE5G0bIsdpCpx226FyJp1Mgv/PJNjtCMrijt9Isc3YoXz
jpg2O+L7bB97EpM2rUgKiAKxeULulqFjidoUCwzyLVQr7g0ltbah4m8vUCarFfrW8gqJ/HDVtukB
OcgMKEfzN7UzjZ/SZuzpV3l4GMvY5r0lnsak1tUPJB4BgCon/DZdBzGunvxiW4V4cGwM9YvRaTgD
Z1MEh6zR3EcagycmgubR1PzqmrcfbLQUvFFbmkjxm0a/nuYI2A/5r/swRl1dYlOnYK2m26jx5Qpw
cr2e4n5ch8McbFqoB+Hq75P1a4OjmCf//WQ9fwyv3/+DMFT91I+zFTsn/xI4Gs5CBjkq1u7H2Ypm
lANNUTbUVvsrDO+fMxzW1hRfeIpd06Sg4Mf/OFvhcuiANxT0nKELdcZfGOEAtvyXo9UBE0c0Kspw
F5Eq7+LXqzfo4wrPdDxdx8XFmrxuaQaTXMAxfxhnUy70iXRHYRZHDoRbGro34F3a0tNmnFcRcTMT
DqiF14lDm4prbvcSv7/7hsT0lPXicZ7rB5xRnz2b21rDwRcL7yWr8gqlmItPX85b3cyPJVbF5YCp
G4KHdZY68sfMRRsJXuzRDd15YyEyhe7LjoOUbCTqznOaeY/hNL9pgV8sA0KKaFUf0ri7NMI+x36g
7GwUSen4UJYjcJqBZC2pnAJae2X4zGVHYh7yseR3hmDhW5CX+33vI3cBlcZev9gUkfaEmQJtibNg
zXbO/BCQCEa+wkNNGhQt0yEJKimuN7WvspH4zhq28b0U8XWb4pgJuWyIL85X8QBhwKhalIejyzFg
UfW7Nm6iQkvWQnNe8jmFyAyVEly0nh08rE2rWpIoqBFmDDqMQCY5rDKbkDdBTw1PeuZM7e/cCafX
3DiPjMHIywjjxr4TXh8i9OvxR6F+commezCkxLE/+MhzVg4IgmidJeiAzuOEgRzsXZjZK054GBoD
eE4Xd1c7bfVs3M1ygOzRKilMGG5H3R6W3gypK3AMdHvVsMw9+6NKnFOmt2IxgIkjmTMChMGDEwX9
Q1cU3+LsowmcA2huMpzsdg9S62psQKi7SQHpStfWUVpxDXtgTHT8K+lkXUWR/jTZaCcqpmK5M72i
cK0fcOXehrl9axjE5lZy36PgHJMk2MVOQI5gHOxIE0ceWltXU58aC6FV3n7SkG/Nuf+oDY2/cGtt
I4WJH4h1PvzthR/I/SzIItTLyqWTKlaCxdhyqKttHDN7Art6KcyAJZuzUbfComn6xznLnjLH/MRx
kiOKqp/Beh4B7j9MXvQS5s0FxX68HDuf3d783DYq36uMdnBbvSUM+nUxdoe893iak/l5QCwBBuS1
m+I1I9ArkcQrrKAvmFq7VWBJ3BQ65oSsUSbj5iFqcWtUvd3y1tKrFIthhTIOzsRLLZiCNL17aqBV
zxGwUQuM9qSNyNCmZd733/Cx3ZJ6s/GgkFlgNMZKh/ThzuYRBDPgcrdAmTCcTSvcpMX3VGX7DRiY
W+W7i5XRDtnDqnQg7ZMP4utshIQk5rfz2mdAseMycM3XHGEIfWLaLaHFH0iRNBfDMN27MwwFRLDk
JjbefVGEV36tv8x+dMrEeGPRkBu4ixeiFt9xZu9yAbXFRXqMLZEHMLjPSFdcB4n54SREmMWDcc9j
/Ox10BAB2MBOdG9aYX0X88RVr8lLGSBfzVuDIV9oMtYKWKVkLrsMv2sMxgdjBhZX3KYp50oEAXUf
DJG+xkcjN4Ur3sage2UVdgkMOJKB5wQrjIbBMp9qsW4S56ryW/syW4j4UEgUN8FQJ3dVYWDexM0U
ppgHy/JozeGbURio6/tplwdC+3/2zqS5bavr1n/l1p0jhf4Agzv4SIKtKKqzZWmCsmQZ3UHfHvz6
+0D5nNhOV5kng5TfV6ElkTjN3nutZwVdZl7jsCYPrsLirKRXEB/QveHZnYNeMK1ulp4WaESfrii9
Xi7sNHUcWnah3VzNBsQV08C+S1sk7u4agJDMtKyDO9vXwO1OZc5vmWT1BhkdLItZszcqijZpnDM4
FfZ/R/7/Dm4YMfz1kX96a/5EwrYkWn078A0BJdqFh+YKpq7vFdNvB77+C8RUAyGH/i7l4FT/duBT
Mb1PUgwCSyidlmHKN7mGTTEFEUIXS/oN/Lx/h3ZYBia/l/Yo2HyaOgZjG5N0JJwBS631XWkvjCoi
+WnurkUr4BvBxYHEE5tyI2rb34nB+4wfYtzWFamGhppTm3jV1uuxEovETJ8SE8vxJQ7LngQKCPk5
vcF01AM4Pb24qehPjzfFWF1XVpY84BEEdYIkVQBbmVuwyHH6TLwIdVuhol2lh5RoEU2skE1wqepM
e4633fsFtXampifkQsvB7hidkO1THkO0qRBizyZ2QwsBftJuzWJKjGOej3N5H83gkxmtsFPAq4+a
nW9FKNwEvsZpYDTdlGO60zJVB2PNFWHISEkap5pbSOZC8x/i3thnvnLnwGp7FW2U6bPvyB7D47kS
oYb+yq40/NnV7J57xXGzqczSvU9ct2FMKyoMkEgEdwZD6O4+syRwKU56eZlMNzZ3teB/q6gtP82j
TdJgBXgnRVQcl+IAjMHSg/9u5e+3cofm2l8v0SdyIlmORZd06vDl//3fX5f18ppvS5SLt6NzASSg
l8aTvQwVf1ui5i9c1HVYdIL1wR9/X6LeL+CHaZBw+ca/7CxX5W9LFJoLH4/rMQ/FX4VE9N9cyvFj
/bxGF40pFHrXJySZmz4/xPdrtGvGtMDuOV2qLiRTx+s2ImweOjMHvm6qbgN2sXzgFJQXs8vz+7YP
mz35RP2+n0MDfgMWCIIvFuqDdW0xDA46CaxYifTNmkmM7ShZT3E9vPj9WD2UCppVVsvpxo8iUMh5
IdY+SS4PNlrMRu/JNcU5PSQxqZ/Rwisbi+gOMhmAIzYrasoQzLFhfMjxsu+lJJg49a0dsqWDpTxG
ZX2znezU3CCfSi6SYLC17frPmu6OkFy8j8VsJh/AU5TnmFbNtiNTY61lBZ0V3oJLYnjhdtI7f18D
ZrtEowlUK/fz/VgJciciy99XxdytyEL+VAKgZ3SYYkzr86seS1Xma0+jY4BhLfs16T2Y/OPqqPc2
GJJIDwhfO2aNdsJ68JF381yW1PkA95mpYlNAyBE/O4P9eXKhTQHTe4zq7HEJ3wyqOBoR0iT3nd0y
ZZEa8MDCEGs3ivbZDHtFc/M3K2JEByf46DbIR7oZpxpu/HTbIeHYxiEXqsKZn/igaUe41T2d/mtb
qhdvTvZWiF/FrqwvoWpvMKcOV4T1NivwW3pQj941qBSU+OF87ZR8pB0oOiRG+IKsF+RYCJuyVy0E
7VHG8ZEIuwulBViOyugAyjFC10bzwJDWQfg+Ef0U+Rc6shR+uY0Xzr0C5OwFpbBCqFLxUxXNt7Zt
k3MNG0WbZm01FKiIeD6mtevVmXexlJ5aLxx4jjqIDq+eiKOTFtozamaUuhvpYJOIhfOm0UqBPcJo
VlOgFZdCwqd40Ad5HFLcdMJh2M1Q8MoSyGXkkvUbclShdsbxrpws8Gr0Uq02m3eN4wxUNED07Sh7
rc3KZlyfKEggCrhV6m91PUMAnc28yUkbHjTV1usIAMp6ZIGvdZ5UK6ruZAHGYkjsw+TRr0ORpT8U
cdgC54J8XELqaJyU4afv5gtRAae7DlRMhW9KmftE85xD5jgPTRfifyu6tcgQYAuSDloH8D/i8VU+
9lTH0j1oXmNfBBMw/G1NB5UycbeEed8PWVmuw865QsiDdKdQ/loHzdDIPjmivj1RNgGyKBM+pQ6p
rvWpNcKLNkbEmBBBRMtr19XIjdd+Dt4bnPMKx8bGq+VLLJ2tR5uxM1kmVSUm3tj8mWvncRIMzTNN
AIxNDONCRqa1CXstvqOSJUnRZvzee+H1UGslUm43MBXVJvZnnnMUQcSZTLfKaMeVqqvsyHjAW/VU
5Xu97uzAa0t7pyIQAToxheAYi1MU64Izr7eOpKLPxzo1tJ1d1npQ1tWtCxtwO2fqqOnRp0rLrRsz
TYC2A4o8aPTM1tSGR43mQDRFIa6f6qkWafS1LfINvKnevhVp+janMxHEhU+U4+q/8/P9/Fx8xn99
ft4lwxv4ny9vfzxElxd+O0QNFEgEmCD81QkBEByv387Q5QZM54pmEpMDCy7Z72eojSoZXjADv0V+
vGTy/XaGonUy2Wg4+d4vufBm/0Vjy+fb/3DNxTLtMr70uO66pIu6yzX4u2tubAJ4H3rLPDdlXVfi
SpPvwRk+6Sc54dp2mkEzMK1sg8/W6ME3ANU0lCLFW3WJc/GkLi99SXjGmE/awXEK69xnmtqMZluc
qObye6iV46Wf7OoKUVD52kXdeDTzMbtHG9GcbHahYt1N4i00E3tf2pxjRtrglxM4IZ5jQhz8lTZA
t2hG9npf7jLTGDczvtmXYXCNr5qVzHdm6yacXLgZIPihFdI9H6qBi5rCTM2Vo6f5mjZFdpPnffhg
pn581wOvjO/11MmidieFUc+HuYrZaxuwSnA4mHFEyGzsXh96anM6VqhW1OiV6jO1As7EBny8viob
k6YQlwX92nW51uZOUqcftBQyLG2iTAjoF27dAC+1VL5yBlU/ZwTIHOyBoeRMy37DSGTVVOrodRUh
voUDvWpofOeEdLX5HKaJa67gT3De+nobrbQaHfJaJYVlkVHapgcVu+xcJe7x2WgBeZmDQ/NBpK9d
KuNj5YbWfHbSujt4THWGuzn1wOxyOKPoinkwx3Puo5DUdv/tCO87gsHw7q93hFNSRO0fd4PlRb/t
Bv4vyAodqlvDhdm1zAm/bQd0wEnNwzTFlZpRICv1W9Hr4l7gH8Gw0HPfK9vfdoNlgkgdLEzMXgI0
9b/ybQm2lR92A/jWYI9JKmGrcsEt/rQbGKHVcToKXIuzZjUfwPpJ1K2Fyo1NHGtccT3sRsm59TLr
U4WeEHvVKG91zVoTgS1zWEdTl6w7oRM8qDy3rQ952RCHJgYovb3TUqK2bXgcLYkJlfJkzm5LwIUV
AEOIrs/TaHI9sKxr5eIftgtoh5zfqMfr+KUUGA7NhYmIwjJeKV2jddjvEP7R+zSx+o+gFGMj/MTQ
Cxdnqadwo+Q7dDGTJfzFhcQ4OLSOyk3M3+quy151xdnWlLtXcIMTOwkB7sox0DuSTMJiqF7oPD5H
oBTWnZuH9KaLbTuhZyvzdF+n2j5J6CVOTfGiowRm8Bdam9nOPySR9mqeq0KdSxvqsCV4e+SMLEmG
D0bt3eYE1/v42tP51ujcD+OA59+LAhvCl3/+byH+uhBZHn+9EK8+Z29/sg55zbd1aC5R7zrGRcPD
qsjk6Lt1CIfEt1lQBOkw67H50reFyLiJURJOIcEX9fc1+ntpCy2ErDLo8KwcztN/cywTyvvzSlz2
AFajR64BR9zPwQk4Iymk68K5ZIOkTIjyOryfJlAGe9ckAHJkVAbOCdhzjQ4Okq482A0CS6fXnH0W
ognNUcyfx1H34fhIT99OvcLDsVQMFqWDt9QQ41JNkA961Jb64n1kMUl96+bgrxFdbf3Zo5GM/2RQ
QEnD91LFpWgppvFEPbbVvGFxQaT9XTe0B3OY3Gc5gRpo09gPRrhUkojIGWHgaEZ3tYHeXncZI7Um
KsYib/bdbFz7hIDDKL1NLO8y196BMv8ezOVOK9tPWuRVpyLkeh+T9BPbycHwx0+yi9aeFt/npvMh
SnB/02yIEQdYFWPu6Ima/WB5VZDq4ZPl4yqLySZUQx3iJxhGwn3ohSc2DXYLRWjDEGAlSv9UW0hD
s8bEJimva3oKMLuic53bn3GLXChKvxLE48DQK9dzOXKrD6sjoYhinZfd3vEhrCAA8g0T1+SMvzqD
QSUqy9hYQh3nUPvkNfGtGm1yk7r00EfYNmrRzuwCbIPegjokk3OdjuUeacFTRs+PAXq5dqxm3kZK
ErhTxa9tjildVYazKYhxh6d/lKTC7XLPvC4q29yMnYw3SdN8rMLYDqzma+8qfe9mrh8QdwaryXE3
dGK/alML4sn3L7Xsa5AQ6BYHUT94jQdn1Zd7GPi3Mmr3/tAMK3so12lXibUTFQzK9Eg9qwIfTWR/
EcgOghRjCZai+cluqiOs1+dJn29rpH9DYzyNFfi/pou/kgUFanPMYFO36XUu1D5rJ3/V2EZLX3R8
o64EHWg4JKpV0TY1+1cVNwgiHGsrhuxV0ailymoWInriti8DIqkrhCU0DvLFgNkhiJebcbFl8vvD
PX33aoZOgm9zwIBMa8YTEFCJ8uSTMgUyVxwtEhQF7/iMV3SVhASA0Cnb+hoQvFWYadGaYyTeq0G/
zCyGW+WlYpdpHjhrCleACebRslKLwtpfWTWvmZNKuzAAJCN00svA4mmjLq6tbJUZCj+plUwHNL9M
SSlUj543zXSRnRHoQdJRlY8RVrphO8L08/ToAoYRyaJpnK2+xlrm+7dYqiG+yPS6dqtkZRqP6HPU
fWNo2VNh4Kcxa1DXFtlzRthUgdfxQDaulUFGi7C9QOCfispiHsqaxajIc2P62kYUQB6MsR+uwYeS
NVSCY9HUOTOZbvqolfu6AcXIlBkRfPvS9IvZp+I+bDWHwu0tbAbeEWyMczQiZrtllRoLuK55NumS
rxxow+TFDkwMl4OyiAVUw7yptlolAeLSpXmtDfNTmufhFpPfGIzN6O2KmcSmLJPOrsyZhrVaqtOB
huBgmMvnGzKKmu3wVPvxTo7jdcKKAoHRH1OYEvHIb01nYGtE5clQ1i7Jwy4ofWhn6dygVfG99RQL
TFNezydERC4kwi0gZrXNi/w2dhKMjymIU7CwJy/qIyao+i5xsicu5btea++Z/A2k5UDVjwlIKozs
3PYN3vSeniMgyV1YVXu3b79GVsgUmcMDbx1JswYqY/PsTflD3qbyyo8H5qVJuypteO15SepERAgD
2qJHrj7b0a5Ofei9TaVpoN3Oj102okoxpp1w7fv/bgi/3hAop//uhtC2b382oeJV3+4I5MH4i9zD
Mi2TpbbILX+7q4MxW/5vms7vILPf2982STGevUDLdYxHlPVcH77dEWCV6chXULLwxUWW8m/uCMgD
f74jOAY/mAOuDDexDbvhx9p96P1J4xY+XhR3XxHEQLPQzQt4g5FKUC+Y4ambs8gKVDoM2UejN6AH
MFhLukM1JzrGXnfOrlrk2XOQTmZHSP1YFSWt68JyndeJfNMlUb0J56CLGrY4pHn7yTUi/6uv50Z3
r9oWP02XCDvchGqe6TRX5bhoJbRlCFS7kTljh81GCJ5zadgoVvtoMoLcjJo5sIWRQ2wBHYlALDPA
TNG93TVDZDsfpEEAyxaz8YFBGhsO7B1YZ2DX9pOl+vTraHkTlDVkdkEUpdTShODo+xgs7RGpi3xJ
4C5sfNLatJWq1BBoElHhsKDN0NwAr87xNVMM0ENwUPrNc47uXldazOYc2TtHxV/dUSO/sPC+ctOB
B5NHeSAqvkYKGbSEoYddKMrxFEeQSb1lU42S3FwRAYtttdEoCQQ8JhP0AJBwckRXDfHhlEAkyxoq
0fc0OrmHhEAJDW/Rz81ldKwaTd7YSsYrORn+zquKt0zMzs6SVkQvfbB3bdklgY5BmmubgJnu9PIm
0/HC1HhO82qgV1DXYwB6jhucZ73FoBT31Dw8FuDIoB3YoN/LCMGGq71UGD737iz7Naert4ub5qsY
wxAUJFckkXPx24wNcROS5uiuLPP2SDRRujG1OD3zMwNvKt3ymI3DOulTWLqk+SEsHNWt74fObvTL
PGiXLJpyzMHtNra3GvsQSuXc8GN61idZZKgAaqLYm8bWCZkUgBxJllt1FSzPHjX/Dvp9fYv9BsZG
NHa3IuFGMiujxjqmsMag7JPbWfenoB1KoNn2VAWTIXqgqmRWhFOR7Q0JcohBZ77/b9v8ddtkXPc3
22bZ/p//KaI3+fZnfQ5e+tveSW+TwooyxKS+ZUr4+96JVNpHQM1g8F3nt2j2vtVX9i94JZd2JO0C
LiHftz3N98E/2yoiMoFY+l/BGCj8fuhzkOCFOJCyjzkDe7i+fP27rmfqCa4bhZ9eo5uZHUFq0c6u
H797Y27+KNb/OZF1qQWRYTumQ1fHJj/b4T34/rvUIWWZMwN56Mo0kZvS0wvAeI3y1qFlZkFqteDm
uNsSCYs6rye8aC3n8DRQftzpVXwrE9J0nDi5GnWd2snQnLXhwZaSRqKv9Sg+jGZ+6If4nAyM93rj
Sp/HW9By53ouEY9ZFzQLRz3NMBYNizhNr/2tWLYXUgYVhZv/hbhMHM9Zzhc7EliBl3xN0BMQq+CC
qyGNkGixkNdPghgaRfaDexy1GTbVCJuy01rQPr6JUrqfOTWyrsDHZ9ofQ8sXOyEd69nMiZ7Q0Dvu
Ej2L3SDu60oGpWJAWJYG1iCPjIR95IM6PxgW/Fpult61q1rFVQda+4KiiGOAk5XlfZzN2sUUaspd
o82uszPKERsVQyIO3XrdO3mnwpVORNrFq03tzN9fbRbxWrZ4y0qt2HnctjYuQ2AOAYQcjfAYIUo7
O/Zolr0bvl9rPTsqEvjcVTmUHKPWXSkaZ7qJDbhAdaT8k9+44oj/MHqiQW8/DkzxgJspgp+7orcP
Hkp1AjBNZ5yBQQxUddjpfdSVaCddVBEBUQ/2xqwmtJs9GRB1FKnDYDrDtd/3Iuh4z9HIze3nlkJ7
UrBt1eSZKL6Sg8bML0BJQz+MdLA7zKTHVFcy8EvDv0PHzfg2RXfpKR/tf5Wjr8/szVAaKFaSRy8H
JsdHN4AUTeaggblJIc69fpJTcnQJDQuYu827rpPGuvBD+7qNB5PM1LrdudawH+0CfdhktrcRl3xO
mPycFPI8NG2xzZvk1i6dgxf36SZ05b5MSNuKLP2m9cf7Ds3iB8xw3lccuPQGso07Tu7XMuk3Tt5u
srA2HnSt30ZuR1xXmSH1zLeZx419onJp3epL23ZvRdK8KSAJtN02oEmO/pRv2UBw2s47e9LPyhs2
lt/tmZlczbTqo2Z40Z2eEl7bytHg/KG136tX4ECcW6+h3hub0ZUWpzihQpkzPDlu8iJn1w7cNmuP
VG9028f5ysxJeI3Ms1v1G2R8TxUfX9tZ3Ok9EYSDuyUsat/r89MUtkGUw9Gs9XplkeJAblOhH1IH
pJHBuBGF8Q2/451D5NJmSuaIWj2Exj7oyTm2AQbEoXnbyaI9j3V3grvJw0y0gqwnHdgqZ6OXq5PP
ItJLsTL9ZjOR/+BV1hVcw0dt7taZI+57M7ot6uqKqQKgPf8q74fb2KdTYFaByTSB2xIjToXsM2Wi
ue4b5qpRo19nWvZcZsYzs91j0manUnrHtDdu59HYSND1AN/Ojp2ua1mr0ywEdzEuCR5BDHUm9v2i
uG2oSuOJWKZ5PHrlrA71XBRHokS+5CoUYP0Kic6OdC1nsrJd7Ve7sMXTOSut3v79zkvMzx/3d6Rj
7+Z+na96P+3vsTLIiHMlXOoayfAgfYXbUmUb0pklEE9r3IiBXIUyzrk1zW9GVbe3dZ3pD97sIZye
pru+Sa/0KdxkvnjUp25Xx+5XeIERQ2KsxQTZkTuo9G0580zLMIHfD6125EK6smvsMMLr9sDPXwiE
6ddJ2n40RVwHWBxROMPmY1C8Hut1Ox2MKqM7ERY7hl7QEgdCe8tdm4svSub3ON2PPcEAcyuPdQ9d
qiqvvNb0d92oYF2rZG9OsbMmMHjthkCzYzvdRZxLoFbbO1v1xrqK3aMe+6xrFF643tE2pM30IU0G
G0Yo7R9TmRc7IXC5dhksTUl2Hqr5OmaylI3OzsGSu0kkus93MYNHAEOOvhvfROBE1ZWMyGAQBfIT
OZ5kn+8519AnVMBDS9Vuy7S5ZKm8Y/5JC4LR+MYttASuIpe9prlJrHbY5PPCToWjYSuY69GUfAbU
dErQwNBiqdYeDTBoHEsGBWoxWIW28ZTmapNbxLb59n5kH7LaEjW5uNJrfUDQo30JDXdeVQjyKcSn
VSZz46BVy17WXSXC/WTqEt2DIqaE1onKTWOdognAFBVdrJnpGXy6JWIo9fbEWPQfS/ieJzr9zVly
k/0HAyHjnp8vIi7uZGKsSDXx7AVP8f0VgabEiAkqJw6iTzZWemzM/tfh/F96Bn8c6fBXogIx6COj
s3xHT/000rHcuYC2GkXX0oWX4l6SPtkn1R3SKZ4EuU7ceuunwT8sQPNHJ9ofv+vye393weqrrIMS
rGlnXRX3Do6PleIPnIqfqO6A1TK2WXee88h8EvEy0VfDBAhOFuOSpZGU66KZP5WauEo6W18DF9hK
fzRevNgWm1xPP7iwLTdRpk5C2k9umE1IqC2352kqyqCfRRF4lcY4tcL6LAqlDv0krJeyIHYavY0V
JEnyKnlWg1p34w07sNp0nquvKanve1vONPqyD3SuYAtH8DNU94Wm0J5D6aFtmq3bjsSFO+ne0mON
RjM3FDkWxU7Nvb6uySRhVr0MsJPpzowLMsASIlStCE+Dj9m9Hb7W7Wgibk4OjU2w9mg/TDM+fD07
Ol1Jw3RB1yWhhWGrAxvq9uhn5vREZ3hTqNDcWFLHVR9m7LL64wA8FU5hfvbiaVc0YzCEM0+wHmRd
lGPdqjZlmnurisHvppHhuSIqCBAesh13XnvRdI9WlAtcpT30HboYy+r09Sy6nVYlWEn68rMb1ajb
8ltg4uR0Td2qNY5IBtA3OdZe0FzcVIjaChXvp5Awm6HprytMKeTswERs7DcE7GjDgTfVjr2LKvtK
oNX/h8ftn55xKorvn7bR5ooBbkg7p1fFTXStbetT/ZFs+4Ozd688jp71K1YLmpTn4nk8/f03X4xJ
3y3hb486U0kGuiaC5OWH++5RR8PqFRlUwXO1cVbFlbmutggLjZP2KLZEPX+4aOurxyEgyXz4zL/k
tbrSV8dkG17DSsv/4af58eD79YexdK6XnoVLCdf4jz+M0kd63EYaX8f6DaTMVaI/NsOvpe9f7ig/
7ll//B40uL7/hecmRwYVy5jD9S1q9r66/ft39E9/B8HMSyx9NFpcP/79+eTONOFrDm/tpvZZDw53
zl93qP8szstO/Nfl+/lzk1Rl+/mPs9Hldb/V7sBglxkn8iO0CpiKf6/dF40C+Qs4f5eG6CJm+la6
C4IVebR+MzPTrPzW9oSjuCiBqbQJdfjXHMWlP/DdgkOZzyPIsYamyqKPgIjix+cjbbTMFLMZX3Kd
QQByWNCgk6EDJ3YaLDM3pTY6x7mv3Wc3tkceUK1g+kVQ0fjUzKL96Md2ee/7iTMTJNWPJbl3onts
rd4gK5Fsu8CNwffbifZxMiFKTBHQO2ma2dqc3BsPC2pPgGo/4L2X6vMYzZ+JuLVXbPZu6+UkRek7
U0JHMxVzBiNzg2kAe6Q1R3ZaQviAMXPjJkWIcNvPWd1wNDD2QBwYLYkskFORCkqUrt6SpTIteVre
yun9gx01zWoYYcDk7p09OHd54sK1s7gphtP17KEg9Qfjc13U95VlPsceI6EybDDqFGlPItdMDmXi
52vqWm6LtnOXuuJq8NpPEOW3mVvIK+gupz7OcDiFJpFercDi3URMzcbKW1dzdofdCwXyXJ2tZihX
xPkZZEos6k/YSMSjLfMuyWixsyhupyKSVwUtwFlUn/AFDOvW0KtNrzdvc9sopkuTRAfZ72Wb4kGE
qp91m0qAo1Oav4ZJM8FGMrcESTETTHkPMCKgb8Sdt08K/mQPU4+YsfxYEGggfDhWNorOSr4aWfzg
luQedl1qXxGleGAudwviDYqwI+I1s/GQAAz3Klp0GaW072LXfbAbEss4F7+4ZXGaKfsr5VF26SQA
FhgZV9VQpmQbTqciMdadPjIYLYudTDSqKbsHXInZjkHdx9RtueW6Y7I1piRwK0JtHXdcayOK6Vj3
tnYthut+CUoTqvVQftmHDnPVR8rzCVtTfzsjals5VnxdALIh9Iecv1T1HxqVvoTDyHkWN8SA2PoW
1vEj2sJPAmqf2RifZR5xZV5+DH240xTm6nC+yIzIy8Tc+uEND2t5bQ/9lfSzm1m5z4nr59sCQsy2
mRKAPFisMGyoU+fy2BlOelWa5cZjXEc333vURKwtCK5kbaRTuNaahSCUQSrNLyRTngCT3QytR5bH
MjSOhA2/sH4G5AvI0vyQdzJauaU4VoN7UckI/M/tT5pPCTbU5SYP2wemqy9EAZ4bt38zw/yh7cTB
IBAuHTKoo7FAgiP9ljg7Pge6uV+kMbLEZlrZ3iQZshXuhV8e0fsYf6qRI68MPb+YoXHDtWNb+9mL
poVrr/TRGcfM4nIrv1k4IVeFFZ9E3hWPsctRI5U0V5peyJMG2wUVPKSiEI3IWuT5Z3rjWdApeWu0
4ScSNtSaERGzDsoQ35uvZNGdewMke28/Qfj83FkGUWN809G8TWE9ypDQKbKTWqnvbMveW5VE5x3K
c8/NfYWguNiqrNjY5oI6QIuvnPjo9511SoymuG1hUyFKHoylwC5IvoPECBygpuOReo99XkjaGjmp
2AS8t9ta6t2OEpiKqigx30y2eTMpG/1wYlzHLKw1n7kDEgVEiTPgbHI7MT3ONY4FMM3ylNqps+t4
C4JRanJvMBNeVTTarFWE60lfDW4X7zvNYorCDZc4zEqHp5kCdHw/nf47phe/zN8c02/N69uXPzmk
edW3Q3rxy+OPI3N4EQO7CP++H06iNoY54viIkb5nHsIicTHJ45PzERb7yCZ+P6XdX3C4WIKD1WK1
LsrEf6ErBp38x1MabTOCCvx6JufJT6e0pZkjxLEsuxi63TVHwl5JNU+G3NYe6ZGKhRjKubHu67SG
w0FMDL1srpb76XDQw3RXIOWNqZJScufiJYCuIokONFJz0kEox59CWDg8tWhSFM33NTT5i8qI93QY
Bu4r06GyRVRI1u5l0uSwAu/8ORTkgTAMO1U6bmV3okILm48kYmLCIUmt96aPsz5+cfEFV1bJXwB2
Yx9NDmxir9zbrX+LJ/XrgOQ3yNOcrcYg9LEau+xDCMkO6gfHgK7ow03GxSvD2zGH1+Eq5vp480N0
gt5+cJll5tm4xwP8ZFd0y8YSJwboY2ItynoIfJps+8rK6erSnma7C90gr+NPfVZ3m8Ih1jZasKnz
st5Io4De/L4Ix2U9xu9Ls35fpiDN6dovaxeTeBVky3rGfCRPaMqiO7GsdndZ9+WyA6BpdC7JsiuQ
QWNcKzaKetkxkFOTYL3sIm5NSQgsrt3G75sMDgf0DGw84bIDFctehGCHDsuyP3XvW1W67FokVFkn
r2rgROe+aiN+hqJOjrbQXOPgZ62WbU0cyPDSMuPFqC1708OfFnWanmOs1mggIOdjsI5RuCwAr63u
5Lc2So+RKJIS6VeTvcmyf6xhXZe6Hm0IVt3JjlAUTKLnxtfO7QLIjiFlO5W8m+LiWEHQNrXsKh0Z
DdRm/oD/aAwImCUeqSYeV1wX+dR3CLXQizupSswApZiFasmJ0/nMyJ9MGLg5WYUs1LKH8JCp+NDn
ZFeC7iuYWJhekM/R6zyNqEh1Mp4qP8y35XKSOn5BwHbjvDp60izHeIY+vGs3VjwFvYF9LVcfIBlO
G5SpDv7tIYW7iWoH7d11546kpupOuUcNSB4TitEp4b9EFrWKDT8QqiLYT3eKlXSITwDVPIDyS4aN
PunXwsF7mjXE1aqK7raudyc3mbC4OdIMEtlqjMTNZ3cyQPKq8n5cVLe+Gn1ocK1Y1YzM/WTRv0Eg
XbVCvOVh9EWWXFRZXWvgxbQVtfSmdwqkcYMZGNjhyPRTeVAai+OzHP2tx6OvGzZoOr3pkBM6HRcW
jaChkf6FKLNj0Xblw3/nx/uU1qTo/rvzo/hSvibFn9g7lxf+doSYjFvJQfVMGxMI3unvjhAMKO+s
WuItILJ8j81dOC2cO5Cm3EWKvihXvxV6MLBoPOj/S9P9F8eH4/7UVcF26limwGSG4N2Hd/dT21Kg
8vSQiWgXgwes77h16/b8Fo5M2zJHuqve0rdMVraNIsoKUEXV3PlNrt2aYtAIqRJlIe6iyKf15aMD
2/St0TyGXiLUq6Nx7yZ4LF+Zi6AMbwQiM9Obd1ELJbCl9txhO8VuvIjRkLNPwVBp/rZBqVZUmf4a
1YjXanOqtuUiaBthn6+GReTWlfy31iJ86zOzea7exXCLLG4GE3ccC3FM04ZEM0QtxJ/QAERN15v9
C+hdblSL0I5wPiQkaO88NHjA4vxVLpyAC+Zw7S1CvXwJgPIX8V6jUI5CtoZfC9wCDWm0shSoSo9C
b2UuAsCZIYfZTe1NSjYurphOPlE8qXvDeEzsNkFXl13jZIs33BNusYbh2DONMx5FaB9crYFiv7YJ
MbEe/UW7k4SWLWJFscgWO3Jaj8W7lHERNWaq1YP2XenYUHByIUf+OFRMLflYtAsYWwDpqCTJerfW
XcLhsggos6EkJ3ARVQKaz24ndJblIrj0F+klQQK8KJvnZEsJgQR4bRWAVtNFr9ksys35XcQ5Tba3
ad+lnWmMqH+F9D+8Z2+tdsN7iAcPdnEommHgMozoMnQ175zY8MhWHdFGGahKrzgbS+KR0cdPMgZm
GhOGFDVMGsaWrRGm81NmdFEQEp1EmZqviZr6/+yd2XLbSNZ1X+V/AXyRmIFbggRJkRJJzdINQrZl
zPOMp/9Xqru6bZW7HHVflxUqGQIJZJ48Z++1j1kQge5N5lMmc5YiApeixVzT4u1OM0pXyXuxWeYd
DIcFUYnKYO2bgewmTaY4Dcl8F8lcJ5yGW0MmPbmN46mT2TsrY5YggLjHEGGuOq0nx6sZRs24HsxK
uZp1G6ktaqCz+UF3buj9ihYOlu5pLSwvLL3dEQ+BWPc8aCckMZbf1GZ9sAw2cqUstyWgAfimS7+F
FfeaDQzxxaTCepzaq3GSuW1DqPqmETg3iMh9JXe/aUpLJk9+Kfv+IVD067aymVFoSnUzK/G816Sj
n0V8p5ijZHKY2b1IgmDjOO+dMh3ijGGOYR/nqGSHSqJtPc0bi2qLeyZpoDia2C2XQTmYanzMI7Kf
494Mrgunate5Vel+H4V31H8hUOps3xBDmdZ8ScQsXFUj2T0KkZUrLXXewn7kDbTi0zSUQH4LDnNK
N+Se45JzbWV78EQbp2necvA2I5NOFJ7fLTtmacl9ukI+IFNPDG3JOFfcVlDroyrZ2/Dr3BGjpQp9
Juro6Y9T9uBk4sSh/wHTl8ND6pbWKUBHeBU4y/eqVm/Npd/LUAU9zzdWR9qQiKaDqaQeKry3yNK3
VjNsoAVBmjWdc5sWt06pfXNT3uE80987d741FHKG87q6nusFiBmhC3zHDKPQbTPBY+rmDYR7M3jM
vyKEuse3TLM+TfZNH52XkiBC3KkI2PcEKu7svPRYSDmYmuJC4Dw5u7OnMZ8tgn6N4ZYQEGVLs2GH
0d/LK3DT7eQrppxravFXyyGqjmAL8h69NMKiWpWnohLOphDlFnQgU6Q+PGskCcZDuJuEs85L5QjL
Bm5L/MbQcjWnk1fziiCx9IJGXRsu2fIduKPsvQz62wnRR+KI3SxAMo/Fs1kzvlzg2Rlco2s8IyBO
GJBn21mk0plrM5xujcmVqBttTYoyGtpRbHOj8dwAtzegX0Rownfc/PtMD5kVzidBymsjZ205aM7D
NtrrKjrCpXkWascR3bnDuvfsRGCThvnS59+KuXqvBSBXZHgrW4/92Kr8NiCGPjQ2EXTcUI8uehNd
l4N+S7Piu6p0K60RUGboFAmxU9xh57SKL6LsLiFmuAMERWuM8wb2acusNoECCk/0Pq/iTes6vqq3
V3owc8F6E1Z8YFPRrss6KFY0QL+OffnMP2X4EwajuTUq8quiem1Howe08a0tWq9wlEPWlXvS4ZDX
YEEfmhRALJtEVMEDc6MZu7Jlb7VueMr74rXDDzHDfbJtqL8RvoSya3YFTm1iKmjtmS7z6OF5bMRT
2ZDEqqjbwJjoVgAroNQMi46kQJOn08ZSNVxgkhwqZsiD0t9lsb1zpuCE8XBfGPkV2IPrqGT+U/QQ
iLP5XAVizwsGNdu5JI17RLL+UlloAxoGRZrrPAQNlKKmPRWteYu6X6yAJ971prkeKurrZqHvZ2bH
zAxB+dWC9JfwupEL1VI+z2l30BpzW1EK991If3f02lGKeosDOREP0mipauVB0Yi4JvQ8+IJSNrtr
UQ56i9ZdNUzWlhHIGu4XRUm+RaH1kHS5vdcYhHOI7F4MZDYarq6kxOURq9+sXFkVXf2cNtFeaOqJ
9RaFZpNu1bE9mIscopFi7y1CfYnMtvJdPb3Pmw6m5ZRuU109JykRKSm0dopk3UestgtIER41Jd/E
S0ladePZ4UiY16zJ3DCS04rzFFrbJJhI0J2/VQqaImLGOyCd0vrGGwBrIRnsTd+HmyZSCk+hQki7
nmghNgkMOrtBcb4NA6iuWBCuavuxmDZFCcs/bzlVh9PiT3lxmLvw0HTmfWlikGjItyxa+nu46Eki
V64KDfQ40YYqZ7tGLfeZ0l0vtNjbpvraO1Ii0XJ6yKbrwSBgPhdsfz+UtL/Q130aE31UiPQyoALq
cur2ucHQjU3T9HGhnES+i5N0Vaa3SvTvBtT/nHXJ+ft/KUDMzyhDGeypqoD05SBN/HnWECu5sExD
VU6T86UZt2P/MpVo+9c5gt+/vp1fFbw/XumTEqAMylmFSqKcNOIZDNptNuC8ZV9aj0n/GpfWb2am
v/z0eJukMV1V6dD8fGOaU0IvyMrwPCivXX+ow69F9vXv3xHVMsUyl8Fm/ukSgYUPxuVQeiZDgGDr
fp43GVHrebiNoZtq3W9g3L+4Izg1HFrI/mIq9NnJPhRWq82ii8+YdFexjoIYclL6m3v6NPuUz8NP
F5E//2HY2wZKZ1oBF0mYxnTNESv5+q8/td/dhvz5D1eADkgLHSfSuamuyQ/y0vI+sOPfXOTTwPxP
t/Hpq6lSXL5D3sbnSSE00CS/5gykigXuxWQ4RMpw3/7mir+6Lax3mKuwNZpYKn6+rTR28rggpvxs
15dahKRZ7+3g+9//6DBeWIal8xyQ4v3zNQJTVyxnaJIzgEPai5ibSm/MHv76Ir/66HSm00wfVahD
H0CFH76fcoxsO46nhO/npbBIWGtYbGmPBHdJfzAQro/B5a+vKJ+pT2sQS9x/r/jpy0Irg7ZOnZOz
mFBdtE84U3+zGKg/fzvSjGKqNnYVEkBhVDB6//mTA0eCK2JS83NybPakanj9Ne7DjXmJbk2PxBGf
BAH/r+/q50t+rKw/3dWnS0KgzieE/sl5sBDT0ArSIH1p5d/TKnw86JCb+EjYOU1Lwq1+fJushf54
h2LoHNTES6kHCfD56/uQn/7nb8dQ5dPmukgWPj/YFX54dcakdrY5+s6ORrX5GhvE8ybJb+7lV5/Y
j1fSf74XTsTEY9pWclbN98i5mMFdvfxmefv1JYAPqMBHLLxKP18iVtPBMZYwPRfFyUTFMoHy1Hrr
N1vdr14hHrb/XOXTV582Q9RBXEzPcfo1UxANKpvG8M2099LurKTbzPzNd/Sn28IgZduYpBAhEMNk
fJpFQIi2yVAts3M3bOvmdbTI/rv968fgTy/pp0vQS/vxQSsIm9GtqM7O41KsVAUmXmL+5mP79SV0
h7WAgoc+28+XSKaJ4DJOWuc2+6ose4bMv7nAnx5l7gEUPfhEiW9DQ/TzBVg67VEtlvxMnZf3JnP3
fYzsvXDfPz6rf6Z6Gq/kX3RlkaHyPn4G7slf+qMj++E4JIKZ4Z0pQGPyox8ch/hpMNNoiKL+xQD5
t/QGxyErD9pRE6GzlHv+pyH74UWUcSE6RA9HE1AO/kZTVoIPfljqEN4YcpxnuSoseYH3Ufv5+ajL
2uicKInOdU/nYld/+PpM+6RiGGMIEX6Y/uBrjDgAiYARLvYLaQ2ckQ02vvNhGRw/7IOj0+4wyenB
G4LzRGxg5WUK4YIGcBCV5hi0S+R84dlIi5iAz9qIoCirkIxZkxZzyWIvI5tc2tQKm1isYbasjgMf
9t551cy9vaBtjetoZ489z3KWmGRLTRg5dnXYuAnwgZbJXD1mzSk0pAm+1+fR3oSOKHHWOdZaLF2v
vJux223/efQ/BhIGi/z/fvTvaIK/N39+9uVv/fHsA5sE+apqmPo/ojB4jH949onZUV1YHCp6QIcH
8w/ZGVI1Nl9eGBTOKoEyrGk/TCM4dQgJjmfIISfkf+Ph1xy5vP53o+fphwBPVWnSp2Lq/ifP2KAV
Wlcr7nyiwG19oWTFpoWShb1fd4L64IhkMmE+mQr50kFRwd7o70SOht5Jh1Ur2xZxJMzjVBCBNSRa
seohPxu8uERL6/BZ1c69scAn7iZ0VhcNnsIK06tyyOeQ2W1SPruLmng05r4WNXZJ2LSXPC6Z141l
tlYqCZ4L7RPiMeAa5SBWYUXfIS5H/P0OUII+DiH55NqFSPFsP4DcQ3dj0qqIzB15XqRT6EG7V9O+
YGRiFaYXV+kt68H7mNZ3JcTzKh+bdYNxdJ9MynQV0nvDw+9WJ9Fbr5Csbt2afyXAEQ8JbUTH0q/b
Cc9HMLrXwuCj0TU4j+FwEenymPfVg5vUhzhqX8EHbRPS3r14IXuucJIjEvFpRe7I9VI532A4pkxB
6c862nCYbUkCzDBPKLRuV5E1+a4WfE0jvV2ZTukHQDptpb4utOo5iQl2tfUqAP6VNxv4EF+WWLtR
YURsRqe6jUG6e0AZa7qwOiOXrdIXHLwjrhcg8fJq4s4ctdk0VbnV4AgKd9xqTE571fXVZnlfHCfe
mPYAEAXPl83AniAPWm5F31aegUbAI1ai2rlARlc08Z+qHrEP06l1jQ9smDQTC8d7YMMO1CoZKBC+
IZL/3tthubZTs1h3xlL6qugy7LbaOWhma2VbyAmqpLpEzfLm1G2wUhlIeFFGg4BwLQTIVomdrHtM
kvLSixyXigXt08kSf6l9M/uI80DBqFqXaQyfOgJD8Da3h5CWFFnHOaMni8fVac0ARHbIRHpexM7O
iniDAdhAAgdPIa5dGCPJGd9g7dWtdQhGpyHFt53WnRm/gUIJvW4o3+xJb/C4KPG6VYJlF3SlsUYu
kW7wUdMH0Ho6pupSrScjNADOhHd2YPNMlbqG8yK/7iQ7E28AFsQJnmYsyZoITA+ZMl6gRb2w9Aer
QlI4TXCcuaXtUERjewrdE+3Tdp0p6D3sCPmYnJJYFZ1zAkwicDjTqQRW19DzXM1AQPukf0py/UsF
HDQxeggaIVhSU71ptDBfMQa8QXknNolDszyQlFGkDGcsid8SgxRFIOW4COcvY+LeTFpxhy0u8Uhy
e8nIEGDMBsXUkTzTKkS51wUk15X1RZPQUwI73xOJQZ21gA78aHuaRKS2EpbqQk0tI/CpOnCfjVKl
T3gjnoDQzeRrQ6URySsaOrqLEsNaSSAr8WfXKNoe0cceSAG6ogOO/HwykbNWV4GEuvbQXcHD4f2C
99rBfbWT8lg2ebYabRqyUWg/d3RB8ZaDix0kOLb9QMiqPHh16xonLS0dZV3T1vz2z7b4rzk9Rfz/
3havy1+O6PmdPzZFEJF0HanF2XY4w8I0/8+mSK1osVGydKogJThO/XdTZA7PNomE+785VX9sijKM
isrehav+7/3yb2yKALE+b4oOamzyZsnKtWyaO/LnP3RD2oVTaW/21k2oF8uRrCFRMZBxotoglIMY
nQX8bo/1SgHsna2dLrBLZsw5AdN9nHzM1ASrWx8LcqrR3lh26LVwGAwmJIRAMmnAp8pkehnNDK0U
KdXh09jnSrVeREhW6yrFmFztW6Mh3MEdTGu69IlNzGOklKFvm6Qb9lPxpAkmZ0gZdp1UU7ftAPJ5
wCxGRDbhDaHS+kEv7pMCCmZh4U/OsbHO4raYEemoKkmyvF+HqswPRR0c1XF6nDHvYIpGSVxV+bav
9qhvGaiESFxiK4m91CYNKgMhu4odmud9sGCAmxaC2t2zKlA2QWReKT3FQwWVB7ajXa3H3LlqaOhr
Uv8T98Nzx2AXEnF2yGNhMlabz21ZzP5oDXjfevDP5Cl0nm4v0zrtGKBgtSJXyWQO4Ahtg/l1XmPh
rL3RGb4pxsS6GYc4PgO68YH6bZqI7wTJ52MLJxqEERkhuyRcaJXH/viIQxxkfT0e255z+RAj6mFh
vlNQHtd2r/lBSs6DkhPsQWDWnvZRuJqM8ibRylsIFIRBVIcYh1FE1t9qQBes2mQr9dkXY2Y7aqJh
3emIHrIURJ+heEMVXhlBzk7rWCvsz9CMuilBTl6mvjPbCmri7jonTcdPM2nMxKishuFTj7adBqkb
b/VZj9eKFZ6p8jHvuZ2n1t3V0MNGrkXzFJbM25fUPEAuvevCaUOa1YDBGIx9kdyGLOmxqa9TO+7Z
L5d4E5hztqoMJdg1aRB5YnLPCK9syMr6e5mp7U7FZUEabXljqkW3jYjDLPT0gQ7UY57Uq7KqT0pU
MadzU21lZBw55A6cZPnjCFBYWvB7ob+Iinx7G2XeMGZ3U2rui7BmeZfD3MihKzu3ycCDrkUHTKew
xFy24mgcnwqOietE656mYHxUjRYCORo5kCrbInJPSWsS94mWwOy+TDYjxJa0Ra+302pdp7BBHTVf
611/FyQLQ5NEBQQ9h/uwNcJd3dW3vbW8MIp+JbyLcJYYaBxRKzWcL0P1DNE/DDGDWjXFSV9a0ZWi
lFeQbN8KDAgrEdaap5XqHQ1gn5Cd+6oVW0UvzyPYZnpJ+h0RS87aiUTOcUy5CSPjOrYrxSMDwZ/i
DGEKtHTgZm95uEw7MGi7fmgM/FuO6xXAzhmpk8vSdQU4cBwFs3T3Z9PiHFwxO2syJ7ehWBqZ+ubn
o81DqmXAll3+YEsZSYSbT6pqMHiG9VY25NXb9gND1uiqyXXSrtXpPY3dWzZ1e2VRNTK5m+ZVu8zf
xwF3wDDgXSYmxfBoNWKIaKU528awGGREDAX4Jkgot4F9AYQuq3hm6F2ankGiTRpOb1bUFZvOKooN
mHQk3/W1qhjvKfKAdTkBmGlQ0XhmZ/t4n743o3EIy3g3LyVVTkjoUVTvbR1cQDWpB9HUg+9MyrCm
NccsXDP2IXyaFfFwGE605FrFxE3U2XbukgP8C6aswSHPkn3U1XdBVH/vJrddF2NznMvgZCnVfcWp
Hv0QQk/BxBPEAeteEzNsBRqzsct+3CZp+VSU3ezZIyjejLrTDOBfjRjaEfWOj27bIdcsQdwMBdIN
kGovk97pvI4TOXcUegBfSs+dNKz9c/Skje9jAxAXHGG8KWbjEFn5yzTziaouI+Sx07DWl48fKC69
VR41g5Zn2JmICWwmtDpz6rb86mrG69KI74PKw4AD4L5q+MJwAxLHnXXES4QFoVO5fR6SdAOQS0Vu
OCpQLoYb5Bi33Crqrei0gD7zTUMaIwdFWy2ZfbTZ3NeRI/YED6IRCZxpb4zmnVYFz5GNm7rJ4vd8
pGYKjBGzBD0/GUv7oBc4nxl7LehEPqIN/6mS/tU84Kz/v6ukO4AD9Lb7X7QP+L0/KiXZPjAY1CKH
t+hhSmDmf9oHOvUQDTAO5joobalY/KN1piFmJIiCmZFwaGzJlte/KyVD0FWTnQVGIoK8XWYif6NS
wgrxuVICAQO4BnMmTQn+lE/NM7xl7KSNVZ6nRth+MRgyg8EAZ2SMu8jmaDDM8tArRnHiJsRBYFun
SRXb6R58Z/kMya69ZnYDQkPXa4ZNlrEzp769GdOg+kYARr61M47pUWbDOwyBTHmVq2C1yVVlOrdN
3p2QVRsvBEp0vhpQI3pBoGbrpQiKmzSs3G9ANW/nKSM9QlWVK04oOGgdK3/onNl8QSvW3I2a2V93
bWTvaRNAfLF7BNyqOZePei86Amxa7b2ESfVsiqzYhWbrrhHktW8D8xmEM5yW7YYztJ0A/u6jobpA
sCc2Ju78MA6r9TCqxnBCsWAMX8uW3eGgUgvMk9+Vab9VP3py4Balu/Wja1dzGGtOdlQBSASOFyGr
cxXUi7Lnt3Sk6Yw3jqvQ0qNWjCbDL7PRsZFHD9WorE0tzOKDpRQI5eOe81syaHW+0VAqu3UwvVhj
pr8RgmwCppxg8oWRZV7NIDXvurFc3nTTJA4Nhp84hCPy6DiE2BVUQ/iFJyn2RLEsb0EbLe/IrJ8b
EBdFGF8pdomsTSVahExVNFXVGKqoW3oSOMjDPITIzI5pOWEk7lxwPEhxyDCPxzD2W5K5AdAMRAKi
VHsy7DjbE4b9oKd0ObG6U0pLU5rpNN3OSlrrzomqfN8p5BNWorZuJrcWcMik/0nrTEbKrcjfW8AY
XxQbMYeeocKqppwEaxW+Skd0+aAo7YT9p8Z4MAVx9d0Gybqfq6AA1ey0e1Ms1mtI2NZ6ce3kYQrS
5GjjG0JxXycvKoU+VEZ7PrYpm9jST8qBhzekXIUGn4RN8Ows+fhQwCDY9OUU3ynxVJ2jgRAvIgrQ
1RaGAXkWZY6KPcKNuk07mS1YFxq1XoipbqcN2rtrYcTL9Ct7GvXLbDVI6Gjhqu9VWS1+HXPsd6tW
msLQrv+zFn+sxToL11+sxW/F/1sB2+l+IS2Xv/mf1Vj8H4kCqD6YkPPP/iQtVyGDGZwVGWn/y2f0
x2qsW/8nwzo1dFLMoX4cZPATur9ytmGhxJHt4b+zGEP5+rwYs+bLBDFO1bSPEZh/Orb2M8EoqaPg
i8iBbtEyA8W3KjKrIGSwK/0UQq3SGrpHKNxFYHHiBEQ/doRbNc5duSYYErMShXRFqpcnLKtcaeMc
rOuaHNm4bb+QhvBYJtMrL9/1DO9/sS2HDioJuwaguqDSH0K32eYqJ82ww5iiJbWHgvqrpcbAeK0W
Qpi4uIK1aXQCc9UkDRQa+/tEDK+fjBXwYwDD4BM3S7owvlBIxsvd+tnooRTFarXOUwreJKyo+Uni
xf/cM5RstmPKgmIEOg3pPr9CMT1ijAlKasfRBKwUTMZrlQ3KfEnGwRl89I8jouBSGjMwaomKWkc6
OFzOuaX0dFTS3TFInwdHbJuKV98M0gOSSjOIdIW4BedK6RPpRfKtwzgSSAcJOAhzpXc32fCgtdCM
iFJ1vdHt8YNgPrGlC0XFjpJIX8rk4rcCPYaBuBwOVtC2V7UovtRalDTrIotgqZvYjrAw5oZ2qdOQ
VTmyzfU4p/ciAmNr9xTxUyrWkzCeC6N8hAJZnqplKo+ioExXbHdT2KSyhtW+yMqbVm23eSOJI/bV
ZAbPhHfQXEj1GS1W4veFIfZqLz1J3DcM2QlVq1USOZERqcDf8+SEXXw1xDbIRj4+lvdA8YJRz0+B
I+4z2vN+XtmICS37YORxRzDkWMePeKG0bNNklmVt1NG5XrT5IlpOaMJq63WC14bDsbiTCtWgborV
gsC7Dl1fmbQdLdgLqcn7QIJLhn4XiaVdD1143zn5aXKHrTZpCJXFQFOab37EL5QQO0WH+okg6Huy
oLcjCVOcr0PwdO1u6sN70qKOzRjfAXt4jjt1p04c8IiUqDyrNhtgx5Cz6Ir6QuWcNbHOW0UpDnzl
oCb75D2haTI0/G0K0wsMVNK5rOGBW+wtjJ1XrcEoX4hg1dESX8LgNjfraj9jCTrqinEX9+OXQmk3
eXvf9KrqubV7CaNkXbXDqqiWq8ZSH4WbjKgwk20bNzuOqZggdP2aUvI178N4q9iWX3VUQnpdrYFK
41tW6EeQ//TmBmq5EQBkFmshRZeKQzhPmjYeylZZlwCUyWr/AqSIMWCQ3C1hdKIueaqb8RiZ6mNW
C3UjtNmvwUF5carcBMLdJnlxQx3jSLLNlyEgvVQfg6MbkhGsD9khy/jfVPcwdn1HFki+hy18HKQo
1SALe5p0trDSpPPqjJnmqwS2edaiFPltROMPR7IVviQY0Qoz6cFhiO+L0u7SeHiBr+aP7kCaNn+C
7rx22BnynoZKSfqZrvZe1+m7JqyeZ5vmucYoieMRSBStv3XUGvHmBIylafTnuG/2I1LTTBkC+nfG
RUc9jtrlohVu7M3LcG0OI65+s9gGRePsUSRBW7W3sZM+JVp6pMP+YKMLZ9YqbrtIEu6y66ioD9BJ
nwjhvgMfa68glH41cl410cAs1E5Tlvf7cFb7FUCqXaaBbXG1Wx6Sq7LPeMMa3NKB8GHsYWunI5Zr
NWYaI/OHVpyp5rCQw1nRUcLXo7KHILUTCEm6htiJZdyNqMVdALcTU9wuWy7dkHZwTWsw0M1hqnhk
HeZDeZs9BKJ4TTG9GLW572DWtEZ1FZUWSMLocWjjO9Np7xFSZiu0f/5gRhgDnC+pqPZqDk5ugbYf
aJymu+KKlDbeMHVE8pwewGq9Tpl+58pun8ZxVyXQyUsARBhD7BdVdTLz8hDbzvd/apOP2kRmovzv
2oRuOkPm9/nP50T5ez9UJnjekDch15JnsR866hwh5QnNZr+2/k1u/mPMTGVCAYIani7xDwIL3fw/
4F0ulYzkmnCo+1sp44RI/KkuQVTIOdTRdcRKVE8/1yV5lRnIgB3rJteXwSf301iXwn6x8XqWdv+k
ddZDulwCskO0Wt1oZIn0XfjAus+EVOIsKpTpNbkjcBPIINHH9CGXoSSqjCeZySmxOsxqhDnsKxJM
RFjQUOpLfHQNwQQy5kQT6qsig09UGYGiM2fd0A4L/IV8lDGGrB+EzVUxouJN9Ogpx9pAFNvLgv0h
q5zGG+P6bU7Sixvpb6zRz9Mwa57VTdfdkJTeHKWgCOrk0PesQzz6w9MsnNe4q+JDQQAC+x4JBaJK
HtI+exWzvbBF4WGBYYwNbdkttfY6tPmNWxCDYNl3FFAE121qF2YW+XMPfRS/OLGyG0X51DZKeGVr
1dptDS8vhhs1AdaXzYR5xzcS2FHPDaPzOPpWgmRgylCvamu8cSWbooy1vVH6GANX0Yx3RrsLQWBh
EerSF8qOesWfuCUwXDrAZdw4xo7OhDKcJhrmBYP102xbrN7kWrHvI9RXjlZejruyswdIWP1mLJNb
jiVHS2CEMqyI/neWEdyYfWuQ1q87rWWHbsS2sZbIM4f+zPK+EwltTBEMxTYqMAnF+OiygusxhW/N
kPAJu/kilplZq0CV6izrElPAZAVkOff2EfvCKavcm7wy1lYCqLmck+MYRuAK7bVtAnPuDCxHmTDZ
YSX1IsRG5FnjAH8+BcyX2W3rEVRAjpZN2Pgcu/jT8uXsdvYb1rR9qHCI71tqIVmzYqy8jLKKtSln
LcraWda3Rp3cFrLijfjmFEpgk1K4ljUxQkTnWCsqnY7yuqJsHiifI8roStbTqqysF1ljl7LanmXd
nVKAD7ISJ9D9qZe1+SKrdOb8l0DW7ekw7SCUl37DYApktEVNWu51LU48YDLf+T4OJeuvQZ2Xsh6b
aob3ib47wDgcS6zZCWs3nN1Dx1peykUdh+RV0HZHwWqvyWU/Y/132AeSNty7UbilK5WtLHaKkR2j
6pUHRPt7UZRXPTtKaVn7lFgH2CKvBTuOldZ8qMt4NNiL9L687uXmhPPnkuXDlvP20eitdcEuVrnl
XpXySHY3zExXocF215D+XrH/jeyDQm6I/dLQm+6eR7lVtsZC+707oTfIoYXYVw27qhlXB0qGnZHO
PXfIxkvD42SwEyMUwdI1YPdki8ZAeteW7ROt0wNJ7Nc9e3kUzreFyODh8NKnWeQjPXwK2f3NsNzl
VuxQuRVbSxYIsd1d67JkcKgdDGoIppGXXBYVoai9iCqD7I5nIcsOR2TZ2qUSGSPz2IN9X8EVRTyx
5M8ouXZ2T0+XKoYIY4Z41DV6Zr0u1Dmjgl2fuiej/imaftfKeqgNkddQIS2gWeKPmsn+qJ80WUpl
H1WVIwusWZZaiiy6Gis7uFRhcG/2kyzLFOqzKIpOBvVaIAs3LD7XoyzlYlnTyeJOabIbhWqvLt2b
RpZ/zjj5uSwIYyrDWO2PE5WiTk2oyspRfoWgtL5U1JT0szY6NaYaKk8TNaeuqjcinYjVs8sNTY03
TZansSxUDSrWWpaujWr6hSxma4dMSqrb2WVM2lHvptS9aVGN65ZKGN/eVU1lHFEhm61yGQBDeZpx
b4c9oMPlS5LZd4ssrQtZZAuq7SovrhVZfgd1tjGox9XK2trU54Ys1JMOCO4oi/eUKl7TwvdUlvWo
6QXym/kIBIwaVa0o/jkF2PI4wENRgcfiiGCFYtdyZmg5O9ScIWbOEgFnikIeLiaZYzvGW+75nlib
p66Ohv1knNMUQxXHEy2xoL/n09Y0ytPIASaWJxnHGnYKR5tucfYNR50lU6lpXT4a9aTIs1DEoYiU
vjtyvpyNgDCxdhpJlVDHS6Vb1+3HoYqzJAesXp61zI9jF/6Ug1bgsM3lmSyqiSGtsRDHzsDbySwb
r/iKjhISkbnaMVjY2mHhngE1Odhch2KzKDH41KEGxzxATBr6/MsQ8nFaReKzw+AkBopG7rVkJISQ
PLpdECGFmbKOLWZwhyt0KIQEKvP3oqGdxlu8SmdImHrSqPR9J2QtWfY0lKHGZNdqsPtBCFKj1lZW
eWKhLcrD46h21amo1e45UW2YV+bSKIBMRvPSjqT0ZM6CQ3zMDCcm/IBOWjUudHxV5YgJ/QrG6llz
Ut+Yko2tocmqg9uwpjNbaxjo9QI1CikphVo/B3QHpAtt06gtGMN02vYGLCS9674MCfEBqfNCU+F6
GHFEQzoCOux3dC0AvN5jh5zXjh29sbI+Cr3ZYeE/CXN6DxL9kC98TG6EYS5mOtQqhMot5sGO82vQ
6TqTlJyTL068ChthzxaNtBMXZxOcEgbiWVreEqMbU9Iv+yq0juYU75BlrcK02ucuvMdSpGv656Fn
JfrFHfO7bmLDKGfwsUVxX8DsZISdHhhO7oVQrsns8yiFOC3X+y5wCUCP9qFdH8Kqe7IM/ZAV6lWj
s9Pqjp861VcGqJskDS9TQKUw4+pcgmhDYCiNnO49j9yjUhRey0M3wR/v3eyrpQuA1m6xL0V822iE
oGuxR8TmvNJzaxdN4q5NFSx2BRJCOh6rmR4CgFg/GGi5BAnxEQgPu0Td5b32jFDfyxJ18k2ConRw
L5QW9QrxUc3qnj6TLw3NxeS8R/vETdHN9mEGBjd5JJ1hqzvLWQyQ29NOvZ9HWDJJ9VSir2TCCvxW
GeJvQVMO3pSM/aaL9Bv0TzdBqJPu1FkbROEbI7DJr473bixcPwyh1qfLezWbN12lcscjTnRL42EJ
y9FEgYASghBLdRPMlnMq1ZIAXebOGVLbqBOXzFCOWTctnhLqftuS1BSYEXA5mtS7aLZezBHPvMtK
gwNyOk6Tg3EZNdRkLpdKsV40LQn8Kq6fBWZUGia9n9Laxq7IXTuBunPl0lPTGx5KN9qFDfosSDrX
FQ73NFSWk6I1h0oN67WG9XldNzkTxYlMjbkGx8V/zaQLqsP/Z+9MmuNG1iv6VxzeoyMBJIZceFOo
kWSxOIvkBkFSJOZ5xq/3gfpJltTDs+xt7xzuRxVZVcj8hnvPrW4DRtQ7gi8O7JZjaMIdpPHl1rbk
46jzoMUwWdb1iAu5muSlnkSXINI8GUsaxnBuLkjDwuM8mp9YPQRnQ+1fqyZ9glYg98vjDmYdH1HO
bY5DwnxyQ+BxpbxGbxJdKDNHilgeglLcGQEVTWGJJYyVhXexFllyUQVi1zmSHCEr+4BXxJjPNFh6
undJW5xFbIITZCN9So5QY7SPZGjcqJFkqbx0LmM9IJMr3qaOnNAyxg9Vqp7kaN7gHizOLZMlTRfY
xdZo5dOcqYOC2+3FImJX3/MPa5W+LZhZAGGT/T5OQag1kDJiL5CZMG9HPTZoI+oaVQ+gfGkg2TBt
bWPokT/H3ncdHy090Iv8P/IuuwIh3zb/9Z80dt+JdAFDMlJWNhhW7ngAJeKnBop1jBgNI49OcYlx
IT8287hS8vbvX+Qnn8S/XsTWWTdiDqWV/LFLS3yyFbSmiU5iOmj5URAbo8m7drj7+5ehE/3j3+Lg
BJAo7xFGLL/Gd9oqn80lXYCgcDc+huJeM/+NgfZP/n0UYrowCA/i7fr5vWrUZBeFnaWnfOCLtnf9
l1/+/SG4GrxDvFELF+bH3z9wFiGPVWUnl77DurLUxd//+4sd5X8E2f/6rL97f376rEHm68i8eH9k
ttMyLwFk6KwRlo7vabz+5ZcizMNe7DEWPjL100eRuuhKhrlITiLe42ZG11kiuJEe17BW/r5Z+t9a
jpdv1w8fy/IV/+5jF3qUsQFI01NJbGhDRefxaHGmTv321/+o7z//n/6o3IkVJuDfXwj1FNkkY7jl
Hlmu4vLffNf+5LkE4sPuZsGcm4axWMK++6NMKzcKLt781JhbP33px43lv/39n/NnX+fvXuLnr9vc
WNRK0LlOufsS+09S+z98nVEIQMQlx1GHu/fjnxBXqdVKzchPMScgQp90+j8cXigphb0Q+AwTmvSP
r5BrOfW9rRen2XkZnMtuUQa2/+bs+pOHhofSwiu0hJLry2Lu+w9ChRm5tKxeT/AhINUsyjzruq9R
LK1R3f39J/Inr+UK/gxDd1wHs+xP71jIwsMkWTQ/hUtPvQHrHk4bp0J7tTNuvrzUP5ayxZj/1yPP
y5eSb/EfHGX8zLdxJwoXbiouEDaxElv0d7IYg0WsbXCs6WJxzPNMfh13ur8tIhqTJp3lFn56fuqr
gNj9TbeImoN3buGDEehsfkEWY4rlkPmfQ/yLqwbPrFxolGiS2e3++H2sqyaTFvD2U1k2DMgpMVa1
Qk9RWtO9Hlc7fwHzDXq19svuVXQ+2NqRJf8oz7EopCgatXvVV2thTUdrhmBhwfMhxLlF8xGd7Cjd
Tr57JdJA92jPjU0FKyYZ1XEwrYsiK3ZuoPZdbNBQQF52icPz6oBkXFh7t7ZVdNvW1N81OyfhTWHF
72VwdGww+ejx/ZVbWZvJQJQGpXeXmdFBWGgTSsN9cErzisL/ZEG9XHV13kM56dOHxJ52/piQhWCp
6zQOblGOeLmFJHKywG4FaSHwysn3oQji4zx35Uve8jqT1e9mrUY70QUe4MQ9TYvYkqPHyIccbYYh
kcA+EpRnnQiSjVEOeIsM1PtJWHlRaqFnSV8D8iWWbG8mXM2uq2owHgVpIexaxq0jCAwakj307M0Y
tApPR7iuZaofiEE6N0UanemadeYz6yWQQ5SenzBRTDDiqMG+rfTI3k4ITzwmx/wVqpYnN7UP+dCJ
VTErcMaNlR4Yz13aiQnIK2+9pvWfm8C9izWQM5Fm7uXkv1Ol5ES0jjCb7GzdMNLFDw5eWpNyX4R+
A4YwE3fMQgHpjNaBHm5cy6C8AWu5BwTmeKEF1ymYm8orosY/ML3EJiVIkSpjtY1oBzZzGE1Ev6K3
tILkrdZp0PqK1XKrzYt/SXdxFyab0HJZIAo9XGutzvppWEKU0yVPObH9/GB3ZCzjFRy8QXOTQ0kA
8+iQxNxLScaT4cS7trDSal83QeHfuoOrnel2+DnQCmJZ/USdzWXIOjKtD3UV3DGuRTnbGnupYQLi
/N80YWdtepeCv8+L89ytj02TfRRjXq/kPJyLsX8sG8ZDCJUfOqOK6bOV6fV++dg3rtiQK3zR5eNF
lgmJASm+nlu3hy5KTO5gHRHq8khoD+2gC08SUhUbdC52IE8OeM7Ohf4VIdkGyVasAHTuUNNfpDaI
PKHa57n0T71I7tXIFDwDrR0YFerlibFwrFfRpo6LZhuF+YsSyTEMSGhPg3CDDOSYp2rfckF7g6N9
jvzovtCmygu0ADuOIT6bUfmAHmOtQale1UALX/ra2mi69tRLxhpD6x7NEZEnTpTk2k7kM+SA80Z3
Pjtzc07rfTnrKGajWa6awjqNRWEc8zojf5r5VunY5+ZYs+akg9aM8KYPRLdCcUhI7V2ibeTknpcR
yb896Qx+GCFAIg0j6h3ytJL0Gmaghqi5fiq19iYmPQwl8nwVoprwbJMl6+CvsyjeaJq9nxeAYOsz
6hY18Bskvas0VEfCe1kYJiecrF4n+dQN0EC9Q25xks3PSJjabYsvy8ZRayGnSLV4sU9VF90wH1QZ
vUKNIzBH19eEnig4uPFtm1qvqgYB1Y2kV+aV8xBobe7pmc9DXIRwUdFLZRVnIXHU6bhrcraPv+NW
/rlxJZfdX9+4t5y5L//h1d38x3t3+clv966+RMWTIY+slDv2BwEU0fNwGih+vpGbv967zm9cx0tn
8y8vNxXV13vX/g1mhoW0nDg7mrZfyz/EP/TzvUtlxuzZtqkCneVX+fHeVcRF2YHrMj0cI0yGy4Cx
NlJjnWKXiWrT3RjLGLIxarhxiQNw0WoPlaWDP0a8X2TZcMaIB3FpCHO5Fd0+gIeFtcxam3XBfDPv
kMowDY2d+HXwa3RDy6C0z1m4p8vw1FnGqFo5qauwyu6tZcxaDSacSCavjFvug4CkdRF9Ykp4l0GO
OTmLjKZYBDXdIq0Rox6dZahtfMmVl4CwdNHSr8bOeEfnRJicoQ13eaX2NlPeuBynrRhzOFkjOfQD
BwT4mVSrLnvO1EBWO0s0MdY4Dk1UrmHDRLueimNjYSQPWnOX0Il7ftC8TZE+44EM+o0zT7VnRv4u
iKpbqaYtAlNmmQxgmrqODn3qPOt66HjDOFz2y2jJnVllMoXyupGhVhHp6zHpwnVaJ2tlzTc+it29
pem8NV3Un6cR0p/MCi45AM6UmywSoHQzt9rnOE4hRFYVGt8i2g3zEBFv6kA77BOJKZik3W4Gm5i6
V2YApNlsdS91oDigBLmJS+emaD4Df/pw+Oc6jPn8U+zzQr15CZE2eQ2sIVaCLcoa01iZC8KURmVV
pD2bpFSyzZuaPRj9m4mN7lWV6cdqjMeNqPSSHQjqVmpGYzcbxp2c2XYmvVq7mnVPz6HOqj7eY4wi
grHyL0WDo5/bcMuk95xY26vBL9YtaHymsttiVN1at6JPSjZyl48GJDFCoMD9Vds5cuDOTY9GkW1l
3j/LYWLca/Y3faNhdZ6Hd1553Ixm+t47lX4ig8JcVfp0RZwgIOUkPKpO8y9IMH9l7U32Wq0bB7zR
9nOoZc4Gc5OirAN1thEzTBJ8sHXcl5dYA0BOBkVzPZI6i3NholDiDarADdruZ7d0hzMSkZg3Otu6
HPet6W8nCwar6ddPSrIak1PO8q3kJTizS3iL9YDlo7N4i93AZ4IRzvdmWRC6YUwDIWnOrVvZ7B+n
9zSskrWeWDdwR4Nze+435DheGqyKdcVsLrFBsIE8+hzPpTq0hfN5dIgLZMbL9KBnhFDozXVbYcPx
66NPpsXaqYfyjGBLDymcRlklNxA8Jd9wF5ngOPETUDRX+RBM21j3P9LSv0qZva9l1opTH3ZcfZ00
1v6cnldGLjazsKt90M1rjYU4lqOzITaadeQbT3E5L5aqtr0IpSaO5lBb70L4yV0hZLlPe3fSsNmE
3Jv/9IO/S2C4Ev76djrVL4Tz/vFmWkKrvt5MWEpxwBj8awwCvvgavhklSObFAmEZloFDwZL2dx2h
SWavYwMYAReNPMXiP329mczfuOS4TKAzkHELI+FXOkJELj/dTHSWi0tDMd40UOcusIfvJxSVjXVh
cIQPvl0PN+acJsrTO+Wfa2MlznOnIUxbE1P3LOPwLPKnJzfQZ6904jezJ72P8J/B2eM2xctemSIm
06QiFTqOqKowoRYPhO+QdIhfpAkWqQPNXBxxxA2lWb9Iohzf20749dbILTI7yZX2crZGObvwbYhn
tdq0KQmMXlrLflvVMdxX/ImKWhmV6Ze83CQqyc6NlxjdkUhtjZA1rjX8WVbks6Qlddd3dVaLiwtQ
M+lMYO6yFppI2g7J603Zapbk97LWpgccrnVzvgjJ94WSdCGL9KCT+zsyOfcsu+ZapjHziqbv1kYj
w4tS2jtRaldxj9ai9N3zdgkV5qLPvYCp/UXeFITTakOymWyy4mvCzEmH7U5j25y0ZHRXA/KC1cSm
cEbfu8ERbqsV5b+GKdSc6o/EbG+jVNwycsgstgltfqVVyXw0JY67qtwGpR0+FsTdOS32ksbPoD8S
/WIW4QftRewZJXe3Ubhssrq1mszsVrOtYVu6bNCcCqBrTdWOtY84YxjfoPEBSiCdXht6Hp76gPSj
CMX1ysS22o5acWMP3Lnk6+AZrlem6nJiH+n0I+2ocwn2qKlXU1fK+0aRghuyK6yn1N0yDohWKXl2
5BYjZS2d8snyO9p+XaOVxtQRNF4zIZn67lG8+l/sJnjgGB7btK9M+Ri7/PjFJidwEIlq4ktDhOXW
TAfjhWRB10OpzOz1n/Pv9/OPg+evz7+r9OXtvf6T84+f+nr+LcEp7Dwofb+I/JaJ1DejGB4yV9Km
22xdvsy2vk3EFs6MbS4efMh/X8rvb+ff4rZnJgYvH+qkw/7pV84/kEQ/nX9wZiiUXQY0WCEWyuCP
X5N+Guh5pTOc2rFne9gSld1PN07R95tUBadMr+I3HrF8FU3mHR5LCldTY87gDB9aKLbIFCUOSWqh
wKWGyVPkCg6VOGHDr3XAgGRMqRZZp99IdKk7oQp/N/T+0c2wt4al89qZ0a3dz59CZhFIAPB1GqX0
RrJyqd7KM3OZ02XOYhhV+XZOjVteC6wHIt4aNyWe1AnAhItQy5/tY5uoe7ZDNKlJ8Dlu3KNk6ynk
eAqDZl84COtBRV8boRBb6WJLiGV/NRpIYlgiQDsxxgEmNjiWAF/mXHlm1XGgS1bUQ4kmHYj/VrUQ
XxLUOZSzpbkxE39nYxJHDZ5xaJbyrlbw+Se17kxz0+FIXhEPFXlRNh3g6UivzUMXcdL8YKnPRIPR
BY3LvOXM6dtHYp1x0cXg4qUZIUGefBRefYfOYpzee4FtRHe2jqkBnhfhQ6BzyCtXQ2/EEp7F8YqJ
BPMVB5i+c7lMiIKifig06xUB5DmJFygM5rUN1L1q9AM5v9fGhFgtsOwbl3fIp89ZaUW9HdL0spbq
xo7EazLORHbjV1xZoFMQ/Q33mSGfYlZsnK0Dc4NcbstOx/g0OudEQ91pKUoOexYPUR8D+sjj89n0
78uxvkSjBvcFvEqTpu9SC5/HXrsrTURM4XjTKnsrbO2x0+I3/OvWyrKm3qtLArfmRWZjNNWHM023
oqPjqKQ68jFdDLHD+hx4gvxAHrTxDf6coZu3pbN0BnIhmoAXj12mSYGzm2MHZ0tePJu5/WSSVuXl
0/giu4Hvl448LgtI9+nb4kLv088+30hVmxlcIbjjqX3W2dO+sNvPvSbhRobmncX8KuDohzhRAVkY
Wlzq/bhm+hKuam2K11rYuavJdBfeQvIQt7xJc06ClUXDt5KZcdPa5UaVGSjyrFYbmNFwU0AvXxpd
8TA28FwOJs/cU8ZQlwh7vPgBN8rcSkzkU3g9DbU6+KQNE6rTjEi8kRaJbpBEHOkx7IMQQYxWfjDW
bBXCnaolHif042nTZkk13/dWASnCIie9AVLuJ/I2901aMyQRD5GMi43Uu1sgoTNuGQngXiJuH5Cf
ujFXeK52cBUa6m/XXUNGTs8QFTibDPg2mh/zqeitGJowj1sa8pXOh9ZehczEItZcnhZl68BV461b
jvaqQAI3hvPn5e4lH8JdE328FdCi8LxQFozodHPbDdcwAhAMOJejlCsUvBCu3U+RlW9Dl5YJTNyW
ov8Q0XKRUsBUobhKo25b9lrrYV5AfInGVevbMxnmRBMn430i7VveXZ1kcLLn4/pqrLp7lah9bUqq
F394bWz5UBTmYyaYRxhQzePUREBVzfMiSHyw6MCZNzNkQ3d1Ofi9ooOB/52E6YUYSD/ECQbQgFa4
ai2meXa5MirIk2byMc3VfRk7D2UVHSnsXusG8rbInJPdqjO7K8RKVqGJlWRAlNMy1xS+/irG+MY1
8gs+vApGAjE2beLcZ30/8ISYrWcNbrhBdbLGySHp8RVQOvr4ouVhmnj0nJm/MzQOTdD3oMEYLnac
AoZ+hqXmnOCkC3JOoEopB3H1YIcrv89oOCNoPZ1DLJLM9HnjJ+27Fs7ttlBVvG07FQEkEZe5rzRS
z7tpb6BZwl/zok3ZRZjM99pEW0+L96ZRId5OJFB59YDItJGM3gkQWTtB9TawVEfryKC/yPL7yLXP
w7J8i4gF9khHyO6YRO+13LgnCCLz/JJPI3Xodjs8Vq5PeWUPBycr/bVvd7CquB3KFq/+wHA2S/mu
IQ+kbEtFQCZmLXSCuCnI8g3tSANlv23Us5ER/3f8pyL6UhEti+6/q4i67KX5Y0W0/NT3FRFxPtgN
vtQvLhXJ9xURngg8bnC1vwAkv1ZE+OMlzEndldgY/tVHfu0IFeZPB1ul9c3I+Ss7QmcpjH/YEWKu
IGCO34IekwzZnwpnGQY5qMhJP1mQIZI9sVjGqnKr5Bj7qSfn5toN5090GzzPbbobAvVJgyvHbBJK
BWsP5afQsThiarqhjVnU13Zf7JQU5x3ZmXY2HsyxWc/dHgvkE8M9Dn1OseCkxyo4sklyPduifnB0
tERJg5LcnubPqQRXDPoowU7pPkG5JM3U1IgXH9qnucj2gwHnzbT6q2hozU1F7j3/XZzPPYQKAynv
wiPgQU4fcg1/YlaL96hsPobZwIaPhLLoktCjFLnN3JEjbCRSctI+1bOkK5oZBjJFJgJEXeb2NJ1r
MsGTzXM05qS5jT4XAtUv/0fzQV8j+R82b3Wvr0k+MODGRMSS+YxvsrDGJ1+YbyJ5tKarsLGJgiOj
zyIz117A5r7T1muO0El6VkIwBO0y+eDrElgmQlyzVS96JP1+E43k9oV5HwL4yJM9SKhqk8YatDM5
lhua6WFFs78Iz9x0K0D5IcTva92zo5rIuGBor3Ec6PxhaX3dF2YMUAmONucKbxWZdkxUaUrDKiaf
IIenk1X2YzHXtOwdOWyyli5m1IZozuWKHRWZs77yLUTGw3SNmUeSUBKLNY5WD09XcaZQ8DEHlNHR
t0S8xnbanIWkIOzGmhYc+R3s8wqiKdgZ098BRPwwVOHuqrDqvCrxg71ua689cfErxv7VBiwMlKaK
7jHCqLKXwn6HOWCtumoYNsjqDfbZ8pCKrvFgsKVXrsnAWm9yQKPaFG0Ukb87LOykSfSNtYOc9Z6N
oAQAEME9rbX0ypmL4Ix3juvDH/IXt1icfFMk9lhpeW8EzJXcYCZi6m1Sr3XHYXAMW/W1nODgF6S/
rhqLiWPravX54BQDvIKu3qkQEw85LuauhB214cOTsO2sjwj9CzFEIZkm0twtLK5wJeYMG4sqqaNc
V76KjEKF0pu9HPND0mhQNVal7DcUS7rGb5nb6ziH9cQzF5zV7Pf2w5zk7SYk7kQwmXVhNvasuj5S
oFZ7tijGdUHBx4zcac5bfxZYIqgoajHepZoe4EpJARuaKsHBUz2QDxx4YvYxfKqhYFs64pFpnrSg
+pQWOeWRq5hcZDO5XRnhe7Fwlmlt/KDnxVVcNdHzpJB5G2EQIk534SSVSDjn7hrBocssF7ZskTvV
QXX2e5j2zwyDtkPg4n1U2scQtwv2KXoytfgM58/jaA84WhvN9kArLoeIOvJWHLpEfRQ8pwAlERNk
7h1wkqtKD89K3XJWeV1csuR5M2z1qU81eIP1eNXO2Crdut4Xc3PbzOq+Cm1/I1rqmaqrYSBM0YrF
6bQzDVSTcU6x4xLSMTCrqN3wJhBwv5wADmCXmtU5dIaXMY6h0efGPirCs8TxT645HLXRrNYTXSlP
CpQfsg4paaKUoBlcG6+xm+fPdtLG+8DsUVbLzkQ5q+SZDdR/Je2iASuVvarG4swSXY5mtboqBu3W
bpoFEpREZwGy/NVYkNieTIPLr0TFN2mE91Bc2iu/GILrDMXgquFxue6Wh2cWPm3X8qJtaYWb2I/U
jvVAdJMGdbl2DawNnDAdDFSbhsga1a6U+rSZYxo3gHApJ4wz7cZuijd+E5lIvjO5UXMM9am2Phis
zetEzgc8DCeBqyUz4wvY5otDVxg7cwD9hIPU3yakom1xjrOCAIyyliQ37g17tNZxSeUepjMC68jY
GeYSXB3z24YZT60xMLtOcyLnGDkuQbicUoKs6t3A+PzaqntrH/YoVrpYt3dajLIlzmhqK3CX0FgR
InBMdf8Mf/TfSx3j70qd25c38rsQQ/0Zm4Kf/Fbu6GQbUk3AR6R0gf71Q7nj2syGvv4XfurrapYp
j7lQgricv/KFvpY77m+CMgjkj+Xy4Ej4Qr9Q7sBo/LnccSi4lt8OtiPT9J8x7Gbc5/QfI2tKwD+e
7CKGhX0Yb8q4J1lubLdE9zU8l5bsn4Y4Oy8bHgkbSgVdShR5/hQ0az93dfIP7Q0CG9rpKXc8W0Ta
uWjnF8s35kuSpd8HuwKWi4VhVab+rdlp9jHvuXam3qx4XPvqEgH0Jg7Ch5aI1AFawjZS7lnWGmcA
Fz+ScXoYQiYlMjlVKQYV3diriMGQirkboswsWVoCZiBOPV3gC0TeK2YnTObeY0feD7b2nPTa+9Av
WVY+uMFxgIDEvu5ztRjVE6FdtoLJNkGyYDASVE29sl+nEI8rgLllrQnHsScbct1BIAqz4tqwA8Ll
MHY6k+Sy7tp+E9S7LjgG0YEwuRtACdjI/Pd58cXlV7aOg4oI2cucYcc8xp+yig0hNOEwt+56C1Ss
iD+mQJbrKDWuXTIX8VJyg/VBg36lRdTYkYrUpWG6HVv4lJXibK0hBGWgytatM8g9gpzYM9MQj2Pe
MTop5MzSjX1F40O35Fhs1rIN9kkoqVfhIBN/G9/gRjTWo5FyeU0MN/TI6tdWoZnHulrsLgWVTIIZ
4AxRGOvcEak/MugdWhCgPHq0rs02woEUW/vOV1PykAeaExyNZs4+wQZkV5Eyquft62dvNCln+zGi
UrHcjwZ3xBjCQ2jZ+jOQoQdrv/Rj9UJ8Bb3naED2UPJEUve3QHf1kyOi0eO2wmxiTPm2lENxzGYj
ukf29FATnrk3bfWcRGPGJV1Gp0HGxlorO/Yrk3un8uFggsgua7/DWIGOq9b1e63j+AWEZW5Gf853
/UBicSZRDjgN6tsmV+sK2MjKbPrjiEH3jm8AsjsJcAiN7niVTwwE3W4o74Kqf23Q2547idFjAgrf
S51qYZaTwNOnX2qkNCMUxCWSaZZOq912+7rz672BOfC2squUDEUnv0sMfIilHoVIvMq7wm3XbWsz
Z+pmsvgiaw8eamF8alzLWDnJAZ0wrynf08x69DL4lBsrwvqHtBftVeTbZ+0kXka/9KpweHAn8tzM
XEzoCkpoMGgJVsYotYOmqeE5iQe4NHPlryO3zXcwO5O3hPXHPsXJtpor9ywZwnHfo/Ha1K2a5bpG
pLWyLVVfD6buX4RYQI5uP102jK5XKkXf7RQRT2bW11vi+kA2G3lz1NyZ7FM9weNpjfPmn9b79/uI
o/uvW2+kQrCS6vyl/vynUbzL5vPrnaTL33RzoR4tUVlf+EbfWvAFAUz3zd3j4AJxBCrqr3eSxX9B
aq5YGdiodL9Pczd/44Jj3USnR18PmuBX7iT07T/dSRz0aIRsNhPcSoYpflpKqNHSSkJ6w0stcQ1U
BVm7cTnXD3ZP3E1fm8At2qolE8sGmQagK5m5dvyhauJ7gAAx5RhpmZd5bch1XpXBCJfcEf01htBi
eulYStfhOhirmbzIMYWOz5CORbQ5rk2i0yswv3o1H2gi66DZtaWWhrdu2wKStZDbrXINpMNqDub4
LkOpcs+JGhvIlgRBqzq5UySVx+G2LBHQFGxv96RiMwi1Ouch14ksXAGP6R/KTLkI56xynjyZcxZ5
WlPlXmKWKGmSvmRCDddMs0prj0EAvC9TaZ/zTw/cFUPY6IjulKzMzJ+zwHMj2/dUYUB0FZlHxdnh
EnKyS8fO+5uMNfSmJiNYYpfO+z1yFItbpHKfDcrx2VOtKuZVX3f2uHLcyHIQV6bODbNd6JJzm0X7
tHbmt8zQYFQGcmpybxJIB40t0pWYp1+aHWZ3tzfbncV1pCHFgBb6hHFY12kz6dhlTN5tvqHJZ0mz
wd4+9yVcCHOeFbh6OjJyPutg51AuXDd1Hz+z62muldM4QGxtnSuEbfNdNpSXymzK4YqlRudc5VrQ
i03QiCJjYFt01SE09I6+IzLip4S1+R26nrSjVO4Q5Q65iNK9MPPWWWkuPPlDpdfxeJY5kRze7cEN
3hUcjx1mcB+zdwhvMFJYFhutofnQ8PokbtQ8hqZe1qeK05ItR/tPJf17JW39bSV916Uv9Z/ISJaf
+nZiOcDaMPSYpkFGuLWsKb8ODSGTW44pXGbaC+DtO96maf/mSKwIQlgCM5W76FK+VtELSkXR/pLU
wdITMcmvnFh/jOvghXHrsBBZqJ4wfn8SOAZ+Jao8K7pL1lV4wqLuGZc9hteEr5vol7jR9JOl+8CN
Cv8YEdSwtojs9BDrX5EVfXBQSDI4wQm92AsaLToPu/gIk2RYFUZ0K0TyuRfsZ7WiJ79WGxiEDwak
iIpjT9iBlzWLtFJ8GqAkIs14VBXDJZcob+xPyI+VNm9xvWoYEkLGObW2NMr1CnXDg+Xmz+VU3Pch
o5uiJUrCt+2HumoPOdrMVmmfEOIDzHXghEbHPgkvCB5/bgo34/lwrmrTYmEXuJuMPwzNXmTvDAMI
hV48ZZOYePSxMEPyTbwqHfbMSu4noySusx22Us7wFpbMVDlEuNFJCcWgb61R8180bXqHpTzxXHhe
VuLeFJH6TCjAVcQulMErBbsI4nbjD0A3y/5RJPkbgQ9PfmWcwJa/wW5VHgDUYNPl6HMaJ7uCObpf
5rRgIp7Jteo3ZeqCQWd7y3a3eBt0dWRE1q6ziQFiaZjzegIetY2qnqxf3bnA/E2UuH+RB3jao7Le
TsWwFfVANInaB4Z1A7aKeVb87mT1nRkFOyJpHyFLZ2uxkEH5kNQyNBkGwCGGYFZijJXNbLg5hmr8
SHHHrX2cHYXwhdfViMMzYXySgXUjW4AkcN3vZGB8dIbdHyaEQSvgqN2Ws/cx06BSFCH5LXCwuxbn
BeuceGfb6ROei2RrlB3qvcXAi7LWw71vrYTU0PMnW+GU8Qrp8K5qQ7wUScnWueRTo+caPAM8Ticj
5IyI+G0wgzu/AbPuZ9XZnBHtWsc+CtphvnFSi/mDte0qCXZl9llwJwx7RMuwB1VgvE47vnEW5E/P
nfkSTw2fYWaUAdiH+bZAIbUiBmYb+P3WF93t7Jpn0YBvxTEYFDWVH6yDlD1a3yVvbTE+uvAiSSYp
X4UOiicvfHZKRMFA/d7bjDC9Qgv3gk3rWnOS3BMER9uT2Oki6hDuaBgDwgELfO++w06/cMeiX5UN
FnMW9wc7wK1vdCiGg2xkz4oLxQDwzrcxg9HdvjYdvhxR6zbWiHK+ykbbOJc5pHDY+So4pAYoonWS
DJ8AHZC6XWtNGD3wNvjtyWgXooEdWebW9jOR3zkdCcq0YyVGOEVcc+hRPDhXGp4A+4os6fDKrMbg
iXT2TZPyFVpJgpMvS0zuEDO6hQWyElYAzFcRWV4JjXbXGq9FqrFQqCK6Gac3mQszyV2PLlS/Q4fK
jdFpNLbwUoSZshqbTE8f0mt8uWO1I5rGeEwGLMDHNC9peeDvIRu2nTcRANnz8BPVDPxRzqplFSit
Ct6H4QR3onXS5smAG+CvQ3M2QjqmzPafEysCuS6g70HBVmNXev8U+l8K/WVG8zeFfvROcjxXI7Gs
7XT4/F//+fslu/zU1+vyi+qIEh/AKfrKn4GowkLvg5cciNyiH/pW4KvfqOyhyVN6f0FX8w9+vS4R
JOFDXQRli39uce/9/4ZO7NgcBl/YARAyERhHA/CdQXc2wyw0igj4tMvy189m6BT6cxF8FgrtP1KG
2s4vYKOA2RmUcTGU/P9rpC22np86lH+2G9ykXfcMF8tjaYDnJAkfc6K4KzTnZu4eS4XGr3GeuPkp
vsd2MzvJeWs5ICIaqA1G0CFKye8w4sEzVYJzkYNxDRzhyY+RjFvGucWAF2HIywy1So/nR0NqlUeI
6Flo5Rs1xo6XzNG+6biC43x+1ANnP6D582TSXo1O+ASj8X52iwtypx7xRRIeYhkf2pB/quruIQE4
upKdta2Vtp2d+SpSicMSp9yVCsTJoLBjRagmTN9lvOT/N3vnkSW30YXZrfQGoBMAAm6a3md5N8Fh
kUV477H6vlES9VOmdVpzDWXKZyJevM/cYd/CHuB44tGKgONU2qZueuwlmftUDca4UN2T+7lLdN6e
8hiLlO3EoO0wKuDSx4vF1D9tCznuDb3nuLPvhrK7I0hVP6bW9CUtcX7Y3O6DUDwDEYMuxkxdivHM
kcCRFTja2orzXduzdBi77ihls7c95I7Kp6Va/9awxw/87nFyLaikkrXz7LJNEHhL0so80/TwYTo4
8D1Lf/y8YQ1C9ktN+pu2wY2KB80mYzHt4mbauu6wLmkW7xp+Z0GQAnGagpjUGiVcfX0B7odP14cl
tIX+ZI1HxpGJWvNStPvCpbmudTz6M4wWw2lViNpZG5+qYfOpIKZ9Nezj1jLalf2pMY6feiNV1RCl
UsmtMKwqtjsYjLoKPxtyZa50S81HwTRxLVFQhKrJLn81IHPaSu/0kuq7ir4sJqTQSWmijlJHAyu5
c+YS65XpXLTQcJctBXHIzZhetPAlRWTNldraj/09/nzUTKXE0gn5LUaaNabxY27radEj2gYEaxeM
xmeh9NykMY61Unix9phrieg7fqq/XrKTYf3qJla7odY0JfPuvk6tAfVF2hzzzvCtcQ3VO8zRMWUt
belKbRZKd04D+Bi0rq9yBGk6Ob5JNGoLrdrIKRNK5iMoiW1clLe9GYfrEHW7VDAqG707RfcmxE6y
RdjPPqXDW4t/4+rDczBXtxGa+SS15jQ0r7llEXmbtOLIpX2OVnwqzjAngaQSMo/Y6ULTwgav88hA
MPAXj8PqjmVrsE/C8Djb+WWuywMEm+82yZdlKvsaPMyU1F//O1d+XSBxK/mHc4UF0ir6CP5Oz+AD
fxwtuv2L4CbGuSKUZ1Xnkvb7TczBiQHtiaSXQiSq69aP3ZH5C3Ey1cLt/F7D/eNoMX7B0WFSkCmI
hn0uo/7F0fJ3hn5pGrQ+wGFmM4Kw+cejJWL50oSExc40bKBmWknVBtA6bSs5ZBE7BGOp97PDzEmz
nUEjWj7N9x1OzABr2MnsYudLEuZLsyUvKqq32El1/WbQG8LecT+V1aLpc++aFe18CMwujfZVOxkP
QLU0a683gkHX87T2mvmmf0gmW7RrI0li/T5yvFQe2RqlzVcvD+zhXJtlbd2qN0xv5+kHeCWMGDlw
AGKbGFqZx4jHepUb9XdtNbV7mRoUVM8zxqq1rxIJs3Q6TocqFEdDJRbqqooh11CYuQ5p4F/WVd2u
OzFFR6ud5Mn355LqW8/3vnQN6B70Gx+jmiNpgsMS3t2EhqWQgG90WH2NbZroeFtzDNjWR9lmHzzv
dQSQrJLfqHdkgqSxqwqGfT4La9MmWgfoOLAXvSFQhYak0wlWD8jReGWfdY0dsJcM/tcxol6tMXNj
HzLpnrTEwOer1xhWq27cz2VZbXmiFcuaHfMiS3LUdhcnAIIs9lN8w/xxy5WNjb0ZGm5FbXZ0Ow94
uF+T07KseZ9IJKXIoBVJeuHWiTie64BnoDm5MdEFPPtOnqxK1/twZaht3X7epTodwaQytpOPjVNr
sgRHJCCgRo4vauheJcPcc+OwtoXu0WzVjss2rIdLYo7tUoTs+L3UGlc1NRjrWCuNK7n45J5kiHmX
23b+EQtZH7Iqyp/jnucWDsdvOYG2439Prc+nFsvkf3hqvXbvfzMLq4/58cCiZ5dVreQay7KHKNIf
/WZssqkFYRp22QTxLPvxwAJ3Z3pMqGDm/rzsdmnnxb7p8Z8+yQH/SoA1xV/8ZtT8YoVTiyolJCqm
7M+zcNrWrRiLUVxbqKu+l+MlSkzwxFoHZA7h7Zbi0mJHXBLgY+I3m4I057Jt5KEuLAzPCvAaSc86
1fXcLaQLT7MZbHQsyEbuWJ5rCi3LXmCbdb/qPaZJIxuQyTpVcjrsPRyUdKyKVcnGomtwnOce2ihi
4uOA71ISr3+oggDBDU8mW9Jj0ZWPtY6IJOmgIMlffU2VkbNQlk48SLtRmTypcw3zW+p5tnje5Y1m
Au20B2/dDgKO26D5WIfrbpmm1c3kt1+cLvjqZ+6wQdRjo8tTdu9STsP8pt212NtvPGKTi8zmmZWa
7FD8yXFWfmRLIv0EV3MfO9koa67w5rcmsm9Dq7q4LZ6qMkxeIsN8aAuvXGmx8VGiN63B4z3W3PGj
qtl3NjNdNus7v/K+sWbLGTpAaHnjbS6Ai9jGa5YHx3j2HnTirDQe0k1QG+KBABgZAf4IbUiPAhYO
noYtj8+uQaB0mhewMMkCV4m+qFijDFLcuKnUV6Ef3UYeNbdaNhDhnCZBuTADjWCwEQw47hwdezXx
mHEDG42parQEbbB1RrstA1Jsp+zuynTlzBBbWEN3FX8wg4iFh9SQkJWl6p7uCffqGeW0pbLXWPR2
vKel0jsHTf1hVLRU4EgKbjUMtBTrW3hl++RSTcb3tLBAbwINEqswNrwLOjKukVw1FydWAGw1SzY5
q4FDkBRXELesQlL3OmhFu8SwAwJ4Kr5nCa0UDY17XW1c4KLky84k9dRGErZhB+NLt7RtPPbYBPXu
zS7DJ9o4OwLw1IAYYb5ie8DvDUEFlwslJW4zPznM97pfvMM8hCRrQjHOtVvdLb9L+n26kHbIanSX
eWLXS9HWiEQ450s7O4yttZaBeZ305MqeTD2laQcRRfwsBv/Ryii1Jy9CS5DmPNZtYPFtGye/NBr0
ga5bVBUUtk6Iu2xqD4Ia0SqJ76IIyb9LXwdRvyN6FpRR6s1qavqLWycdavxAFETkZyjMYmFJ7YDj
SOKWIDnSIY4zXjsnUelfXWM2V007PZemAYtJLzdlwx6IqQK71NjvE2xpyz4XlyEd3kOFE7YVWDi3
KV0sjPLFhPjsITzbMIhjBSN28RG0Ytg4NQeelgIshhdZUBLdHUcFM54U1jifrG+qlWOouDJmkI8r
vzZogQWGnBjGlrP1zYWSnHFz1ZP5SdcaGk2pGZ5V1nzwzrUCLPMNr4K5H9Dmk7OrIMyYFO4az3yb
FJ4Z9lG6RAAaD1oyaftCYZxzrnN9QnC90z5COM+uAj6XiOzY4RQG2ldA6LkOrV3myHXtV90qVtjo
DH50LCBy4tK12Vw2MwkVMNN0eRMbdEFPA/G80gICwFZhqX1YyjCfx1tMgHRYWOKrS+jmv63Tb3Yn
Gu3++XZwKL5UXZT/dfVk8qG/H7eC45FGRJseit+M2j/uB5zE4NKAmVP0xFgpflo9ub9wMDIlo/WK
3xZWP+4HBIhd/bdPxnbqX3Xem58tYH9wd7sCv58K40nqoZw/u7spp8jGUU71ddIIbBLKgFlKXgwO
OE07YX6NpH2OQie82Fa9Ra60brlhspQKxJ3py7uk7j4KwTVgHEMqrftj6OibnhQTb6Cl1lOCm+sn
N9d5kJFf6OX4TkzsJFIAn2aXXQzpbnyeAU2obYpJu8Ul8uhM+bPFJAnWnZnUpYcZiXfKgZ4Vq1DT
lNXP3Ftu+ISixM5E3E5JeumoXqfb+sKWF+yNPUKXmJFfdUrxg0eL8guNn2id1sO7F7VnHzMrj8Y3
M+Cy0baH3Lc3rekde1ld/DC8eAUeWSL5QVheOspGzYIK+tF4ZoW3C6mO9qZpofHQj/X4Umggsjpc
Mc28CkX/6kXNTRh252CYlj3OZUmHK+XZ0KzxZHrfG9rA1xnFrtRxd4fZc7/4A7XHtnyO436vwWzr
rQY44oxdMV5l5bywy/p+aiZWBWN0DSyHHCDVA7H9aDXZbp6au8xt33NjxFCTX0K/OvV2trPm7pDV
066rqGsKwIfF5QV3ASW53t4M5J0TOuUCr/uudXLcp+lwTjrKCPQJCIiffDELeeeV9jIk4b1IO+fa
ae0pMLLVHPT7eqZY19HuYm/c68J/khmNIZ65tnN1vNMn7Kvm6tAX1dKB9xG56UBEqKJcfWLKKiL7
i9PTQV9W49YtLUapsXw2DG412TC+wxbzgkVdc9lcN5M3cLdr3DrexV4e0q5AjdBVzvMIAoGqZ3Pb
19jiPB2QUq8MWMqJVVQdmxMA80nRlofcrmEXKeeWnurmmdLaftVPOkU/NK/Q90q/M8JUfGfoxjYx
QJZR1b2Lc04xSsfcNT/SvMyNeV7qykHGzEMEXbnKOuUvgwcARR7LWSSnatV67G98E/zprJxpYGgx
yWNWo5xLUBNB0CDGyBa5E2V/8fdBOdw8zXjQOKoK11xhRbrOhrWRWOKqJhm4ZoEMwi9HsdIZy+uz
BjMnPtfKV8f/i8OONRn9IME6Uua7ArqtcuOVfdPyrMehB6uFYu9SvlPnki+E8vGVDWdJw+SM95+W
aRZbnoYBq5dEiXrlBEwM9wNl8C2fjEcLqyDfP+b1QjTLSfkIzRKlEectjLw8Zp5MWE33ZEFLDIim
G9FOkR3oSXqS4/QdfeUQY1iEwQpfVqMNHStjNNOHnKXVhbtltcmU39FQzscCC2RehgEFZkmzNsLe
RGszsSno+csQz/yWq+ybVqjs4sgJ6hBK2cTJuPe1dBsLGu+9uSf5QTEWTcbXSDjv+H7fR1Zii3rM
eN06NkM+aqoTprSHsZYwKmPjlviKK9PY+oXx0tI5vuAxRR6UVrSgaxadHb1Mgckn1+TXyK+ylU3s
BO/mu9bVq8agyGD0BcgP/9nE7cZQQabR6HCN0nqNodMgP1x3nOTlQzgQnhTxNAGg5e8++v6LqZRo
v/QdXl/mhio9cmzewFs0SiYKw3hb1oNLD7Jpfkf6BAnoB96ioxwnSqIB83+1p17e5nvrD6XbXMcM
jXHiyuNm5n4IxSXEVpMLcQC/By5B8+itIYfJCDeeklDcD0F7tPLwQZ8csLExuAOaVhauHMyVPWqn
iDKyRT4lj3XItBMBzVqlDNrdfRgm+aYeAESivvtwpqpWLLW4D/cS4yOefbnIhattoWEQL8khdedN
VmzoBjo0ycR+p2HloI/pbVT00X+zyG+zCJf0f55FTl3U/J/re9SUf7ev5MN/zCPYQxCbLEwZBh4R
8vb/21cyj5gSqZP1AM4S8mb/u/5jD0GMALbDJZVdp/eTFCZ/AcHDhzGp/Lbl/Bf7SrWN/OM4wi6B
lalkIiXW/+mE+0kIqw3clXjtgisd3QsW+5H8rZvh/1nwS779D19D9Xu5JkZyqiDIcrr8UH9cMGR6
IbwyncYLEI09iz5vQ2l1XG+cbDyPJpkSEr1Ts+X1iwqnlZTC6a1r3RvkbAtWbJ59dmrHa3CX+dUZ
Kd9FB+tMuzrbtibGtWwA7KxEqUMFbAaxLspBlHiMMwDrjCvbEaPdtgYssB50W9/y/uKkK4Z4a9ol
YaLevomdPNiW1C2uOtwA24hePsrE6yLWtnlGEfJ9Xs/h9wz9Z2P+WuPtouSvvV/rvb2Uf1rrJRHV
dfjZAU6Umj5wztvqtiV5UUfVvJk13QKtGr6YpX4MxxB/ApVciwQeh9lXWzqQT0Nn6wun1S7AYp+s
xHyovOa+piIMYvuTbWXcQ+wKGS6Sp6qmxEhWJyAYVKQECcwUfBfBaB8HPV0wY7qLPii22JUFFB1i
28V0qC3xWsYxgJDUUffQ6lpHdrzjnD91o3gP7QSfTUk+X/o0LLmpTiCIS83keesJFuCC4k2D+jDg
7+04WlsyivOxmspj72vbMUt2rcYKJ0utehWZMyuYErdPdM5YQ659E6gOw912nuu9X0d3bEg4R3Ir
XwVawoCDdyegFSBvRrYoYXZf1O0xNEmOaJOwv059wnlYB8OSZdlmLHmpUoi2ljgfGTzyFcHv/VhW
50GCcdJRbRYJG1rq6Pp4EcTWvSWnYmGOEp9KnpOt8j3igL5keTq158rulXcBVAsO/22Rig9pd98o
fHHhXtvZ0fQyKJIhZoLbMnezlT7KyOLeTX2rAzjYY7m+bVzxNdHC/Wxj4tedx5bNLrqUvXCnmumM
FjRTP82Ze9vn+cbDEw6jfK1q5TObIlIgeFt3aI1VZfKLt3L8QqJ/BgBc0AsbrIj0v+EnPReCBrqo
Hg9WKm5mPmmvg79z0TqlToZQ+2I0tLdq4x7X/cn0tZ3nPI3+W+HOB5gR7saKg3XtWI/VrC/UYY2f
hV2y2x4lhfqWMd0EfqwvTSMht5R4r2lgvJrI96t60E+eRIcb5BX87pTJcBnORKWsudo4ofbgjs2j
THrKVCG8WGFwI3uImeQicdn0MIWKZM+djGt8rz+VWvjgutmjVhbUEbAvYFY2nPFQedphHAWRzNg+
ICNsUzvlaHWalVnowBs72d7JIT7w8x2tWLxx2hNINVPIkgVUI4Putgtlqslu1DLjtRhc56VxC9ot
x2nyH7PWT+5GH/V9HFOdEKVPg1zUYhTRFIslJZ0UtoCCKkNDWOVtcepLK7p0cgbvlNa9T3NZaat3
GI4+VGdPjYSV777PGAFWoWU/aUwn676xuc6U/poIbk8c1Gt4MZu0OkxdegR5TCUGPq1WCNp7qqFa
BX3pLnQ9PkLpuM/KZFjEQ4HRqGyCTeLJF9sGzGT3q6ojVe6MTX5wudmc/RLQ5zhz0id28S4DlGab
SgbecmBFpfUggpIdVjwl22AKTjHJeUDy/i1khPdu9JYxMrEbG9UCu9e9z4bRNMs3aN3YheNdH7ff
nXq4ptYc44hiGWYO6asRd5vQdt64MuLoabAO6Kx5/AFXVNvk5NIcyMe+tZqmiJoCZx1XxrfMbkfu
HATK8v61J1tq4TVi4YdpoqW0o+bPnLBx9Z1nPW+erI5LqF7Q4DnG92M6nXJv2LUVeRptiJ+DcNpH
A2/RcTz3oL+DzGfATu27tp2vJDNex9C6FNSbuLLHg1jjKoIC4QCV6yW3m5EtJ38NmhySt7mKaAuJ
7a2MLfKzKVfV1o32QTOiWkG0X8aWfU+dEr/BFDBrkDsPVR8dWtOmxzcSr5wE3NgKSrmi/IaBsN0V
cfBsTTQUmqLeWZm55nFDFHKEDMVPn4XOCSTZrk6CA9a3V6/saZIrlqWbXElY7aBFLhqqozCkJV80
F1L3EO06WFmLqvO/iDY58LteRfOYLzzDO8huum1Kwbcpm0MstF1t2W++KPc9N3zZ9vc+hDNMOfOG
mFSxyLBx0T/z3Rd0EExAvgSGyIUxR2fPSreVXz1keUtgMC92fdBXGCQzRTwyV7FhQKmK3my/OIqa
iwG+g3aTZ0JfFFION0gT4cIFN7ZO3PolF2Gw0YR7FezBkASqStXV0usajtkGa8LXKNUyXFmB9oL5
g9cLhvP1RAxxYcoo/YYjzFkZZhayqZ6M8xA2/vef5rP/nzIqz5MmjdtMIWTWqDb64whCm6DOVtHX
LnEM7ugp8d6l9W/7rv70Jf6k+068iu2EWMxFgCfHrtqV1zG++ecfQ0kx/5vW1CSlfgxboHLTU26Z
f/oxDNqGKMWNgqsYOOWd69yCh3nQtNU/fxn2YH/5MvSk4rOi7VKlMP742wqKGLxi0gfXDnJYxb2z
wRisVY+dvBnQDuyGi4/1KzLhv4Jdk9/uP18lzl/aj7+7RPCBPy4RBr32rs7akI2hKzAP/3SJwL9g
EBq3HM9EL/z5EuH8QijGQHW0bCzo3CL+56dzftEFCUXB68gDdPTv+nX/conAyo43jyJFJEnH+HNc
pukGXGj2NFxFcVMHcj1RjPTTL+Vv3r98pz+/IrHPcwlhZ2rxE6pKsj9dIYidJ2bndN21kTEP9idN
XD2oX3Kn+7wkgViv//nrGX/qZXT/8hXVd/TTxUjR3SKeUh1onU5jjgvoP50+u1ALVYs61IV76Fu6
uG1VmtrYGzumB6LyR9+i4qjlDFQlq3S5GnvbhFI4VbAo9Ya2YNMNT1ZBFYZrJMuyFt96LfnujdoL
LMCbQjckmUdykHFQq4oougBMIyTuxhOUjqgooFXV3jY43TeW5Zh0EEbF1p/GHNEjAltXM5hhiYAp
hW9fG9xl2UV3LotiQg3Fwon6k1b5/JXiaJH5lENVQ7uSEyX99nDrU7DPVGDuikK/6akAIqe1zwWg
8iQOjgU1XJ2pPdaUFNBt/NbPpjIa7npnbtZ622yjlm6H0j2E2OIWoY09ncscru1wOhedM987LYkm
QkxEeO4L8v7YpUvCPnm1qzBgtbdzKfkXXVaPxTUN5KnlOnnBz0YEqeGQ4s5XgSF2TzbmFaCGJ7ji
+zHByOL5cAqTyzTbz+Q18RgTj4FbZm5qI/oqLfEtpaJiPVjyPJYSS7W56pPy1PrDuuum/WRGN4K2
tdznnB2nE7HcU+fW9PPOmVgG1nBsevFcgVOQEnZ8ls+PVkrG3c+m5BJ1+U2etFTJ48eYk4Mo8FGO
pU2ysMXHjzKIhRzVm5KJdN3EziN2HYxlmgg2RlZ2+64bWhL4Bq0uUTWd0qmwNrjkjmnGpnC4ytC9
azrEZx1LEcjDeqNDh/PT6KbLtfuhp4AKKPSiUCH9yFs4WfvNCbGq6HZ8a+D39rqso/pKhzxpr0Cv
3bZdweMcK6Q9yO1Q9xuBv6TlSM50sSqK4n7O5U3mY0IcRpoI2jTp78YpvLN9fU/h3Yrm3xeJrX10
rBranWYu46j+ntNll8GQM0ktzzMivqSMnz6yDzEEx7yzV5VEB+MJBksU7i5JDi76A6pqcBNG/Vla
MWXw2XYU1jp1kGxH/9g0BbMNXgJCGlajXTgaVwbYax4UtxPQeWi2LI9NLJzkkJ9k3VDeBxapSnIc
hlY67ZIBDEOdktJlt4j9RjskzfxAfIvEd9qykC3u456ilJgTrSOevOxc44vXxV9ixz0XVRovwMEl
y6HBBOk3JF4sv3d3n4+Z/w494kz/fOipVnlSV39jnVEf+vuxp//C0kwn1Umu6bNr8nevHyeiQa8l
RjsLn50yhP9unVGCnbRNTjz5WfHE+PJDy7PZnbFp82yWbb96cf7N7kz/i3WG3RxlUZQgWBZfTX0T
Px8Sjh7oaVpbxdVwaaelQw5z36B2zlQTka8J9P1A53dqTvs8yw3sNHn4mnnOgWvxxoXTXqRUoxAc
jC3tOmv0nyDtgDl0ilMaOchdUf00Cfniehhk3Ib7tKu1635KHn6lQrYzikCAAaWIndsxMAH/1XNc
ijWkQUB5mKHZS43iAgekhw0v+22IRL1MyFyxM27h1+oexSJ1udADPMuYl2ef9BjpMvw+9pCtsB2D
kIaYMU20sNBYZq3CsR1XfS8ee/zqDn1+g9E2SDESB7dgI27V1ldY0CH6Op+38pTzoCfbj4yA0T6P
v3qUKqwnHytGR50+SiNrk1z6+7TkyYA4ui5yYkg4n9OjZWnDCWq1p9rg8qWs40f8dFy9UmreOcKu
1BIsLVUVM8xyQyrlgVUb3TRJ9ahWmmWlD9iWoQ6PlPqZla/W/3m3yrW05KKMXOapkoOk6s5lGQO8
mYp0M/caAX3rYOXGUxb3dx4FLeqmay3mQd85JgCSKYm+9WhbQT5fZiPr0aYwnXRx/ZK22tLvCsXb
KE9d6MJiEbQnBzhMtBmJtUh87pUFV7Cyjc1VatiYwe3bxJ9C7tnNsDLmYF3hS9jgavlaGTR/IpFd
DJPip0ojm5XBOYmujCVHE1vLMpPNsep5zfhdc1NFdruAC6AvBQuHteT617C1aeJuW2GCd6wQEdYr
tCXN9AWmx3yVlNq2jrWbZCya84xRlb8eK5POte+4Sp1Z2ipYbz/itZLO0gDBizI7R4tUtg0sUAEV
bGCPFTQkXYGp9XF+DqT/NlX9tEk1dxuwWl5ZrXiSFU5Ws3IAu2FRr1qbdEFwG7BY0kelcY4IcN43
3Cslu7yG32Fj7wkR6Qv071PbNdeoaCqNnJCTzh/TmCY7B43JS8onGqoqGr/AoyjVLu+S8hC33muR
iLvWqimqn7Ch0pM8BxvmsVXZDAevJb0gjGORhpeoKA5j3FzyIr3pc3ZBtNXTzeB3w972re/s8zom
sQEPTdT5Dp7dvJ/vDXs+BxWTjZ5Gw4ZKBMJfps3XlVt0ue2g5qGJwWhgQKqt10bNS1nnPeac1HCQ
jrXKdGWthWpkLgJyXN1sIG0iMk1Wd8vDDiGKZCIgFJYMdDf7DGxm057I0rP9ZWFXMNI5uqO6T+5n
uk1p/mHqC9X8Z9SQUWTm5Fsv0BmA1JxoMjDSAR3sKjVDGmqaLNRcqXW8ckDREylXU2fG+Okyhjoy
/14wlmZqPqWD+2nGmGzpBOJGNcNaapoViiWAxv3uKroABKszSE8eE0LcZIpA0CkWAV1DH6aiEwgw
BV1DR29mj3cEHsq9CcqAbc+mkuJlAnFAhezGU8yDjImZLQ4chLELnnNFRqAKZVO6E3oc7M+yvvFA
KAg73sxqjLGAK8SKshDZya5Q3AWM0I8uujdfuV9isXzQFaMhVLSGuYLbUCqCQ6UZ51ExHRzgDgyk
u1HRHnLFfXAAehqKBBEpJoQFHIKflSVR0hC1iKovoSJItIolAbVwTUr9e+B9jYj9NCAnEn4nnAMA
qRWNAu/gDVHGjVCcCl8RK1AfaSNWFIuhj7dkPbAiKMLFBOoi4tO5in1hWfSiA8PABJcQHoePIRUp
gz8ozAxjvFMuKD0rCYsorgaw8B1sU3bMrGP2GDmXvkZW3DyGqEcE7Z030czRnsfxIlDQjkCOGy2s
7g1oHrbCegSh3a1HdPeFB/MjMaA1aY25xU5MLL+qsO2hgeIXuO8ghkiFDtHMatvBErGS8sLCMt2X
UEaCdrwTU7HWfHNi5+McC3gkmq4ND+E8dZsBVknioX03jnPLUoyC1nQ2/9Mjf9UjJZugf1giFOmX
/G82COqjfhqlQMTi7nXsHwan321Rxi+kflwCCzaphU94zw8Xsks2gpQ6HRjIlJiqGHB+jFLUQJnE
GwSOR2IVJrrmvxilUEP/cMPnZk80QxV4YMKyoIYJtfr66b4t3SyuZWdMV7cN6hsGi+wu0kvnpUil
cZiGJHmd9NbZuG0vzjxBfN5FfbjSrR6Dpje096EoUuQlPToSFPDXjtbWmEmqkD29uKQKTNWrghhL
VcXgm+fjexYtK0ptXGJWIEw01zuMxkzAog3bnV6aCRYEQeooh3klJhayNdVTb1kYBgdurzM1RG28
MlSVTQNZCH1qevKMahmm5pfJz5wDap67aQttOOaqFKcuhnE5qqKcMRVX1hkFbJ8kWXp2Rb8gvTrs
4lTJn9kiDcZzayzoOv4oJ32Qt23O9nSeA2Ureg3HwGdQ65eROuxAzsGtzpO9MXsUYrPVuwn0gED6
dIg6s97IMsfAXVEBJFpt29rBTENuZx7CUDjrlCFL17Ahc3X3VkQJ5DZJc7nuDcPf2ToJvwhy3KHK
SvYCRX8718DSyhS/I1A4zJAWgYMEj4gReJfYtJTSwW9H67TwLoIwASpM168NRZiryRnKfRU2B+xd
b4Qk8X+CU1ALhnitw/ILg2pul2RQwrU2gPpLFfTPt/VdTFR8UjjAES5g9gkIVKhA4KfxeYQeiC0M
R4gI2HUrtOCQM9/CGqRn/JYieHORjOPWgEZofBZRS4UohPx0hYN3U8AuFEHjLFNohiVD54iFmjwL
Vd4KeGgr9CH2ioCCdKtcOnl2bEz9w1KgxMYe7ntgUGxGCZQnCqcIgO7qBN6OFoZtD28xHr0zSvQ2
VCDGWSEZbZ9gtc/BBasxmwmR29AbPUmN+qx4jtiUykR75MJDwB/iI+E+/gsMyMyo380BFcCDDomt
dotP+rFS2EhalSiBVhX17SfzrEo45pZsdbuv0lUyiGkhjvnFePKGHF3KocvypJNS72h3T4tD6fnm
yqGP8RQAZ9//d7n9DIRILpT/9DCms+3v7rV81O8PY5hoEvMiTzzrNxbp7w9jk0cuaRCkCva8ym76
+70WTKmFQdPjVqsunOrb+Olh7PDgJHKm6GtQaP/Nwxh76x8exmr5SdcxnhAVWQGLavxJZ2DQT8tE
xOKKnsILyFKvJVO9quq4W/cS679Q8D3NZ9iMde/Jb2G5+wrRx07yvc3SewedgruLseraFis0XL9O
E/sGzl+igH81faj0rSOFKR5gYupvgyIENgaswKyq9lWPoWuOrmar7TOe3TiZFnoNZZBNDfP+RH2X
07i7HBThPGgrh57edrALuhfmG5x//pLJ/M4wW9yhjkYGL8e0qum8VbQHTTEPfUU/pD4QidM+pvFL
Ch9xCPCHxVZ81yh0Yl01EAatY6agijHFbJPCLIpSXkNuGgsBgXFm+9vn3dFt/G+lNxwjg/IThWyU
Ct4Y5D6GBHCOgaG9DvAdWevpXwCtqXY/dzU39VMECzJw0Fd4VlZLxsnHEV5kp/JnBb1zSeKeJ4WU
1PkZfBiT0Vx+aRR0sveTaD0oEGVogKTMYVP6ClJZo6xzNl7ZyL+hv3JbgGc5utW2/QRcIoEtekJ9
LuwAktPXxOBqT4PGrhvAY06z9xTb3qZTDv0+3AoF0mwgaqL6EZeAsUkaghwt0M0B+mYUUqbfG9yH
eRQ9VQrRSdvMizUPR5oWiVwoiic0T0M3A8rYYbuF5JtziJ9D07VLHQZo47MPbqCCGtBBhcKEug4V
9INN5wStUd9IK9wH/rSl+Hhcc684TIXxuYP+GGWpArks3dtn/t0uL5hRZe9yszHQd8O4vcmbOD15
Y/ZgnwqdkhXPwU7I+4mKCD9cOV3znXT9Lnbqrc2ps2y7OtjwP571rlqXRZctREJTfa8193pfb2Mr
eZWTzq2Kh3LpWkd2ud6yLQoavvLstovDaYOJdCPbOV1yOK8nZfhFzHOJ6dfn0kvpzch80piTuTWC
4phYcpN6rGoTBhKZDIc4bONlWE+XmtwgW9ljC4QQe0vkTF87UBrPYd6qBiwPb49NZ++dUdJnHCDC
ZtqtoG/gju5Xwpz6GOGtFhv8KFRuG/73JBg/fMsT9EGny1xUzsHJx6fGrt/bhPhOWRS3nFtbLUxu
dWZ53BnW0sT3UY5UcZlOTx2kqDeu1V50M5X8cBh7HLzL5hjvinaU6/D/sncey41jadq+lYrZIwPe
LGYihl7ep5S1QVASE957XP08R6ZKhpnd9VML/hGNXnR3SgLBg2M+8xpX79Das8Zp2FYQNhG9Rydl
oZnDGoGSGRSNPxHKn8vOcMOLpm0cSkjISMdp4S/9SDpIqVSYwss2jGeO5K7CZFhENnLOPf2JQR8x
YalvlaIEaAHQS036RZvY2CwF4TH8SpKxSBX+H8uO0n+SJ7yQ7zV2RkPfLCjLT9ukwXQXYe0otWZD
Us38wLlLwpBKTOkD9MAsCVAAoLTEBDsakU0RMSL3/VBRIpfrYTr0FlByAiTQuCcoTR50UGfp1yPc
rHYd7xZGGBo4TVU+NGV7hvPerAr1aznwgDMM5fEYgbfSUW3QI2xmZRA7BZrXC+QHr4zG3RSm4I+0
yUGNjhFA73aFlkM/lQr6Hlpy7spUN3zAHmFg2BMbtylfb046Kz3qJTCrSYQovGf/iDUEyDFVhac3
KdGbcazmPDDbW1nND1xSPgTprHkUxux/fSpNcjO71BqnngZjeabLaCB44UoAZPOgPXXN8boQ6gpq
feGqzWFZtCBMKMb3SBuMo7owzXKuScoBQuTtDL2jkV1YWzhGfSSn48JOEVdwgIoUuXwfu8BFarX5
UwOXPu3gXhyADDhXBDja8y6U0T52bLxWxlEKFubYQUOL0GzEQTDKPRQwpEAA6I0GCe/+XIulRRQP
56pj/0QYGjxCDhy8nlelLS3gtabTDu7zUOfntWXfoILlTxMDxHufGA6maGp8F6GsP/Py9mdYNcDw
5O9xk1KDy459h3YHiIdLijEzlZ6G4cHuapT81O/7RRGON5Gigs5q8VKB+FSlxkUpuYgWyc4PySxv
+6I/6hJUkKomsfAzRG5B8Y9UgMl+b5zhq3Kk16I6qA8HUP0IoxW3GPQVStLR9zbGo2ymSKmykMa6
m9q9PY/l4EA1hJtzl6Cgk/mPOjSP2dBm/awqlbUzjmdKCdqEcAGBIlVZ9NR+gcNjVFMTkzp1dAKs
gu2S3uAMB87bLFTPM3xfaN+ggprhquJXDyi1zGjLUTUZziqzPxhV9q/Swt4IcN5NP0jf8z67jgMq
EV2qzfKYopxNp7eNYG3ro02/iDg/bsLmoqzDYG7gvrnSU5nwmZoteqAKYr7PTONfIkrV9zAIkSua
4KzA+oGQ1eg4EyO9zRVRHlT0AbW8M+UqmdwZi/a8mFJcmjrr68vqBOTPPJvWq+AYWaiZv8oW/iFC
ReGJv/xPgPsU4BrEg78OcCmio3A1EM1+EAASf/YmwiUWJQqi00e75Z3JhvbtCYcjpBbUv8NbHTA0
oqwWwS2i00JZ+u/w1vnGv8sIfCK9B/DZ+keMZ0Qp34W3TygCuCTC3Iz/IoQVeIY3tQYJ3UmzKKrk
PFVyXT+p1IYa/9AESM/QKOxUB5gg5QF8XvIHyut/jtnoL9ltr3Q0AyaadT+0aBzkjbcqaW8UeZCC
ISNra3TrVK6VAng+lBiKCpgMZA5qxt4ARBEA4cTPvVNJciNB/qhB4mVn1VA/SiLTNJzuUc+lbO6T
wjUO23hmB0e9PsLccsITKS/OSzkzZhkSV3ANgAXiHRCj/VzC0xCs4Ka8b4N6gTbasERh9V7qlYWP
Uxm0E29lWfUpenYgYyPhE1J0PzBqv4nrIZ6GkXKlGfWdR/axxNAL0jSx/pkXUMyj5VXDgYjKuTJ4
a1RTsiXyRdAWCFqCQD3L9AJs7Khe0aovJjhGXvSqfJjIxkavk6VWdutKD450Ff29UsIgnc42Omf8
trNK5PIO87WDrKc/jF/aXVaZd05IpkuZV9ceKsd5KNXqrByDWyPrHyJKRIDE5JG+lnmO0DdlcqNb
JT4eWGEt0XiWGm9Bb+YKVfxT8LCnIy2faSiDWh5UhPeNwk4OQqUqJoYiXNZliOFGFx8VwnTDkHAv
9nrlKPRNb4mbh7kovPgEFwx5blf9jVlJh2pHWItB0aGdASyWneQsH3RnCr3VPijzVF0OdYegQ5jN
SnHy5JgvLiPLL2ehjDun2br93GhUGWIUP7UGdQWi+btrW8h9Nuem3ACfSWHYSU6xLDGBAiQvlOyo
7FCDmfR1501wsAdbJpcHKDhj8a5K7hLAmzvtsvZItqCg8Cr4zfI+RCsb9s05Oc2BFxJNmGoI4jED
CauvHAUwYTSaN3VYkMh53zEk3lA1lAhV1WxiNKZgmTj+AvnvuzQsco4XvMGs/FZqcAuJq+5GciBc
8adozIJin2ttdDVI6jDXVHymFAUedkUzPsjyEzbqs0iHxVQPPSWtrANs3nbzHuG7M6tDPFYKS3sW
ZoE6BXW86mqoz5FW9uvaRR9arjBW0kp0R7QovG0wbIqDG60WGHcyuzlrbabrLWp0tVUvUzzMSGfK
fNUrqjvVMvkIm7AT6NqAR0KsEkZJuoBk4GN4XACoVZPTIIXdi36XieGnBljYG0mksnXUF+gUaPKV
rh1Kw89IFqRmD/lxq5prQx/OfN+a23r2HYbnT3ganNKW/rMc5R9O5WC/FZ/mmMWppgJjv5L8uTnA
VBuS4tJvqnWs48gSDAfo2wLndDhu6dFSm6cPY9NjKO3hp1qVf3pSc9Rl9UWcSyd1i45ikNYzWPcn
mkNHTkGNE6h4p05CwaNvHB+7urr+mUtJAtWuE9bm1jooyj+pGcj0HKVoomY9vNHORpEb9wjkPiWb
ZjPtZcUpJojrVZM2Nh9qxP/Bj6jBjA35qJLKnj4eUo/+2B7WrgbnufQuTb9fE4+SCukRndeiiue5
R9uj0ouVmYD3IEkW6M+r2sBHhvrkPO4xcIYWqM6B4JcsuowlYZsYkJHDZ717mgnnPr1x+6kleVdY
9pxluXPluPpK6wdMiVIhfTLEl26OPbWnFAuvtuO7sqvwAOhANeEwQLdDLGwjvEVAmvJa20ULtlV4
pap/36cZ+ZAeLFBYP2RDvxz0rF0VdJxnHAAXuY53TWAY0EFte+kTvE/bStMnhpldu3Z6CJpfn0ZF
DHW2vQgMndplCAQ6gPtuZaUyR5aTv23bKwPHv9WYNvf0eVE+Rex9oqaqjyB7Ac9glH46usJ54ZfB
0nakC/Tb702NtV3Elk3nThgq9miSpYjBAyXFOqTMijukGd1pbYPxTYYeLS4VmK0P3WaWsWcbeSov
Quq7CxQd73FFu6UkqE87N11g34buAa98wnFXTjsNXHPdAz5yAPRNzTYwD2iQI4KsYxEAfZFFY1Dc
1dsbf4guOs7EaR1S4A2MCudAy/CmSKoz3WxUs5qQf4MEHxzn0gh7UkcwVqJDCb+2Q7uog7wRmTdI
/yxhQj4amXEeevmmp2OGsk0IuJ1SbFfCgTGb9Bi4a3FqGSPKBTI60Fa6gq50UMd5OdUHtQFlLGd3
gHLig2osbjSVhY8Nya0EhxOFn8euiBeOG95w2MtHgQnljfP/oAIpS4Z47YzRSpOqbmLBe4BeS4N+
0LuVa6DxCfNokrUksJRo2plqWQ9Bn0mzBMLQtMjyEZlV+1JBdHRuGD5UO4DY8zxHZbuNG/dALoe1
KTEZar9VFxRscIvDkch2pcPA89YlQEiPRBwoUQ5Plpg7tfLzLAJylDmyN4cT9JCHvb6ASPpDl+FD
hoV5Ljfm90w3l24e96vR036GcmexxxKUq2pJR6NP/YVpwY+ozSqayNnA9AsRR1KCwUEtVflhIggB
IiOYA6lDf0hi1/YHHLrA6XdTUwrXcqqewGqk7BG4IYAAdFVb7PegTy6HEaproxlQbuVoFdLWm+Jr
yHknlNwKFaGRLCzjuenYj74nIQJie+UCOISMfV7bzjIZMmU0il3VvCVNV9DQQ/A7KaRrNItuSodk
Pw2cadbFSOzBifIaG6O9KsMQSfevahPCrxvXBw2E0GkiOzd62px7cedMaYF38ySXIOKarCeNwmHv
SfEMXMKBROQkdM9lMszqPvcSYavKskdnnYYl+EK5m5LkbzpaxlJu/jRlCoFYxs+shC4xJKyflug+
q7H60A7lkcNJPhks46HCKAudcyQkPOXQTbUUGA3aIb0Z3XoJmihFj4CF3ZjTUEqoJd7LtndMYIBZ
ESYVE6UJD3NBis+bEB/kICP1Q9eJJu8PD2l1+NfhtVICxgFiemkllC/UJDvQne62J+aCdz/Cr8iz
dF7UmjcFHACOICr4OjifTOwODhj1pyMbr3vbHkSxr4inrLuf9NcoX1FRnXuRtpDb5i5vWbp+qVxg
PVhOmQsnmhnU2GCE5QTMxJUZ8I4MC+B/5vfs02V6gqANvFNTP1Ts+oGSDOXQoL4tep89qJFvxjg4
7If4WtVB9ndQUzJLvm9b5HBsEkXkYCDNZ3FznFflIpV7eyIP8KQBMuEYYYYbRzDWW3weUcHcjEkJ
Mx/vKK8cD1Q1vUNEDUOR8CZv6bVXRHlWxNbnF8xM38GCKqO8CyvGWsp9+dP0CemsrEeynpivhcMU
UNFtrPTAxWkJ9uwaEcv7sG7OdL1Ag61WZqjrLuCSc1JqxQrqxmXvK/PeoBPjFtlVX2HIrTsHjiHR
WQrxqtKmQ4CJ+aDBEcH6DjL3MSDVA7xqpjH6ODBtQ2WYFp6lRhdxOpp3A6x7+7SQKBdcxEYN52MQ
zXgjl/4Dm3/ueBv0HH6TgzbMnSTdbElC+bvXJBTqreIQZNEUUShkCGj8X20W+Rv8CbrhsBwQAnkr
2m5/08k/OTxVXL5wSSVFfW2zWIhyKQDq0Vo3OSHB+/2DnrdpiDrFGzqHaLPIsgkQUXV0kIyOyFPf
5KFKa1C7zZLkbDT8Q3r3VLCx0uvRcx4RH1q0BoE4po8neh4TyGj6Sm6UZZDXZ35D1RQoFfT1ixQa
YaMph12Vr6NG/+FWdEDT+qQflWPP0Vejb6JdKmXD1Le8HwDHL1rXjeZmkqxpJJlTVIyggsWoI49o
MR8lA/iXOPKR9Enq9DbT/KOmyezjlFKk7Ys6OifXZKQjUTrRvSkZC81VkL/KzkDNEQc74V2ntGiM
puaZTfCHnDWI6AjFiLPGzB7NLCOQ6El+R98i6m4j5cAY7OO6tg40N7kmut5Q8j1BM0GUDq87Cl4Q
9LxlZjZHpiE0ilrzzMisw7iGBur4xo0G/wWniz8731xULcKKJS3tSefY56iCAqQGR9lFp2EXLnJJ
cVmEoG+QVUR8o5RuHYFSzMZ8JhvhsV/ieSkkUzUnQn/ewNc6iUayaNNJFlLo/Nmj4260zbHe2Nlp
XlyAUlwkHLODhTeQQetE6y8HFG7xogsmGlU6TQFkGUt3re7emrq8MBvSG6ft6PbHyX0woAIsyfTJ
kc6dKH14OrQMXRE1F3LvEpdGZvK90A/MobJrSgw0uQHRtaeejIoLPRha3mY3HZr2ykcsmP+NYxXF
5FldpN8bHsMFMzCNAg5pjIqWRoCSV2krU45oUIO8hzDEyzuU7XiWDTaKRoN2GdjZUde5j3qBMntg
mtd6Zl5K6OZMpdo8drAMpxxgQQDNSfyD0r+U6D0ZQN+gNBB790V4bbvpA6rKs9RNAPpEj2Fafvcc
SstUgwgM+VKr3FU6hBRQaqc37U0tVV1oOoiqwKJzhzE0mO1mNjpCViWiF9KuIhXfurTpB5y4m41t
GPlMN2myyVZ+l2GB6dC5OPYNRruISQi8DLhG2isAxKuyp4lCHXTsOSJNxclPAD1Bgo3IJBoibpkj
MAtoDoJgsyEZpM0kLiG9gak/VlAcg+94F5jWMdSUy7TNgqkVoEopKeO4TFIi/BTDz4UzcOaBF/sz
T4sru+XFG503G4zxVG5c3LwlZaa1BhIv9mXTuatOAz2luO6BFUm4MDLpoXbbi36kRF5ikQmgIqqo
/MIgCAv0VKRxWAPvxYyxgkQaM6KTGjvhupVmcmRSm6HXpMQgQ+GOLZH8SOZDdAlBFst4UnlvXKOF
ta5b89rr2+soBjTW2+coBgFv90YyBZX4Tguk73BUCWUhcAqTZX9ozUOK6rgRKOAiaEuSlUjDmvc6
HOqVAdEe9AEGOdpMlfSN2lcnsSyd9HKNtJ09pHNAM2vgoqshr41pZgI2lK1AGK9Y1mQoCcLVortK
rC5DAaRWli4oEoFd4HnaOJ11DTOQf/+pxogOD0bsTnAxtcg4pEuqMpsqYUroZhIQeVg3eVmcVjHI
RCQTN3kOFEPqFlVIriSpsT7HhIGuhRIufHksj10FrEeq87YZ8SPcaimHpMympk5/6Bh/LciWYaYH
tkOdjoAtHryVq5v9KlOGdWFCuHHYGomvFwU85CmwmZOx9s8qYdBN3Rq0S6Bd4VXXAbbLzotKXoJt
us5H9spMuVK8Qp1mow3MJ7PWHuCX3PQPVb7crAtkc2LIzY1kjsoUJXDhLEutqTSY1FHl/mjN8UdZ
U0eodG/lxRKG00oj5I0w5q2bq9xWErwleb+aBP6b+tu0s6DKYlp6T9DOVoFMju+csdEtvcIHDKpX
1yjDfI/U+rYsEMWJo+ZWd0Z5paidQgVARfi4CukB2r4xHXxh9+7Bb0Ta56CswqvU1JZjjlCUGyk/
uog6hhOHCyN2QtRXactpuYm5gPq9NS+66nB07zqqgb52QVVpQhnvO2HzTYCiALrq9dJMs1M1p/qZ
x0q1kkNzo7DRz5XeOSdRZWlTfl1JBpGgZY7BPLYC5Nl1fYYx6nGVx5eto66sPmb7DfDLHJQrtI2O
/GwYJzBAbq2amodc1IdFfdqaw6Q24DV5tKJgPwWzOHOCpVqUsFTK4FYZxiXA/vCY0pGCdEN54gyW
tABWHS20ug8nIyVSaDTk1YabzLvcO0SRWJpWWMVDvsk8CipDo6krvc82dpD4J11aY71K/G5YtyGi
dEvc4gSqtBiHU4Vqw9SveM8WFKaVZ9cYG7jTjP3r0K1H2hxamZ3JozSu3KrWD1rUweij2va60Ydh
OfbQDvzcFua8wGKxXlkkhnKi5sYBu9GhielLZOtUS2vqYFKpa98R3GSHaAsKipW0Iqw+1fXKW6W+
vNEGeQOs+J4jB6C7368GmWTYhp4LHkujDjUBA5XNoj5GShe1SsPzl7iJ0OJz6UWjK3wH5bddgtUL
5x1grgLKG1krnvWtJNr75pHHYOf3tXyo6O5l5ForSepU6DgYvOS9Ow2aRJlGsXzD8HOKK/EGwO5h
i9DeIkfSqqzMZWhXiINrVrrAcgY7j1IWloV0SJWiu0vrnjpefCVI2GZs3CQOGp9FSDVojA463VyU
AVBv1gk1sX6h1Pk1bLsHNtfzGozUFM3JcBqYxaUilQs2OJxNddBSjgJG3AeObyHVmZqA85wwObPg
D0wi10dqyYmGedmjmM++H898c8Q92KzmSY/gUm5idxhk6nrE0Q/IfIcsMJx99KFPCXLvyjI/7q3Y
In+W5goGg0Zno/oZUqhSL2m9HrFyV5YKpQz3nJsc2DOcq/ikUzhqI+U4cOsjN85ujVy5g20iDHut
20rtT7Ke1LYLHMrjEkJzjuF9TwZUkxWUDcfgsNTLEwpNi7xTqeUENqqlOWe0ZN40eXsy9v4EB8z7
WDfg6VNvrbThuO3tZgXOkcSxN08SxU6nZsJGKAFYMAKqfoa+ijLsEuTxqCk1DfIcwCETWl7YJcm5
Rit7RtVOgtNfqjM8mAEYC0eTTlcpzyfpMM0rBBhBG60qXaWMLof3VkcMY/fNuZUDSnZKvMw9p6qO
kwJ6ZKF1oHcsHLHR5oxihEgccmpiTrdmcRmxPerXZi0dmoGVLE0/O3CItgD15VqIgxr+msHkPy3B
55YgPbJfp2PfaQU228hcorX2VzZmkz2pmG3QkEMa5W1L8MlCS3DaDRwB5Sd68ysCWf/mkIkBRtOd
J2wbOdJrNqZ94zBXSeE0QWUW6dM/yMbe52L0BB0LkSaRJloKYBhd4JPf5GK9LHltWaYYaAmvKJa8
VyHDhcvUm3HZQmRWnsjzfyd9Tx9koEypU9GUVVXWxYO8+SAlrtvCDPWcyNBwbiK/wE07wfx9XNmg
BcHZ1WmjHyAJMV6B/8d4z1TQKrTJ3fIstA9xbXeOFCvJaTmURn9OLedSGzKyJHPwMBRvo7DS/mz7
wrTPO7do20WoAFJqdQyuzUiKz7owhi4d5HmmzinCNe0UYRJsBYPKpfASDdh3sgDlWZU+GLHenVpk
n2d6I+fxVMkBXywyt9ewU22gYSGjBKW4y7QzuVWM6LiNw7OyRsckyVFO951zTZE3RpU/phxKbiVf
W2hMpJ22NCQz49zgW2A6AYTBXTjJ3OiTA3dA2E+LkkCAHGbxUPz0sfumjHmqqPnPRmuv8NjlxIUL
9sOK4HQ4kKtOJCsvoRAZ5mEcgLpF8G4OTKUiXJW0n3pYpSvdRaEtrYt8jlgQgtWxZMzVzj4B53Na
pTCvRtVuCflGdVmn1s2gSHexCp4xC32QZXXtqdijQMRmWnDgA5wM6P+IW0DvUJD+vSn1Gv9G0079
y8prpXkDrHbu9HJ/pwMuZBTRz5hUEaVEXSqHWWiMlwU68oe+hL7l7+eYKvrXH6aYjnElwl5oegML
/VBXKIYSyWwI7KccQOuOTOMK8vUEPA6oiHTlIv8z8+bJ0poDkZ8Yh/pCm0NAmkb/Yq4/WTf//RzI
VWgC1I8rniFKHZxn76e60cMYRs8wOyW0PxxihOojr3DJa4hG6CA486J1BUnbhA/l2vKJZ5XuocI7
MqMimQ7WcOpgNIC28Phn3WfOolJpt9d1vnDt8U/LcA2qIxTX3bG/LWLUsdWywO+1glnXd65K9kOH
xvD7+aA5y04BquqiPqjbLnhrZzVqWMGjOqzrBiqaNSYrgQPMMUlXFORnmYZgdCbn867zjlUXrHWE
NOWsJcpIkhDCI3bRXe9oy8ITQDLNu/EQSVe05ITUSibjzJdyxESznILqvhxe/f4VA/V984aFEAhs
WBlFBN2hfqQ5HzYRZ1Q7J0/c8lRuk3DJRgD7tORslwJ/bmSY7uiFt/79Rz6Bft+9zQ+f+eFtSn2L
a0XkVaeFp/3A8AAnHi8Dx2qt9KSBMe3SxDSppliQx42YYi9NsuF4LDHBtiXjOAvsOzmgVNtW0k/s
uwjnihM1My9kd3wwvOLPpAuKWYFf6v83xgQvPPDZul7Pn7AyF82mHC43FX3I6vWsEj89z2jeXmf/
b7/0+xu9oHSuh3zz3/+1fkyCdBZUdRk81G9rp9BeOPDeHfBPz/T0wL+7RbymvdY8cm/N+qYaOkLr
iiM/Xew6cZZ6Lz9mG8PSQLE4XgGNPF1PH/hmjH41Cr//gs/D+fvf+fU3wHGB2OWdj5kwA/vHI8F9
3gwFeCWwTIaKScPTxfJ9NxQqGtUA+SFksXD5rP0bBPljvPfvTIePg6DKDvUa6GNPl/jp2/kgNG1A
KOOVtJ+DINSWdp4JFp7Vug2NCX8hcX2aCcgY0IKwYGzs6UTYfTUQ9zPRmQdiRLkQ73k3EdgYiBMs
qCHPk24PV8Pz23lGqP61Yf+LzfHjajAUVIbkXw2C0KZn+0TIiX1zP7eE52W6yyDAGYX56cAy3T4T
2BKgk8KJUpgjezkIyu6D4HwDvghzFtfJX+2LUG4VuF9EWHs5CKKRyoPtNhPozKLxLmC94vp0ONCf
tcXxoe/rIHxqUP/zE1J4iovWr/6LiIkwQYMUptBC2deZ8LxZ7TYToEJSChF473fHAt+e7rwwZ30e
nn3dF/XdDwcTfLuOfbtAFYjr4wkpQiUE9tAJ39fVIPj6u20J4P8tUa9QxQkhrk+hko7ik64RKj0P
+B6GCTzyboOg2d/QNzTJHJ7HQESgnxYF6BPOSCQdufZ2UTwf4LtsDIBtdJx6DPNX56RC/oACGJIV
e7o7voRyuwwCCCYRNcOKeXrd4n2/nw8UwakDwZd5nnt7uCh2nwnmNwuolkF5/mVVfBgEkUBgYmDY
L9HZHg7C7pmkg8wrcq0INX749iJoRtOYlbKv+6LQzdttX9SJBWwaHbR7Pn57/RsdEA2d25djY0/3
gpcixw57gTggNdGgeq0lfDobVBpsSCUCKdzTQUBmePeJoFNIEGYqzxdf9f2GSOIgNDJsc183RGX3
mFnFHUalu0P77On6OAiK8Y15wIZJYC2ufY0SlK8InW0Z4WkZL+jn68N8UGx2R8eEgbqvUYLyvFp3
2Bk04xtGg6K29Py6P0UJHJCi8IL58L4uCgEU2O2I0EgPkGPV0Cl7ngi873c7A4NAMokxpLyvM+El
zd9hJnBGUEygsfCaSX46LuVvBr1hnOn39ozYfSaY35joVNV1ulpP1+eZYPIzSq37uhxeHmyHmcBy
kA1V1UAh/GI52N9E8oSY1HMJbl/PCGGYtuPOQOiMyToRInQLcX08Lqk08UMZiPVzq2pfh+KlKr7L
rKDSJMQX0Mx4Hgq+6rtNkqEgfEQ/W2hZM+z7l0qpu6dSCKmBZaCI8lJ3/TQfqCwg2YwT8F/7x14O
xcs72mU+UIIWOnSG/FJw+nhoklzCgSKYFjXJvRwEgdTbeX8gMlLpRrzUFz4NgoJiiUH2ubfl10+S
hP+8GSFob9i5AdB43hk+LQqSDhRbdPaGPZ0J6s5lBjAsfD02R8iCT9fH7ZEY0jF1C5Co/BpZ7OWi
eCmR77Yz4E+Oco/5Ulf5tChkxkpxCB+eT9V9PTQFOnLH/YFICXDCXyPxqTMhMgvaMw6TYl+Xxu5t
a/Mb0tFPWOtf7A9skmwPwBH3tQz5Uh/dZVGQWWjA0YVh76/2B7Tn0Kl66Q7vYfi0cwmOHpXKMaFz
XP5iJoBpogKH/8q+zoSXMsguM4Elj4wC5YaXQPrTcUkMqQBt2+OY4XnH3mUQLJaDju8cxtZP16cz
QvkmFgOjsJ8QP4Ttn8PaXQZBoxhLLmGbv4K3gQE0ADGghrenp4O2+0zQgLLICFe/FCA/VyCZKmB9
qLjs6xFp7L4ximatQtWdQODpYvt7n1yD8QPVJcyp9nUm7F6QxzLCAu+JTeXznkCJ7eMgQOXiPxSs
xbW3i2L3uJHWJAVpNEpfEAwfzwgFyDznJLWIfZ0Oz/N0l90RxzWD3Jma0/N04Kt+mg6yKtPbfV5/
+xcxvWD0dxmEp9QZARBx2rz79swAzIhtpsjL8OzrRNh9c8SM9km6lTzp+fowFFSadFWmv/1imLt/
E0Hfvb6gi+8oqmm/RrIgnKYJcujrIO1lfUF7bpzssiaoPFJ31DGZfjoGPhfl8X506OE4zn4X5YV0
1I71BYN8CTFQQAvPQ8GR+G6XoChvEljBDdjXg0JIW+04CLBELJr4pI0fvz24F4s2FTCffd0dn1/L
bquBwqNFKvVyDnyKmsipVTIpxEH3dBD0nWMFQF5QgDgOUQh4uj7Fz9jm2IRULJZ9HYTdz0lRbCSd
FJW2p+vTZgAWHJUEA5mEPR0EY+dzkpkAdMmkgf2Lc5JgAWoIMaOoxXHt66IQ1Pvd9kWBfATNwFH5
EhFs2RnEpknE8A8G4d8Irv4iKE/9IH58oiYHm2obg/lXv/DKEPr88zec2yfm8bvfFFTl5w9/ZuaK
//8/75jL6lNb+s1PX9vUT5/08vcvX/Hzh7/7sNfv9fqPq2BTrssHf3j6wfDyoKfrBIbz/8b81+P6
I2NYlH1e/20LzfptRv37u+MTsHm90cHjf/8X5VXkimVW099f9QOH+9++ebJ+zMrXG725OXNm55tP
8PDa9uA83M73nq7jdcsrqV7v9ebZOXB2vz86otWnV8qok/1/wc3TusToPKvqbR9BoLPzR8w28R+n
Wbl1/Dkfdr7/PP5jlpVMntd7vRl/dqKd778oN9U261KB0dv55st4k6av93nz4F+xXFdNcp/Fj/Xn
2wu0+86PfpDkmzJYx6+3+vvpBXx499sjK/96mze3/ooVe7Qpt4y5gBvu/NRHQept2QiUr1irx+to
yx4mCCU7P/bxuqo228bkKxbocVb98b+pt4k320bmK5boyfqRDfh1HN7Mlq9Yoidr3IS23Psrlqi4
N3KRWx5dIEV2fq0nm/Qxewi27V6C+PUF9y8fNo+vN/p73AW2Y/ebZzz7633e3PsrlulJtnVMvmKV
cut6U26GLU/+FSv1dJ1vmy1fsU5PN+36c+xIA/IrluhZuWYL2DIoX7FEz+P1w2ZL7CiKUTvPw3MU
LrcFd0KEZ+ebXwaEjlXwuGVkRMtz5/tfrR9KUoK03nKWal+xSq/W6R+TDW5r2z7gK5bq8weU6bp8
3LqRaV+xaMWHzIKNt+1LfMWqFfdfsAIeguph22d8xfIVn3GYrYtm22klquFfMJnSP46boPrj7D6o
8m3f4ysWs/geJ+t6s+3+X7GeuX+9/mOyLu/X22IG0UL5ipHiM6bx9k/4moUtvsW0bMbXx/37iBRy
D7t/BX+9NScURdTdb04NY+vgf8liDqoI57/m9TnfDMyXrOUsXm+LHkSxc/eBITD5pTX7kwrcDvWb
q3qdBlW8bqrXJ30zNF+ydEWZZcs5LADwOw/N9cZfbxsaUcvd/ea/dQzddeCvG3aCLUe8gHvu/ui/
N5rZ9dl/L5y8691/ZPGWfV706nYelx/N/ZZIWWCo/sWtt5Vl/6IZfS7Wvqo7bvuz97Vo8RsP8WZd
/s//AQAA//8=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_xlchart.v5.16</cx:f>
        <cx:nf>_xlchart.v5.15</cx:nf>
      </cx:strDim>
      <cx:numDim type="colorVal">
        <cx:f>_xlchart.v5.18</cx:f>
        <cx:nf>_xlchart.v5.17</cx:nf>
      </cx:numDim>
    </cx:data>
  </cx:chartData>
  <cx:chart>
    <cx:plotArea>
      <cx:plotAreaRegion>
        <cx:series layoutId="regionMap" uniqueId="{00000000-0EFD-42F0-B381-B4417729176B}">
          <cx:tx>
            <cx:txData>
              <cx:f>_xlchart.v5.17</cx:f>
              <cx:v>Sum of Quantity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3F1Zc9s4tv4rqTxfugmQAIip6alqkNTiRbZjZ3FeWIqtcN93/vp7aDtpiaJtuqZVt67UXTOdSAc8
xAecHQf/vm/+dR9s1tmHJgyi/F/3zZ8fnaJI/vXHH/m9swnX+Uno3mdxHv8sTu7j8I/450/3fvPH
Q7au3cj+A8tI/ePeWWfFpvn4n3/DaPYmPo/v14UbR9flJms/bfIyKPJXvhv96sP6IXQjw82LzL0v
0J8f9XXg/oyzyF1/3P0O//nxLg7iD3pcRkX78cMmKtyivW2TzZ8fdwbBHz/8MXzWHl8fAmC9KB+A
WNFOKGMqV2Xy8UMQR/bz30sIoxP4giFE0a/nrdYhkExl5JGN9cNDtslzeJvH/x9Q77AOr//XG699
379+P902zPyfHz9HbrF5+HBTrItN/vGDm8eP85O1ety/2+ebx8n4Yxew//x78BcwPYO/2cJ0OJdv
fbUL2xuQ/hXAhD6sD4AqO9FkVcMaVfjjhw3BxSeYYZVRWC9Pa+kJ23dwNA7vcIAJCA9JjgzkLzC/
ZXYIkNUTrMmaIivsCWRtADLiJ5grSKYyfLON8jtYGkd5OMAElIckR4byMkw2mbsODrCX8QnjWCMq
IPn4UYYwkxNCCSGI0cfvB+L6PZyNo703wgS492iODO+/gsSNNgdAG/QxVwhFRH1xUzP4EMLU3U09
naNxlAf0EzAeUBwZwnoMpkYvtvPiEMJbO5GRxrnykvDG+AQpqkYYGgjv9/I1jvboKBMwH6U7MuQv
NtFDfO9GhzC3+QnqNzZjz8IchPWu1a2cYJlRReFgsm3r7HcxNY75/hATAN8nOjK0/wrXD3F2EEmu
gIEtYw0E9S7GMnhWGEwzmY8p7OkMjcM8oJ+A8YDiyAAWZVEcQlPzE4KwAo7zC5oaHGhCVIrAk97d
ypMZGsd3l3wCvLsER4buTY/uIbYvSGoFYwzojRtiAC/FBKkqp7vwTudoHN8B/QSABxRHhrAeB2V+
CBMM3GOZYwVs7SfHCmIhu3Ian8jgX1OuQmxsWxdP52gc4QH9BIQHFMeG8DpYV5tsnR9ECyNOYRcz
9gLI8gnV+mWgDrYxxGKnM/UCzntDTIF6j+jI0DY2wYdVDMH0fx5tFWLWRAXjqnet+s9e3BNiZrKq
QNxzEPh8F1PjaO8PMQHtfaIjQ9sMPhhxBib2P4825C4Y5pTg5yA350MBDoY25wi86NHI2LtYG8d8
f4gJmO8THRnmM0j5HMR7pidMQRDrRM822RBwiHgzjcA/aKCxp3M0jvOAfgLIA4ojQ3gebKLoADsa
fCosE8QxKOOhLYa4hphCBoJ7MifjwO6ST8B1l+DIYD2P8w9/RfYm2BzCFFNPZIKxoqnkSTnv5au0
E6wqEDRBT7bawG1+J3PjeI8NMgH1MbIjw35Rhj/i4KH453e1CmpYo+Ap7+9q9QTKCxQZMtVPS2LX
z3oPS+Nw740wAes9miMD+mYdfRAbKJ04hElGTzQCURGsPO/xoYaGqIkqYxlWw8Ddeh9X42iPjDEB
7xGqI0N8GbUHwlrGoK+hfOjX7t3R2Ug7ATuNUk0bpLCm8jOO8g71BHx3fn9kyELpU+Tmwbo8hL5m
J1SVweKiyguhEwTxsV5jswG+7+NqHOWRMSZgPUJ1ZIifbbJDGN7kRGGPuYwnT1ke5iXBs+rz1RAS
H+Qlp/IzjvIO9QR8d35/ZMhebLJ7qGbU//EST3aiyJRTjT4bWUO7G8snqoY4mN3qWD5yOl/jGA/o
J6A8oDgynM+gpvgQ4pqewOaEos5f7tXQ9IItTOE7SGgNt/BUhsbx3X2fCfDuEhwZuudr/wCBbQXE
LxQAMhmKBh4/I7kqjgiiGhvY1VP5Gcd2h3oCtDu/Pzpk83xzAN0L7rEK5X4ax0/QysMCT5DPFL5W
NTrYuOfrqRy9hO4O/SR8dyiODOGLdeYm8UFyzQxUrIoZ0Z5BHrGvOFWZhmGLP352IyHv4Wwc670R
JqC9R3N0eD9A1vkAFhc9gZwzhKrZc2XBEG3Y0TKF6k4VgZLeriy4WE/l6CWUd+gnYbxDcXQIZ+4B
RLbCTjhTCcD7nHrcM6nxCVEQCGw+cI37LTWJoZfw3SafBO82wZGh20fuLuDs1yGCW48CmzGoxX+S
x3uVBHCCCmtQzKsO0hTvYmoc5f0hJiC9T3RkaF/EUJX9zwtrqBlRuczBMaJPSO+lHuUTomKo8kRg
mO0I66kMjaO8+z4TEN4lODp0D1IxAClFOCrzO/SxVxDUn5HDmsbB7BqCO42fl7Ddop4E7dbvjw/Z
YpNt2n9+6yoUDi/D8WVFfi7u2/OcoEaXUJUqw3OuF3C4ZypPLyK8O8I0lHdpjgxpUEH9Wams7A6C
NZhcSJV/iekRkwvOWmiyvFeP/S6uxtEeebMJeI9QHRniq3VyCP8JpDaHSCaEKp9CInv7GowvCIjI
4E7vSu2p/IyjvEM9Ad+d3x8bsptqfZDWBKBwKWZwbP3ZN97DFrKKCEru985VrCZz9AK6u/RT8N2l
+H+A8Oss7rxy35vir1+7Z6STyHsbiTCwtFRKOXo61DaWQaSIYYYg6DES4dpuffJkZI/xNI7sNu3O
Oz694uuT8v+ua8hltoYSvQNoWAWqpaFYWqMvHGhD0FWEwKFF2mO77QhN52gcvwH9CIQ7fwXNcAYU
R4Zw78qfxuu0nBYqemfHH4hdQeRKxepzKHpEAGMOaUTOnyT0AOx3MjeO+NggOxiPNwMaIzsy7K+C
9f1BzjNqJ+Dl9vv7WT6PwA6VXNBkBD+J54E/PJ2vccQH9BPAHlAcHc4lNB47gBTnJ1yhDA7FPKvZ
vcClfAKpRIh3KYMzElfBVI5eQniHfhLCOxRHhvAnF8405u7DYVQ112SiKM/VWvvGFtT8wIlHKPUY
bON3MTWO8/4QE6DeJzoytG/W9xl0c4sOUlWtnRAGbYFUOKj6+Nnb030Mu/8HSvj6z57Kfg9v46iP
vN8E2Eeojgz3u/LHISIgfZ8YBAfdIDD9+Nmr94HmElDro0Fsc9cWn8rPOMo71BPw3fn9kSHbG5sC
qm3X2cNhegHB4RdoL4A05bmma2iRgb+FIcgFVtsuxO9nbBzsF8aZAPsLlEe4AAx3Yx8ivQxN/RB4
YdDYb3DQEUBHVNFgVTwnnvexn8zTy7DvDjER8V2iYwPbWeeHaPQG1X3Qqg8QVV6S5PgE4JY1rT8d
tx1VuZnM0Qs479JPAXmX4tgQfsoDBeuDlHyBwQ0nV6E896Uie3QC56AQxLUHbhfI0n7dTWXrBaxH
BpkC+AjZ8aH+YQYR03s3v49/bbCR0DIYWO9rnM3gUKssMwD1d7xk5/QbNHCECBsimjKivn9zNCUA
8CLkf7/Y72GmgT5CeISwn5du/uHyh5snh9DgBFKQmEKmClZB/wGfaxd/qNoG9xzav43g/07WXl4B
YwNNXANjpMe3CkC2inX24zBCX+23eF/l+XI/Eso1RUXQROzx80sAPXVbfxL972DvxXUw8pbTVsEI
4bGtAXeTHUTjQ68SKivQuuAp5jJ2bAO+hOWhjedRJvP1Auq79FPg3qU4Opxz323j8rcqfDGL/F5V
33cVU0CR41+3KYBA3xX1+ITCMWkCNf2DDe5O5+kllAcjTMJ5QHNsSMfBeqtc8h/DGfqJ9Q09tb6g
cFylQ0NIlcN23mteMZmjF1DepZ+C8S7F0SEcxeEhwqraiapwCrVlLxWMPsZlqApHcwY7OZ7K0UsI
79BPQniH4sgQvt0460MgDOEWuAeDQqOpF0wycMug1ye0n0FP5Q+DVMl0vsZxHtBPwHlAcWw4w/Ej
uKnqAEoZmkrBeXeIoT6b1ns5MQx5buglB/19d7fy7XSWXsB4MMAUkAckx4ZyCeGrQ+S5oaeBIvc7
9eWiQsz7uBoZWF63kzl6AeNd+ikQ71IcHcLQhTs8yI03UI+mQZ4LCs5esLpkCJBjhDS8h/F0nl5C
eTDCJJwHNP8XSL98Yd3vy/6MdbE2H68J3Lqz7vVvHycJ7jYckD5nJcaDpk/W9/Lhz49Qq6/0laNb
gdR+oJ2cxl9PN979Esi7ZBvIwPz58fHmQbXvVqPBiXgNmjVDwLzePH8FyRIGHSRlRcGygjB8FUEr
aQcuMoRlBMY5VL2o/SkRaM3/8UMel89fQdhdgXQ5nLCHIgno/fzrTa/ioLXj6Pe0PP/5Q1SGV7Eb
FTm8Vt8uJXn6Xc8vkQk0FYYaduhGSiH8Azeswff36099FxX4+f9ojZ3yUnPKS88tklMt4OpFFjVn
WhSkOimzLzQMjdQr/EUUs6DbOHGeStdl24o27VxdQ01wzZ0kEoXfXhe2ehrnYTxLg9wVqGsrwXwk
zd2gUoWaODPbr5xlnRaybieWKvI6tx2dV2k0C1kSlDetndxxp42FBEVhghWN6+kJztXTqpG6U5JE
jWPprda6p2XgGy22pEUhZT9tHnW6K8nWvEVxKRzk82VQ2tWXBMTtGXapf6EpUTJH7k1SKk5iamEr
zxKkuUaVSbLBKh4ZsdIpRhC4WGDKbZEhfuazrDBTG+mkwMWMNMlKI04lKiXmsyroGiFZRTPLnahe
ZHW+QnnO9SJK77LaPm9RbTpya+AcX8iqfVZ3hSMKLymFa7Wp8DRNr8u8NCNAWNiWVJjwMPunVcf0
e9t5lTVLSeqIUpY6XXNytOBZ+cnxlRvNk6NymVBHKq5dFKULkiZ6lDp0kZI2j25oIfNMOKXFKqEw
S50rqK48QSzy07fKetmHHeZl5PtGF0ZXrZevqJqcRoGzSmV8phXSLM7rUymkRtzZszyNhOx1OnGT
hzrCn9yC321fVLmzJu/jpM1c23m+XPT3H/9zG4fw7+PNlX//ZX836d9/mm/iPs6YD3/UC4/fv/r7
9st+s/6+CnMgAp4uOP21a97z5TuEB/jV8mvCYydcOhQhT8S/REjfrgzD7aUKaBUGpwNBc/wWIRCX
Z7BtQUJAkTNU2fwtQsgJQpB2h+OiXIMYgAob/5cIUU5UiuEiRWh2B/0rYdj3iBDwJXcFCIeuiXDs
VGXQDZfDZU+7AkRxkFQXbaiunPB7l6+a5ml9PN1jOiKiVATzNngCHJ9ScN+DAHM4ADsQUaWVq4VF
mnJVdsTEOPnZJuoqsLxPJCt+FhkyMi9zjVBVUgNJ0RIzvshSzyxZkggq0Xge18o8YtlCyuVbr3Rm
ap48SAFyBebnJckaPS/8WnROcIkqRPxzpSpS5dIO87gWjVsJGyZRJ04atjMlbrtc1DJZNk5u/ayJ
fKEooUONtnCZoapu8JDiwBJ+hwJTzbEmMtmWvnmBFBrcV+9LpwlnBWK2rvpOeoZ4HQsbaZcsYZIZ
aNk3ntmKCWfJHJGoan3lNTUSCo6LGcoUT7RZdFZl7ncf43NoT2xwHrbntV2liyCKF1FUdEZmpbcW
CeZK515ojq2Irou+S3JNBFKbn6EvXRYNj0Uedt2sVDXDToob5oVCkpOlkvLvviwtoqQ8LRI5Bg3Q
Xje+dup1TSTsLjNQ4Z+mjK0tVNWiYN7C5pJR+u66yK1Q5AzkPNEWge1dSh2QR7XhWPgu9+1TXrJF
mJJzNUqJkeHqIlA6g4aKmSXpgrYpE7HKv3huVyw6P7jKrNgXeeecFa58l6S40FvJO1Ul9bYIkC9w
p/hC6dQbV4li3ckbxyw1d9kGqSuIR4iwPDqXUzcXMfW/lyo3aznTAQtHgKasZo4dnTZdpnO1+qrG
il47ZEVzepcX3aXvqp+c0IpEaYVzplYXTp0t47Ze2o331alaW4S8XgRVfe7g4IaiOATBHnzFUf4F
WewrtcpZnNFTrSMzqcm+U7VIRFbwuaTkdzG8PG7DZi613YMfMLNljp5ZxFD85jypPU2UqZ0ItY1g
UC3HQmWWsCn7Drtg5rnenW1ZnmjywptJZQnLJv3Zxt5CKzxTVZLvZSbfSZJ8kzPQMb7lGVXDdZkE
PzrfuvZD1Amntc99L/PnyE58oUrs1um4nialo9uu7Qk5DH9wFLpCSpzK1DpGLrQmj05dl3aGlKDK
IPTG4+q3MsntmYSzRARJv3u8+kZG3plUJprAaZ0aJG0yISHyqdEkWy/bMjirbNkXDVVykwdJJbDq
Wmad05VdYGq6hH6RqWYbPLW0HxkvKtOBsqNYVAktYX9nlZXrYStZrfDcyl01mUvP04TKBoepEIqf
2HomgV7zgtgxVIdlIigl2Sw6NRdRYfmfYo3iQoSlfJZQIjSnxaJIs7OiaC4TNcmXUdmoAimRJxBO
8wXRNM+03fKcIrsSuZ9Ec9SRudV03OwajESpBokZF2mMRegGlyyQA18PpPy6q+CNLSu5J137JbOU
NfNBTyvownNQqHMkSUYbSOeWj2WBAkSET0mjF0Ec3sSklGCrMiv4WvrRp7rKah1jeqm6mgDJomee
aigMlUacRGcsZSAQETDN6uuoVGw9YYkAGXVqp9YiUFLTq8CC6orzwJPmDnEu5ED+6meVrpTyac2t
YB41/nfVs4jI3UKvNYueoUJuhKW67EdSS1jvuhSMOTWtw1sfhfWscpW5wmJXV7pU0x2t883OdbOL
TvNXCk4WPs+vUUpzPchz0YRlJLqaGCDylhhZpWkrNFsGbfWZSsltiEO9DEUZGHlWOmZbFyEHmVOe
1jKNv0dqIYH8lX6muSMbbZkFAh6nGllC1ctYCeDq7NZn1aLynGoeqWE7B9HvfLVSeAIug9soVFwD
/HF+WraZdxp49irihOoBGOXL0seOUGN2S9LYg//y1E6EOE+NVrWsGfHTW2q1t1pEum+dFbl6UMb5
jJQ2EqxuZkWrSfNErqJ53KaxHgChyCpSfsvcQJs1YKF2euDWDmglp1ioVQQQ18lM0cLMaMP4jlbJ
MqrdWcNas8zjS7llp37afpYdz6xc3xZx4nwuA3yrlSk/a9qmWsaSlxmxFbR6Unq1SGT5DhK1iqE0
avqtpAkykjjshO/AQmdumYBxqnzDDS9uLEyamVZKXPdKuTW3rJYR9QyeyJZy1nonBdqhg6nBoQAQ
7rMAj2nbf8BhCOVithetCt8zSNMtCa2v6yyfvf6Y3uMZeU7fpogpkL/aMwIK1oW+7USrMAgucoo/
g1S60sLwO4jLTNQtBwDaYFE1ySzQ/EWOnXOnwkLD0RlIqnNi5cLj/rVjlZ9oKpuKU+olL0RkW5u4
pJVoYQuonbaisr1+nfVRzuEICxwWVQkccoCM3fYMkbCMwWr2o1Ud2sJub2Uv1J34/PWH9K2YducH
KmshHYChaSLMESz03afkpZ+0oV9Wq8R2cvCf1KUSg2CQrRT0RlUR05Kqb1ISxNcRhzXI5WWt1aqI
2wQElSJfd144c6SuvC4dhd9EoJXKuFpJMgpgl9SgyrHXCRLbK1dyTxuLwJxj2Dc0rAPRctJ9IihY
+0Wgo8B2512dCitH1HQC1zf9QrmXMgweVFbqIJWoaKFBjR6nytxzMl+AKgLTxqHLtMMbV2XrBry/
ksiuaFhw0XbgyTDWSgsZ1d6F7CSh6JrSAbupcA2He8xArv3FKlF4m9YE9Aeyz0mYkFlOk2JBwRGr
YlBxKFFE6zHfTGR8SWQWGU3X2CDvg3NLXpfqrCRsCXLxTpOCEHY5WrSeehcomWNGSdSJhGZCAW+x
U8H0AEfUN5hdxkYjhYusCIkIUXNaytXad7Fz3wZkLtM0NFjgXOC4C4SSpzNXybkocfMppDRY8RIJ
RLvmLGX5xevLAa4TGVkPsCE1WA4aHEHvS3O3V52lSHEE3xUrhvBa4XlodEkVrKiU5gLk6Xc7J76I
ckdHtDE0N8gESNQLmJVOWI7PFtjOLwqpE3WHL0isfVPUyJnlIUlnZSmry5DgUtiuH4pKqzRTjtVw
gUGpGzVyU0PLJLBHQBDJYRzpLklv7NBtdOTkMWiDMhdFkoooSWc07O6zmK45NL7RKxQzPQvxZ4pb
sJ1b21AKZFCIOOgZkXyR1fSbp9FlbeEHyhpfJDWIAR4saNTcWtw7Z1Wmp7FyQ0kLKyQRZYtvSFVd
+J5zk7rkU8j4nLbFN833VQF2o2zStARbMK3MvKwrXSO5IxRPMmQLg+ag0lqCNaEnXLlDivQNOVVq
pEWnmA6TZ1UnQQCgiU2kZnNZ9pY8qkwcMwHayFB9iHFoWn3GMg+mpMpBzSd6GRS3Sp2suNYs87hd
K7V8nypQ78eoSVrgs4wMv/IvY6c5ZxGd1bFqOAxiIG7EdMzdaz+R/GWrdWactyYNLCNMwKCJqQ1+
CWzGSuLXEF356TLJEqyVdbX0ZkVR+jrNHQPbhY4QPae5MneVFFBCdmiqdqfXvYXql865hCzTR/XX
OC6ELblXxFGF7cQz7EtnIWhxp7YXGgruqiSfpbaI+FJVDYRAawZWPStAvUdZmBillHpG4Etzr9bO
Os8XjLuJqJFd67kMQrfDaOYhTZBau7I0tLCj4syu0/NII2D1FoF0GSR1smgDdqra9VmCPYhFxQyw
SVyk17K3cJL6QsrBSwio7imhGZcs0q36ihKT+TXYMauwmdF2FqsLiIN8TWRJaKF8QUmWmY2lnntO
nYvKsqyzEldMz+GSJp15VjSvq85IwG5YxG2RGy1li6wCK4TFRSOYVZmVlaE3VNsbO1Xp3d+tCBx2
eOvxxC9XFPR+lV+EUaM3VSis+tLPLhB4LK/Lht2IH2hs0BRbkmEY8cOOE4F3AZIhjjeIPVTNp4qf
R/a3Wl28/iDS65y/Y4tPT4IuzdAqFEEdgkp6zbj1ZnVeVKknV82qQ61tJm6T666Fb0lux0snlmDN
NdVZkriyiJGMLrRUI4J6sQTORCebNYyr50j6qcradRMpGgTeyi+SG1/GMrsJwHwDr0cvcnzT2Hlj
RIU9Cwv3e+SpXyUnSD7ZpV+ZxHGKeUjKM+LJAgwLs0VyrYOJN48KhX3lmN8kXWBAJOW0VIqlq+Cz
zm6XJOGXtW+fZaC2meSf+TiCzSQJydH0JkFfwyQz3cBa1gkSXtBooiDhupNboge1fZc2PPuKbasw
ca7Yb8zqbrxlf1Kh0H57Un2qRm5mac1Ka7473Y9WO30dtbfGHygOWQrARrb9duVqN4nHRap8fv0B
e/YQrL+tVdFnNLdfIKShL/vYblcEX7kqEjBNstPqrz+kn4X9pQftH8AkhWonOlh6DctrJ1fhLTjW
cXFf1CHYJJ/dhr2BRl//uvUgiJ9zAmF6ONsGwS8wTfu72rbfpvXcqLa7BK/AjLkHpWbcBjPLkMxK
uPpXEYmvS6pX5z8+ubrzpTHXgdn+gB2dL5Tl6y/c54+2GNnb1o+Mbm02Xrk84TaIkWJWGbIum81N
OQ+vnRk3uR5kMzSHeZ4hPROycExuJJWprqL717noM5V7XGyBS3rhs8VFYOWBhjOY92/NEptMFDN+
xcRlrgrHmH8l+jk1wjlfObNmEd2Qxa1l2PNmAXJPdPOYi9yA0JnBDem8XETz/NIRTiNs40ssypWs
t3Oy5Mv4DMLtn8PZzeusK28t/IEFLeHcDRLJhXUpYpHM8k0yS26RkeqeYRmO4ZqQpTiN51f352a5
JDo47N6pJ/ipt7J1UD4m9cWDpX95nSu8G/zc2+50oB1cN64yRoErZ8mFo3eLcG7dRrLw9TgWVFgi
01sRzLVVusDfIZBmvv788c369z4aSBsQNVKbJ22zkrvYZHV91kn+qirl+A2l1EuV1/brQOporqZU
VRe0K7CpRVXfy82ipj9axUzlAkJRs9ffahzq3281dCalEIQ/Sb1y5TAfPL9PiX393z1g4PMpjRZQ
GoID5ZMz7EEckDPj9Se8AQzrN+LWRpPCRItYCxstTlZ56M8S/K0rtTdQeWueBsItR0HuVcwrVk2P
ShfovPH0/+49BgusjLu8jPKwXdVVo7t0FfqN3oVXrz/kjdXFBlKJWrbUQnAOtEFDdZVHph8Ul4pS
6qzNda/Gq8p235i6UXygDyvrj8XKvE+/bOMDJ+gUK3GLcqWGPzNv5isOBPnmr7/WKDxbzxhsmsDm
uZQ6arMingrx++swfCOq8NYDBiKx88NG8eK0WskgtCEY7SvBG9P0qB9f2/iDdey4kPSxAljH4BuI
VLdPq4V/AS6CfprpjmlfliI8e33WlDdWA+3femvrIIj/oQI7oKO+QWA4Aql6YcOzRb1G592yEled
nsAXgpihjoR2LYlPhdlr9au79Eo5Ba/dEZ7ZFmIR6c78LfZGFTnUCvw2XYYrx81qGVmw6dBlr8gl
kc8DdRkhXfhz1fgaiVNZtGc/5R/gnGWf27Na1G9Ir/7+6Fel8QD3Ssqpk/IWbAmjMjqj7SAnLvhZ
YHziK3quzEvjDs8sEUHEdpbNk7mmS29I6LdYYAO9JzWlpEZ1Uqyks1g0BkQ2vQcyQwY7KzfNIjHD
czaX5tJP+07Rm7l/aRve5o11Mq56fwPBBuvEr5RQzSNYmtmsmaUCCbe36pa+flstm+XS7Y2WVRGK
r/IsNsJZMmdXpciM0oQaB+F8D96QlI+O2d5W+Xu7k8GUaBKH3FAEIiU11Tmd08BoZt2sO3fPkLi3
l9bM17VlsoCg3nmjs8+mBtZBZBZzf3bjGr2R8GwcPNfjXD09+6mcZDvFvp1xP4LU/XbyncA59a1V
slfys92c7+9ioSeq3+l6aIXQ3wsLZTsQtdJ6r/h3uh7OWPWtIuEqOkjLb6frVajGR31rZ7nvKAhX
voPQ+pWu79vvw4BwQlMDtQH3lr0nXY969+rvVdQ7LFAtDHfrUCgKUKBx2kCnQ/gqTtKybFZRrXCz
qi0ngdAfxEV1n9XVNZVIe+o1VeSbsuwXd0WsVp99NW9SkfMo/bo1e88LaKf+qBdmA26gKQRc9QSV
CGp/BHFXFqtRm/jcgbA1TiO0sv0uskTJYupACKQAh6Cq1fKOVWCXiyzUilRPIXdpC6uDVLMOPcKi
B14U8iWM4ZQGDgL0uSOShuYtJdYGtRJq3hJMuzrxcf5UaNQMN9yAvweXvQ52IeTFHMC2LVZKQ2zb
oE0XfK7goIUyK1gbE1G1DfIMl1ma6BhtXdH6sjIPq6yFQoUqLh6cJs8RlCslxMgLMO9FEToyRLgz
4tumDXG8K7/kp2HOndyAyn/+JYdCAT+oSWO6uUQv3MypwjcsiX0YoFuazAAICmtDwQNRB8F1u4bk
QL6CPCn/EtsagswzZMgSkUBS9KpuMoiTWCj49jr8u0YSxNgR60NDkLaAtQj/07O1pYmJ3NiQd7Wj
VaR1aIV8p1xFeaa7muV8ef1Juzr/6Ukc7mplcPEQ9KHRBussidS2SzMnXmmJrK7TOs6CuVVokAH2
E8eU0zLodEVutRjCiaQO31o0u6qkfzwslL5GR4GuoiAdBo+HQzouVByE7oqlPlmHXknWftDzQLow
N2kGvlwrA/TzOkhrLFI/Zpsi4Pmy5q16DhnzTNaV2ot93WNR+FnJEqwYjta2m0SqEgOKxEKmEx6r
GaSZaVe+z0p75J/1YgMyiliFvTowCGRakogQS7pAUBOxdrMih8SJ5BcRxNHbNrJPa8f1f9gaT86b
LnVmNFYbV8eoYj8hcQeVIK1jM12NvWrjZgoEHUnisLcCV2QPZAXKhBRoLsVBtvbRmN3lRDPNlTOn
UC48NU0srhkFd7p5UzQKnxVVWepZk8rXVdgSKBJ0HEg2IAgyQAkDGFgJ1v0gDT8lAQkh1AthvK+1
F8bLNi8KkUCN3Wea+5phpZEFmTHPc4VbKJCHtbwcMnuJlF+mEmQGbBtxT0iQMg51XDnhgtAi+IQ9
+8puI6WBigSWrgoo0SlwKCkGrTBMpNtikA1q2XVCrjXvPHCIdmfJpXrqUA1sUrupOIS9HTXUQba6
S0nL2hBynlpnoJpIRuc190meFjdQLQhR8jos2MzK03KpWhjfpg6q/bnFJCh46hzf+gF9HzIwZKJU
+l6GLDSSJMdLP46SJUp58OBCvQXseyX0b1xuNUxUqWqfZhbk7lqYhzlSMb+EcoDGVOssnSHUoMoM
IGNr6//L3pc22Wlr7f4iToGYP16GPXb37sndtr9QbbstIRACJITg178PTuzYjk9SqXtu3TpVb1JJ
2WXvhs2gtdYzycw0GXJDWFUK5aMVAozKKoe6IAmkPqDUkDnvXB4Buo3bt1a47EzGtH8IfR3up5Q7
BKSdWF+SSI6lci1fd6ZJoDOx1n0hqp0/K9r3Yb4S7U4gb4mhO6u5xMsxz+VCzZTsRlmxotW+gIyp
DzNgkaPEhRYG1Izi3Mnjao6B6IOszgLdVrmvnU7sx6gpaTAt7t3se0FRq9FtM44nSe98Padqb/3Y
XkXNurbV3QSaRYhsqdulGz+xihGyvlOzY2PBsnTEUi4/QubDtT9mk56m3gU/rjHbntJ6WPcmnXR1
FGMNWoSTVj64seMf+bKNpCD8oR9bBje1uF0iSYquqlAPddvMA0Cmmbr52GqvurDBjWJ5aJYYQoPF
tqkGt6N9PFFzJT0159DLObvIYby6GLw6Ec2HpE82yrNRYte19Zhm7YDiVZXW1FHuVPCGhwBE3C7I
JQRdIKrTaa52cxu3olQVuoJd2FEBSeoaYsXsSBNMuWCj04K5WKi6VbUjQMfQOvnsTCau3cKVRO/r
IJmSm9CpaHXq/FjHIc87q4Z1OSgYUUGxgraORVkpsw67dFRdvVvaSCwHVynRg31e2jqPbbi0+7Ee
aifHbSXPTi9Wr0CyYCMK/OeCOOKuo3DJu+6ZC5GKow8hUVs2TEf366R9f8cdSbwzAzwcd1nMCPiB
ajR994Bi7J84XUmzm3qcAZQ9LV1LSJwhkEr4AspJJAsebTCr/VhUnjedRj8M24JWPp2KuDO4nXUM
sVvWrdxfX9sG/r0iwQmIwl8EG46eWwcHWsdNlJOmGfyilnVVrFPVhJkzj316y6uZB7lfD6DbRc9X
5+xWbbDz+opCEc3SuC+9ha0gUGpvpmWTBgxiEPy9zEvrtMPjQ/0ht3MN7hb6aef9iP20Fyer8R6R
G2/t6rXOEhM4/uPSzgSsU58usujSQV+HU4eSRFXc4AOp8HG1qpp53TuIGTt2GhbRQu48hysmDk31
Y8BJ+BLaSlRZ4uHh3U2djf1SRWuNk588Lgqw/Y3Kk7kqaxDD79p5RmfBKTcPCkKRD/3I/IOJZ1qV
SRO6JOuSCj8nbCW3u2403g14XD+4Uzr0Hj3t4G/MkaOSXHtLbEtDBK8PoyVkPnYxVeRSO3H61LnD
9nByPqh93Cqmbu0S6CR3B3A6GZs7nBgYVDwGqGDpk5+4eLoFVskRnGhq5VGrtCK3fJya5p4kXRoc
bcDn6VpbvTWfbLG3YeNEtpSzwKGlXFeTWSL0unebePvy26nPWJ9wXr3wboKww7eYhhCXijWyWfO0
MXh1+pY29V03xnjlxwldAcWfYU0lumOXwQug9wTpyVzc7nm007VwGKCJ2p0Gu7ObVLhczEC2RQMv
U45vhAXEpt7WJ+tOPFXET0+JqaEdSxg0TbldaPQydz5Ow458ufe1ddWZos3lZwjKGv6QoFrsVed6
N0NKh3fQD0dDxgJWk5NMaDqdKyapKZYxHiD6ixd/30Pt1+RuPCwfm7YJb+2kXHkY3MU0z3MkqDqI
yhGflzXd1pB6aEFFR4gMK2uyMLXrI5E+Q7svdmLu6ZDFAZa5ZZzZfS21Oqei4WERkpFA3deGAcoR
I+nTyB1Dy5Z0eE1WKJ3ARHfSG14FFuTlBLcD3o15W7FLHjq4otaspkSRmaG5HScS5VXaaoNK6xsX
rffA34+pSR+dBW36aU2hKv6kVbcoqDq82BzrmeBHWeGxNQ9mGtFjj9sy506TRrtVGqOv7RK3D9xA
CJbE6hAIa8LDOke4OY3rqXXft42U111kgytHu4Es2dAJc6bL3LNNeSDYIzoR9clNOywjWDqVgZgL
FoksnU0yoAosw0NLB69+68nVTwA+oANb3vTad1L8MFWN0CU4UNo6VT9/YNR1DKRuKmqOdep6d1Y5
1bofJ6j5ynqd8JDWRHP/1jbtGt6IqG/bbOiNG10HHjDFfEF3o8qZ9bhrc9LVsESsMXShiVJt6Vnf
joVpSTLu12TA098ElsbFUi2uyqteRcPzHC7eI/Q9eNZQ6dInPOtC3XZp52GBJX3KdwmE01BYT+9I
Ms2JlzWNid+EpBvmAjoeHVwHVZuY+6FS6YjijicaJDJkhzsMDou9qn3dyKt47Jl/S6zbRsfKyhTf
y1qHXjej08+FUBXWDHRjk75u2wrnP6YNbA0saVgxW9c9LkOA936Johgqx4rFvylx/tMYyXUNnYuS
n/XP/oYfwJb/PhOEi0noWxTVn+CU/9P2dQdY7g8oZfNdhe72qW9wCqJJAuLDBr1ttAGj1HdwCnae
jIGxhOFvoAmmkq8GqgTB0fgHscJQ6QLrAML5FU5JsLU0VHKbXDHFhnfwTHy1gvyAeME69isA409D
B6I0oLbDCcK3GWB43rDU72ZYOsYz537SXhxveEdrjVVxaj94S3hsPdFlPFpziFvLGNIW18S71adX
6TLczAnUgNUshqOoB0hgqZOP8UR2NHR3LjRMc21ImcRyyg1drlxdFZEj0V54+qlOSJ+3XnvFwqHN
jTMe2ka9iAhitskLPkG7pPLeETSnoT3bxHxqJm/IkwZuJNf3y2gxEBgv3Vq6k9MWowhtgRdQ5/GU
TnmwuFGuZbfsOrnckiWEXp2258mGUM9R/dbHOFVgZfwk3eiESbsvBtv1GTWqyQTcBiHD9NnF6e2a
es+mWimsTnWDccuZszbW+G3E63ylPTTTgkKmVB19qndLLKts2JTGZLZPK6PXOu7OfdWfGb4TZIr1
CHkuuZ/rpjAUuqWmI9eVRx6rpQXhDbtnBjEssBRlMK41TpIFgX8Q/lLnVdI/J+Ho5JG70InmoRlq
+qAJ79+jIXha1mA+Q2p/6X0NpN2DnpEP43tLsep3zV70c5QFUyizYIYxbfIrkrEquWaUPPmD8rOp
ni+QW0Zl00xrQcKVlmuKgkvHFPi0nO59h30K20ru0XzkHlqKMwRv2r6g79oFffSiFl/uIdzft5Oi
5djPQj6lHusewFj1zWtN10+zZfer78IjNvVQmDUjS5KX0eM3FZ7vo6s792A1kRcyVuklEJU6LWkF
ogt6rDmODnpcIOxnLjQIQbrc+HzFWldLMe8xtj3PMGnEtWDXvpWvWMrJwZV0k9NGCVt/AxL+06vh
f98650d/tc5tEbPfUvL+vNxtH/663G2RDmhP4ApFSjbYw+/RYx8Zu3EC9YyPFe0LRPx1uYNfFJtM
AUn941Nfl7v4X3jwsbmUC4m2h91Oon+y3P0J/MThgwDb0CGoAJ4yFyf+/WIXtq6b8GpcL6t+HhJA
tav+G6hp+wl/AMJbuhQSqBJ3c6NuqCC8aT8cYe2rqEfL712UdeCdwihQZyr8ZMzhuxvwi4X7x2/y
5+P8BINLx+uHsQ69S9ib3Buv5vjTXx+A/Ahu/vkIP4Gb1Bs6AjG1dyEbhhK8idPP0lny1LmkE3pR
4ubKvOunw1Tfaix+Xv3K4ZClt0Te6e6Bzj3MKecopGUCKxLF9MAfZsEKm4q/uRTeVqL+6ppvuNp3
Jcyv4WOdx+1a+GW1CrSBz5Opc+jHL3NVZ1XVZPXyOXYATOKXSVT/DbMV/wjc/Xap4IlHBBlufwhL
xo8n0CWQchs3Xi6L4VB4eunYXjVoCmD66gHl5ekXzys8s6fRqiyc5nuvxbI8dxKY0+aQHTevLOkh
v95pujlb9DTuW/GWCP80Vy6WaeJw7431Bd/7TQqbVZVA/M95OcIs0k9LRgzGLr0URi97tl5MVJeC
ovAMTjZF6JtteivIbbXyXTW9VVWbUfWoaHLt6zYbm6gwHU5glkcAAnkMuffC+6IJH8G1DEXk0wzo
My6il0/edBW7aKmhbx3eKhjvFsfPhrnDSB3ccX7Nrdibjsg3ImyBwgFTlOmjDqIi4GHGDYp8WNOg
COohKdxEBKVs2ncaYkoh1jFLYXQoGhr8jRDgiwj1j0cErMePL/7PrNFcp4prq9aLu/cP1XG90s/+
PjmOFyibr/QBCu0yKdIcBkkQ9ycBQtS+c47NTu/dPSiLHf8bgfuPhMWfX66foN6gBZAqtkdWNkcY
BVHCRlD4u8H9m+XoV0/m98vRTwteUou1ZQzHcbqsfbSfBprXaJJIEVV/8xL8ZHP980vwE0eQ4pUd
/bQmF+bn/LaxxWTzEVieKnma08v8d1/tVyugB7wcsX8pcsDSn1ZA6DBtHLc+ucwcaof1g3Fu/3oF
/NUC+P0Bfrp2blcDEqOEXJQpJrgNZidXUO3/3x3kp1U2tWm0LmjRL6k5r8NJR48kev/Xh/hVSfr+
e/y0PC6o1SO6ZHLZTAq2nTM3uk/5TQpp4pcD/ae7o387K24H+p6o//3A29j1/9kL7+Jh/osxULx8
kuOf+6LtU9/6oi+zHrauTgKYzUO0MX+w6thkEf74CJPYTzEayb+wFbKL0J0tOem3julrW4R4PA8b
h4EQhHseoafxP2mLUJx/KKFf1kfsFQg2Ey6vOMHegT9WMNmHaxMulbq4rf/YSPVAVHiGfOSusfA2
zSZgJ+qCmfGCA18WXoimqXaVieZc26nK3AGGmHiZYetcnHs3WNec9bGXwZkRwQXt3Wl3ACOb4md1
sWRly3vvmNKRZD1rH8YYltW1k0nmSXvtDFBnio73+Qwfau7YsCqAuPOyNQQtlZ6HG7cTj9iLOLyO
zdpdcfLFREIG5FBgAiFtvA8UIjASI+c8YgzFa+weWZcgHwO6w8wd1XGAvQollJaqAaAbB+IVtN8T
KBMna0l4kL7z4KwNxN2Dul43dHQN6QdIIng2wFOej3KGVeTIvSuP+p8Mexn9XKf0IGVFi9lM6DTW
ieOKNG3RtbYpyKr6sl/4y7xiCrZ6/DTp+eTpfs5SF18I5uCjGpPbxYEBdulKZ72atHeyQfI+5NFR
ulDIpUsIr3AcXo10vK2FtVlgEogfrHdpIphLqTuVXgJ7AJwBsChRqo7xGLgZiJB7QufgLnXYR0u6
O9UlwEFbv81rj3k7shmAVWy8HbytU9lXEnKxBsafqoF5f3STK1Kz4zLVQRaOrOBJd28bhYlsnbxy
8MHcJgqBKlEKSi0CjlrSQZsHql0/r7z0mTqSZ7Lu94PLT6qJH4N0ffEc2u3F0mQaUyE3LC0kYXBE
gUrJ4GU+zK4heaSHk+/hu6zjsE/R++RN5XXubR+gwUyqAQdG1ewbeVmD8WMNm9+RoArgAX9JZS2z
kcMlzxrv7TiY6xFUUOEkAbQNs/9q5+nVxMuyU9r2MJQl1QHszAeBVzSTOJW8QerKrp6nhxBOsrNI
3JPh/F2/plilPeSJSIZYBudqWJY+U6jA6NsqL5NNNWejUjear3h9zCOj1YeBxcmh88GHcUc8VCuk
lJZMz4MfH5tBw5EUyhNSTVqgBJHYJao7RjR8MzKXnYzuoqzh6wN+5nw1mNAAHpey1DQa8y9UiBnB
aXnpdvOsv+RuVEWFVwXPSvIxNyuM5Up13UkRVGPrxDEM9PWQtarV+WqVfEvdih46xsZbHoVpNiOE
wnaLB7+teErIyjOqIXY33MsUkTVuUN+VVcsnIOFNjbddk6OqJcskjxhiEaajuybucUjYMfZgz45w
LtkQ+UuGZVHDxASKjesVfWl3CPRw4E5UcIkpjHOYYfrW8fCmBToHU2LhsmRxkVJV6MAD14VfOEF4
y2maSWXeeJafw3E6SR+62GB8MLGZslWJPXPQ5XeiWrOu8W6Mnd7UMkT7s7BbEUx3DZ2fksZeI0EC
jTAA+QZKnUxI/gQ2+xRY97Ao9aiTyM2GCUp1V0o/S1t71aihjN1R7sSSqIyM9roa/bumW9oSKRdl
TPoTmeAXX9T0OQir9zX1LpAM3EDhcDvwGBCWUR8qJIFkU7O+bRm6+mBIkhJ0znslYsC8S4WMHdI/
ShacrdPL0rR4aiBpWZonf+LhoQ6izt+jGyIlkyBjw1oW/09q+H8fwrH5lv99CQelql9/UcHxoW8V
HGUaqVVQQrk+QWTB9xUc6retcMIZFPuQH6HD+h3Z2CIwYa6BpOO3Mr35y7+WcGy+DJEH1HIhLDge
NNb/qIRDRvf9FLyVcHQIEVR2SGJEgNt2ft9Pwaa3Ctw284E8BC5ebnOclwCRMtz3gYUNO+nD8jrq
5TlG+EihaPBx9JMrjWerCDf6isNYuNcjEktm6Wad21073B2zZO2nwiqDvIpIFUE6Sjg3pg9L2r1j
NS3Bqd43Ad93iz4Rn9wPPWo8H5YpS3uiEENFrjoBdpg68RvVpMgaSAUSUubqzSr5cwjWHOvtavPI
iktI/Ys3R2U6yFPcDscmXP3jCstijrSDJDfM7qGwK0nSf0Ya1/000/AEA/weqU0fknrJUrU+WeR3
ZQ0RBKkzTZNFgegKv69y1wKKjnv2NHvTe/j2gpw17EAm2WW9QtSGYJA6aKy3ed37N40YTm0T+Nk8
jp8Hw7zMOhIrZptcajGiM6HDhYemP1mhwQbVqPqxwBzXsJHmqUurGxVJF+buaY2yIVg/J8TAdxLE
H9caF7evBLsj4JoypsZXpt30msv2GKaAKCrSY4LvVHJRtRVlHM+4axODVppqmkPRPoN/xrCOJTna
19s8HSG54RDYmN651Pf2a89pNtC6RROFwR3KEpnVwqelu7T84Pu2LZ26JrCub5qxFQqoyIKhxDIH
orPyCs8uwHIDVe8Ct692wey35Sg02WsJp2rn8yukdp1XzS9N5x31QteiFslnQAtRxmMM9I6qfcRd
LLxEnMyybybali5nyP8IvAUxYUO61zwCkg47/T4l4AkFHSECA8N+D7w32U99yEpsjsoPrltVhTGt
nynfd+5a7ACRiRXfdLBRlNWRG+0S6uicL3OSLZL2pQPeHkRcU59ClMw9JexxIeoWpu+uZE6yZFL3
H+SW7VEzhKgsQxqc+hRLMfU2reO6XaKadO9nFfI3HUQKmWJpd1gmCDuJpTJrqw5AE5KJMtavFci6
GNd4dKZDMgOVZnOAJjie6k+NqGNEj8VVaaiA9x+JN1PYllXVocqCrkQITwdDfuCLDE3JlDkwGyMa
RLR5ZHh0t3r2jluEPcyiKRXhHiI8SHsDmZM+gAn/rDHxas+wne69KWvTdryuwWrmvo2KdhyiY7TM
1VXkxGYP/C24J870VKdSwxyuJ1vtGbEeFOFT/3HGWcWwRUEXwNtMJWzYw0X2iFgsb2cZjXLXpKdO
IOFmnhcvS82EcDq1ZD2EcVD10LLuOufkBO6h9v03BuU9Ryzeoxj4Kebd7Ryr3HHiaxW+r2JynmRk
3qItfp0jfWUDx8k6EAFFMk/z1QRJyyFNNc/qEZwLbdwrgqOxnp2NCT4PUIDk3gqXPwwGmUnjpzWB
gK/mK/yrSnxSMVR9EP0cJV/uIJRGNlYNxRkzftGJRO6b2oPKwbCwsIu0manRDY34650CHxUrP9wt
C26hN4jL5NCH1lbvXTm96wMsD4nbmyJuxnM9ey+2iSIMDoirMUrSnTd5iOYDCNYEY2k4fCbx6gn0
WOZaJfPzhKz6InaC29TGSSZF3B2TMMTf1C5HJ9CavNfyPHH3ALK4y01Q7bgrh0udaiQFQRAEl35a
aDu+qgoevdDUBfRa0Tuk4YmwlJ297oj+KIMY+T/hW3DE4bEWsPWO6wco26DfkvaAL93uGIHmDBlK
RRvFN4xjlUnhVSYI6GlSBzFF0js4Q3RYkH3ESQ0VYL2F8ogrpMOgk6/bDzpJD3Hn3yDvYu8Ew55C
t4V7CkzBw+/DF5bUda7q6bOq41sIQTWCK5ajRoZMOcVt7gTNHbQ2DmrBFqOxnJlu7wTyt7yaPbYQ
D7OoO8RT2xWTqB9b5PlA6DBmXaXiTCzrAVb7q7rNE1dZaLlJjin3tZq6JUMdc5a9SohKMBc1bU6j
7t6t4ZX/397IdTe+GvDjv++NYBp4we65L+oX/RE++K0/AsKx5Xwj2NN38T/0J998A9jmGMl3vzM4
4cYxf2V+sJvqto+qC2EudMU/EN3Y4X5rZUAZQba7xYj+o/7oJ9sU+qPE35owHMkFN5P+bJrsaIJC
YhKEFbktPfToGxgFzzr683mKzYI4S6Ku7ETk3ndXNNl2uoUXHyWyEx/GgMhCOeqAISIsUx/RTXSO
/IwHbMhRnOHucWZSMJ0ga2HYksZmK24Hmj6zECltZvTh8nHXM9RhV2MYHBKZouQ6bD8s/XOVUJkj
jOp6HRdQpLIxByRtnKjgyEALwtMKFBcESnwdkeANDRHBqevkLp3jpujGGtDK+ELCoIMIhz4ZESKp
AmJtyBNjkzdmvY66+NlWULF5vv82beVzhNSCtPFAGbWPTiiudTL3OQRLb7qxwmLjQXhaIfljDe67
ju886rwjCD+hA90BxUGkwdhf9bF8S5LoxmeCZyy0e2MxYeGheNEtZqPOtixzYl0idI1lyFhtC3+0
iM2phqVMkm4qjTELtMfiMs4WqjnqHyQjyMuZp5u5xRxH19nbh43e8WgA2oAUsLDxutwh661fRR+J
7h+badlBdSMyn3a3Noh2CxPHGiK2rIrVbTTFb9hQIbYhWN5GNYj5eg77Al08Is66Wu78elFFR2K0
vOvdaLt457H2ZL32la0CIiiNHBc2wm/ekiqPZHrhJiaIbYwPNqEPw03AjhEgHgiez9HCeY7dZ3Z1
bMCzDxAo6ZWX2tdmP07JWxah25lAp2WtrPdQVXRZI+THJo5kwTW4bTJ4SH2C/MhFQ62XQw0eCXwI
/zCO/ivSkl7RkdMDHYKbTbplDbJLFteIki9t8OSHDVSqwJChRQDp1Q0nEUbHNvSgh2S7MaHAByCV
LRdrkSVAo2WffGHhu3DS5Wycu7qfP6VrM485Iot47gJsWQdkzsWAXwJnIPkAQCaNtiGfILwPsTwJ
kiKTA9kwHDnaF4g4H2tXFkaJ0kVwDPQNqB6AfqRv/JxtaBBav6GsU2rLJgZbhUE3RikHfqRbzAt+
2N6nBmYUUvkZrAbHLo2uKqO8TGw4FOIY8V7E7VQmwA13/oZXRXjTd86GYblQg50XwFoV4C1/w7k0
AK9kQ74248GxV/guTM9Qu62ALQIALdRdL1LiTeEbioZE3dsKsBoTrlv0G9IWAXJru+i9BgSn5F0d
BEhABDqXJKI62kje2AowugGClxL5KVAtICRgeyIQPfJbVFM41mmKfoMA53ADPgfEOrHV2QOh4et7
smGG4xXnSNGZy1oOSz5UeAyMqF6WDWwky3BdbfBjBxzS9sGh85iDXpU9ObR5bSa8MgTcYQl9+E6l
kOBssGYKrgSStvYREv/P6YZ9Uovnzt/gUNnRMoCzAVZ0YC2GDt2VQ2x47QFIdWox3FgDySxE7byM
07VCshSQ16mqZE5HoLFsNtdmbBKghEBq27R+YCOe5jCg3nFsOUNWEu44hLSwoyzrnaz6CPHJPnpn
YWBGBSTsD+OEDh8vFluHKnM25BgZvtXOLJoXctDBgeF+bThzA905dCrDHRJRzy2gaLdykQgKpMMj
5lRt2Ie/rha0uhxHfumtN75t0lDNZaS6iOdq4udpMgj91XBAEoB4VYcI6Fq9S1LKfmcW/9Ocx38h
XgK+7S96AuSuq5dfNAT41LeGwPsXknqg20DQTYxBBqjIt4YAW7uAMdzCvcLgSwj4t4Yg/Rc0P/gj
KJUh+kDx/wMwgSgOOjU4z6H33PiQ9J80BGTT0H0nG/gCmLheEngInts2Ekq2P/9ONmDnikIEXQWX
Zu3j5bhGUvgfDPN1dYHA1hcCAIhDDkm19a4Te1gCEOrIr+lRNiYEX1ZRncHv1JQI4gsKFQr34M5I
EUysD8TCyBdvWREcGtYviKCEBdiHIW5U0bkVFPrmit/yAarSLWanFwgYMQmUrcmyYo5KgbRA9FbB
/NEY8I4CUaKjbgsW6fPU9WnmxfWz8aI7pMfCRyvGXCJAyKz7eoB+z7gC+Rpc3q1AOmUkj1gAw6xu
JUT7GsGeKbS2mLDWl5SPdxHSBA8TpjtAnOSWuLq9noJV7iBn7wo42yWcJMNnv6IvE4fGTjhxqZdX
FO2wgJumNI5Pi1Z015YEz31HAYajmzjAdyxydFZ93vSIAvYlGq01ScfcM/aMZF9eknF9nZJqh5S+
LUV478WQ5vdyrxCuOsLwgonXYLrsm3w0/qtGu9/MQHRTd4vOveowDqwhbDATrRAWHuvcYGRIttmh
bfsDkhZLK/lji+FC6+6uH90zw9AB/SxU2KG4M7il0zaXuLYeu712vGSXRP3JC8UHhMqBGImrK8y9
V/BEIDkJMz/ycH0y3nkWmMh7PraUlMqXtLtzVr30e+FhDkE6rPsW4eeIJ45M8xGJ0BigxxlC5elj
qtguJilFthf+uJ7mV5REhDcom2bC2INe2E3QVUmJznHZDZp9nh0MPzxZ3kUuBBSrvUO483s4506u
XN/VBqR6FCq/jGnwqSYWkaN0ed+yAVoX3cOr5qMhNPBJhS5Q9nC8g2D8EI8Jkmni4XGp8bWQWA/K
jCaXyipE4bMVqHVYTExjyGyitNTR4h7W+LPHZQD7g34yGtp30UM9gJCcm4am/j5EmuIIXTZCpZCK
DJdo7kj2kTYD8kOnZd0lM3g8vtA9cdS7epYHidcm75LOZvCiAENQK8gMCDA96LztHFSgdJzbpXLe
jto9RRBSYRblb8KKQUfkkRhkFqgEWOOg3D60cRODJJKnDqt/xuCzmbYILhY1nxXTl14EL0YBBGlB
YzQLvwG5c+59ZjK0c+cOpqCM+L7JOTiAkdUIRdBm3g8Wgm8N3RPStbH1WZO8W2NZijY8ugpm/cbv
H1YnQnvLEtjhSPgmdtiDBTPppvNbpFnUx56lx9UO54om/bmS6m0EvAU20gcnio7MTy4OImaZG732
wXojxHhoJJ7NNVoQ3eZ1UwFP3b0xwCtgQ6BTvR85S8vGpl2Gtyd6r4w6MsKn+yoxWxp0uwMmeI60
av533P1dng2lx1+Vtk5/2aMSW5D/osDhs98VuHDbTxTCRATIQvb4Q4FDnn34lZ3fYP8/Jl5vIxAQ
O4+Nz2BN/a7AYRtjqMiwEX30G+H/zwrcxnD8VOA2pzAmXRi68e82kX9f4FIRrwh1DM2lNcj0rPJx
kO6ptV5w6gC+85xH4s3CKQYH61wlHdpHHgrUGx4VrHNQ4TR/tFSfm8Q+GNdeLRX4755FyACdE/hW
6hV2QP00I/0mFv4xrCN0m5XMhk2NbO3/sHce241baRd9lf8FrhcuMqYkCCZRonKYYCki54yn/zfK
LrvK7XYvzz3ogduWSDHc+4Vz9uHr25nrEYl4NFMuZ8xcuXId2jNn3NIRfwHehdn8LaIhSuACQ6/b
1ImouCqgmcaxzcnLyIqj83kyWY01qT5tmIplrlKXd7rJchOonUprGKy1cgawNbQrPaj6dZ37j6kj
XbjcLOubxjWi4c3sklXswzQ1pPXOQi5ao5J7MrEerTDM77XR5vxgaIvB7skM9K1tlTNQRs0LOZNW
WgMh1OwNty/sXTMSKzLpPZq4fnybCv8tA8KtFGHF0dk+R4oTrTM92SbJuGdUnHtyHGq37hmz2UH5
EaAidEeZP5WFQfezTCj9rv00fXW+bJLpNSoNyI5GhMPXULMVQ9iNyG15o7KpcHX8oTBJObQKLo/t
MCRHaVQ91S1jBqZ9devhU17PuhVRl1uFl06ask6xi27skCI7cGZ04NDeT5Nij27Coe3Z7OddP0Xe
2aI1WdVNErIkwMM6KSDOc6WJjjR4YLqcob1VjX5+QJsRuoWyRAU0qXJic403YEiS56Jmi8po1Xyi
HcxumlpW59BUo70t6/GicnyalCktDviyaqbeuh5f+ENeLrbE8aKr51RdzZniv412JGx8NKLa56py
nRSO3IThUN4rEy/81gfG8CJiJ/jSbRrDbIkhIceh2yQkk0wZYpBmCSvpl9iSpsbwR45Jywk7gtOt
yDdpyDnBm+msRdVd1ksEir+EoVjgHmk+CEixlqgUncwUfQlPqTIF6/oSpyKdI37WYJUsUSv5Erpi
LvErs55It1giWawlnKX4ltOiRrfWr8EtRLgUS5gLy5D+wcEVuzepsFfhEvoibOJfGnJgxiUQBtOk
uwC4f3WX/9un6H87u7wNyTH6i2N8+akfjnGNFS2IA5VZJCveH45x7ReQ/TQI/BuQRj8uduUv9A7w
UWwT/RyVA7/wt8UuO18UXswsIUOQTkqT80/6FOM/tau6Dq8DaZZpMA8F3PHzMU7yuaKVaZWeldQi
CEeHPyz14aG3zGDbVuIKf2WNyCo6JSmiiXqydxVBRGQfyMbtR/uz6KITRNU7PcnTdS7R3U6aQ6Ee
IMOwtR1fH89scbyPcjdgdM0ydkH0HPiS5XNjtGsTEPxKI6ECiMpraMWnqe0+Lbr+wdE2NBSwr2V5
qkb9HW7MNpiciMMS1AODhW4Xl/WudpxjEwebQjW8WY03YlH5SKO/MJEJA225HFRw5lOtR0iX1dcU
2TwpdE9QRQzP8n1spkSXbGvI3Gt6RmD3ZnMwRlIwbPw1rSp2jhZjkY5v/b4t16OmQcwux+tc6gHt
SOnh4lR2GU/uqFkqiQD2wIA2R1IiMuvK0dIP9E3ldlLReEZBoq3E5N/VafGVlt3oKvnAjqqJTzgE
aYYCNdnkfZku+jaU0mMxofKyN4mYDqHR5m4wpPctbp1DVrHHsIvrsOZSyG3nIAlVWFlGe3LyBWrQ
bdV2vI6wOG+6WTASw86CduZLCja8gnHWGJKhodvOcxzLGyCGAvU6gOku1bL1ZGp3cxY9J3nlDmmm
rSI7sZicRRc4zY5xpXw1zWzuiD3RXTXqpk3YcGRJX7smpOsxjHn+wcQyaQ6KeW0yYOpMZGklJl/A
B91nESd78MTuENQrfZmdTq1kD8iOK1K4LSefWrTIwyd/ym7GGrNlYROhNWvdNgggElY5m6sWqro7
sKRm1dM6rswSfZsVHXM3+9GQPu97060SCZdHycpn2UUXbRxdYLSEDxFIew14InJ1FZ63g9WZxlND
JNSWW18rLvPQuQCIbe0Jq8Bb0ESXSlw8V3EVEd0F07uLandkIm4OPFGQyLBN035XSeWsqnjLjCHb
JdI/1kG3b/LyvhP9tmjyU1gUnm7SkNkZFrSg6Z2Nbg71ykzJb7CV/mmuos8GYZqIx+0QlZMb51W6
ys0lAIG/arLOBVsv1mn9rZ2kjMsPFYSt/uQLcACKQwBLfiWN/Kz2pFsY85XoTIfbsN+q8B5WXcfY
oAgxYc2o+cwYQ6vIIobPIsRb5pi85PxS0MflmiCQDOx1B41U6b/CBIXhmGmEaZTLVzVp3kZquKGw
vyx2yEQvVPHa7xxnK3NjH0oyXGZfz2rmjBqG2JxyTIgx2Bij5q/hVA+eI+ABAWlZBWPYHgo/ib2s
1z86o6UwC5MPBrtPKBzfZ8yDwLzhzQfacJ66pdmLzH49tWYLpFBl/IspX62PePDaI2cPq0W7tNia
V4xF86zdG3kWm57WkWhy3ytc3ttQr+W206eS7xJQJRj6Y03p0gWj3Ni50MdV1auavdPx7DOW1bDz
XwLAmLpbR8lkezs4tdAw/HWAVg1ywZ7qWVf7q6Qtd0XQynXJ1HxT6InuRZGBUkJBjVgHN41PK9hC
uND1vPNqUY9bW5hHwxojF1GvTsqH+V4VRbNKWizlWaw/MT0iQaRnVi+V2TxoBR/mJLexmOgMnyej
eCEl7jWMa9VtbZwSWH+/QLqQXhIiAgEPp64UpQcM35LhNCFJm8rGHSOcxYDST3peXwu/Q3tYvPTR
8DULYn5GxsQNQ4hVUBrputHGQwjtWRmyFVbG1ygpbswICWKrLgoK/FmrtiXXRsVp1zgXIp6e01D9
mpFWcPwTqNZnwAYil3A6dRpjV2ct7Qf1TTJy9GC4W42jO6bHFFexkqSIT8fiFVowTSwTrlEAo6yi
mb2Pml2aVkIckuEgMxHiWuXGdAfLQBqC6x+w9NGBs7DmVSjZIJPJ1hRKu9X0nrOdeRp8dWvD9ovv
ki/uWqLdjOBRrRtG0mS7uKFYpmqJM/Dg1IxO4uw07JlonFLb1QZmOoM9FlfZWA6sz4aLkuXNyrZ7
4iqkdRUN+alLrQzwtX+FOZ2hdENf3b6azjBt0OXcTqmoNnOGTMV3uECMuLv3u65xuyF/LChVY5Hw
HLv5qasc0rc6kzFgSxFtKCqu16L9bBznngPaU0p8P1nYrpjw7yBP3ld9hJjCGjHBIooctDOC3RvH
KN4iLjqmeMqlrrRHYjf8dZ/r/taf5bKFqfeBYD82tUOwUg2HFVuS7B1jAiEe5OvYVqttQ0ezjvSG
tKfuTCXiIQJg+yd3ZVKFsL7RsU6dzrpFYXjIGLQivssHORjwb60+hiiTEDojhNyaamjvW17QNYOv
K6VE2Wtb7aHLkadUpnOwmvGedC5lQ1DTKeHI8kQ0B1vkIceUPQ1NFwqYmm/aMZDq2ZQU3KJBDt7m
SrafVbQ7gOrlatIqnxJaA7kfncMufhDYND3ampzwIZ8Dzhh2MxbZFYvcs1rDsbelBhalGN9ZdTxq
RnXV5OindO19ZPVTNuZTkQRPaH5Mt9WivZ+VTwqtmYYUdLDVIzkIKAQmyA7pAukZXoMs3XaW+ukk
84GxCgobq1o5rXKb68shLgyPsz5c/ysZ+CYZWIyd/32Gcnqto/w/hyfLD/1edZMeqgPVt2ybMQkJ
4T9X3ZzgTEEAYakoI38cnqDqWKybtoJ2ErvE71U3maM21CyCazXDXJJq/pEvHvHBfwxPmJosFB59
eRb8wp+rbpachmkKFoXE4z1UGnrpFFLYkvqBpnJGp12ZW4ni3JjEuh+dh6wgWE3pqBEzx7yLbf2k
Fe0+w6JX9TamNsvKcmcTLR1suvSyBU1tIDARtBxgDi6BWLyBUmKFlkutD4+kNWQjCXSKT/1BUB2R
aVj6GMJfK3mpuYT+3A4J5ny7n64cI+WezDW3DKl1qrG4mybxgOj5XiOPa6WooI+VetibYroKI/sg
LQR6YfNezxjek3xYBbFyU8YqB4l4UPsmR8nAANRvk1Nf1gmbwPxrqpmihiRfIJkOXLUm+c5QxytI
I69VGo+u0WudOxXhB2it2W0Vws6c0d4ESjusywKbAetuyyfWSZ/2w1iINWEcR9lZVxrTm06Gx7mz
1opkL9xncPvY9R3rvnwMFedZ6KSo2Sla66LZtEb2kESgxup4vm9rAr06WV5Kf9hkZfGlKtIlYPDG
6col6DS7KINsL7PpIWm6oyj6L6U2wAiIiUASaFXMsPp+JSDBMblKdlUjSi5nSFJTobq+qnRrQG/2
lTqV03qeqmTNzpcUL3arrcNiuojJ+MmUSUD/gYmTMwXHpW+9E1IHJkpO29ZHvtWMkom3uscXvaPG
u/LTOgfWF02nsKqrkvrR7LJti1OYwXsK8qmt101jQOuhlNUKOpYw7xFj+m8JEYpJOgrGXiO15/ga
mIhOl7qxSJcIWDqHIezNVaiJV6UOYnYn1JUy0daycT6nJLFPDNGJxVOazlO70LxIB21Xxnl9Sxqk
fqm2WXGUasDNaTmxO9fdLuxHhhNmqmO/sVw7yyS3RtQiV6jMyy6ytyjb9qJqHhTD2Cmd+jD01Fhk
OCku0RbyUivV+KLM6S4CWvBNaEDC9fuYlmpcOFG6WEJvpXJZjpp6HZE/s4u4mBwUB9MQHLKEVdVY
qa9IhAwXqX10RRD9QBuoe5OdeV3bDC7CzXRtDPnb1BD10kfcCfCinBYeWsj7GadTeqXryEVxpv5w
qJ1/9Y/+iP9czoA/XKW/Wh4xxEJENC3LsRdT148D1lIb+yQVjrxKMxijH2xPhmz/jx8CrZKpgRfl
JFS/zXh/WFJOZTA2lNQsKZu3LjlP5V3u/GqO/Xc0JBmt/90d9YGo7S8uKX7q+yX1LbpW1eCzUGYx
f/lxNKTAdWF5/YMd4PuEnzH+8nGwdbC3vwJvv4+GNPMX3kuW2/gHNBhRwHX/AbxF/4aX/eMDyArb
1hcSDMJ6Fgkwef/0ASTebGrUVgZXvpN51gTSr8UEgNWlvsTY/VgmYlWOdN9zNB0suvVtngWntOh2
ipSfuuir9eAY61AbGvq+9Ah+yF/NTnzKwx7mIYV8HpEf2xY2bWKWPjDWRiYcOfTFUfkuO0aVrQ1l
GypJL/tnNtEsCxPuhUXCG4QvppO6AqjiA8YgBVVZcgyywQdgaPQuT7vwui66LEDuUairzxTpCDUi
GrxG0xuX/acOHNH/6ofmU0sNk9wlxdzYBU0mQKbbIgmvxyAntmZ4EBMlnGMG/bowoplpjHEwIAG7
HTHTq5JIbpQrxZttxO/Eal5msI9X9cCf2DHp3jSlPKMkInczOBXlfIyLqN/GNardJlLPRhyflQV9
GUXUAIPdjuvU1O0tOgBumGZ495uYsEgGGKj/7dSbQy6YVInv+n46Rx36N8AnTKPR4VwMmXPbZMRe
ZRIT3lB7capnrnDmY5g6h7Adj9yUyhoeYgPasd8HEnFUUGAJNNEIrooOHqKIGpzqoTJjpyiQS3PB
bzqEO0SSt9qBoir2nGT8oH8gRRPnwlrJlcBtstjeaoMtABVqF2Yl95XOZGxC43M9iRyJT9U63hQo
CjqAzFnSs1jTdnl4XZgCkRcomMhir1C9TEo5b5sA2XpahpmXBFYEgVP3rLyuAHb2E3FmPm64akay
lVsrqFnvNL2g6C36hFTo2SbNl74y819Si5oE7f8pIv0PS4pG3riN2T7KmbsBPIt8iYY4Z9ynqtUN
/UvoWmrP1TcafCA7y7hUGjA5NajKddDN71BotFXZdCyohA4HJ8kdapflTolVQPCTfcKf4CDQMD/r
si82tSPBSOP50Fo+yoZOGRP0UeqVwWSvpTBv81B76a2EBLMMxXtjW+mubUYa72C4ZUrY7GHpvYMm
ZsqU+Tj1ghyoQdfzMXasMxhKZhV6qu9EZjw7sfqmJAX35Uiu0ticRCa4FIVdQeZhfxBWeGr0iTff
qiw3bxzzWpnmVj8sQiqjX/HhjTZjPVESDJ/IUB/HgO+8moD8TXE3rOAJepPWamdryJ5ZqBBFY+Ne
8Ju2o7eaHsbAZJTrDwSIRfTVg5O4xKRN6yQpHu2iG0D3apj68MP4NbAiydLpiG+yYpsXMuE18ru5
8K9qs7zoRofeuMi/ora6VTXUeqp97G0yGNv4OM/hVk2yQygIa41Z7BdsGFd62unwQvUbBfm/K/m9
XjXKo60RdmbBlSws9BQQMJ8HTLTNoB8VoXyZYGDZhi1HE5QIP5sO8EdeVShIq0q2BnUuYhekkuaB
0GXPHoORUXFste1jzg6wQHvBgn0dirq41QjteyjGcXge8ddgC1KavsboYRsvQVIYh7aB7nZOgzSg
Fa6E/uIHaBFPsRFBUHKS1u0c/xGsHDl3I04k6S+zAj4vOx217maIqa8HPncbg7Xnik/hc6d3xEBT
zCN32IUmRhESjZUdpX6+cgr/2p7nqzFHUDOTY70WQXZOCa267yQnXFaySK2Znm26IP4C0HVdm0gB
xIBBIWpKNMhI3K3SutGc9iOb+ofKKGaPbzFOj/phdoiWZKh1dvTo2CVEepWl8iqXHPAiH67iIbuR
g0zXbes3uyoVEZ81/wrIt8rUDscU8/wRQe4gk31eqOQGa/mrVfSMk1TqTKJ8LqIkflPtgdNgfBst
1csRMbOyJVlYh/AbpEy04PjdsTDOe7qhBIMrLmjESWgZRG9fBdKIvH6Kv0wtPMzMAP1cYwedRhuZ
6URK2gQRpn2lraxsuM1mbSSDm9MPq0bg5RrxzNNEagEWhU1bjKQ76NlW6xW5zgbyzlkr3kSx4WCC
sS78sjoXDdyoamAuSnPD3F1FuSvZAQfCI02PJsXKHxITlhoqSNRg+Row2GNs9+/xYMKzZvw1lCPu
iLE9+uX8aFSYTcroiukehOTWPJQ+m2kGnx6UQrSm9oui2RESctAuEM8IWc7kRa5FDEKnfoVX1EU1
cGs5rBmkqn+yO6y9Yeaw1ez2GGdw4jPoqvyHo1eb9UFvbbqjCGt0VFt0EBbnM50Zuu5VIqJb3B6v
VUc0ccX/104XfSEeEo23WrGrTd0VLcdN72Uy+IwdZ2fQrhaCf+uX9lfbxx9lI4+ZGv5aFf9bT0qm
Df+9ntxn5WcdvaZ/UVHyc79XlEQomFRrjjRIudUWPtR3UaQ04WMxk2XN+M3wwE99ryi1X6glKfBg
NBDJg5jjj7GH+gubSwOs1ZLgRuHxj1ykUvu5paGKpNhFmcIQhQoVsArP78eWhsO4zkdRTadRK9Fa
ywQR56m0sFB+KfOcG8CbsezTzmmRYs070umTgStjjJHfmnpy46vh4NoYCHa17K1ppZnqe8CifU1p
+VrL5Dbxk+xMK8ohNZuqpxmSZlNXmlNhml9haccoEtA8yBwDYth1CNwaxOutidiP8aZxMXdNthd5
Sk0lEzrC9WiSAhvHQX1ZIhvF1uVcxGabHB0zyt2mHCavNlh3thXddJopFI+OXHY60rnU++mQGNGF
XbT+kQj0xEuEg/EMKTXEWdXEQgkVwxsdCg9QsyjhtTFZy+QbNTBl2WSTeKro4jk15VVpjvnBCrs7
abIu8jMdKnFkluvAmcRlHZvvQ86epCosuUX18TXH8Ys1RA07vl5mhMKiOCz1eLrHa+m7sP4J9dGK
fRfGny1Q52cVIMD1nLaF15tp5VpNil+CeQsSPid3jr3w5cYcFHHQy1G5MKIcanWoYrytO/Oitqxr
Gxn9bSbT/RBOd6Q3sMLTc32rsKO0TCTXjs9YgnwPxD8FDOE5gd+hKxAgxikRFzIEUWhNdWiQngo+
1le05Nj6k2y32BunMF3NNQfWVch71+O8jU4TwGSo0AGXJRl0/CYo1I5Almc7QKkQRwljX7aTeicI
O48gNzCXrfvcuYr6ifFxMdtFsML9rzG19zlNIfQ7X710kgu1YJ8IxfsWAY4c3W9f2n9PL/xTf3N6
uZ/p/12iDfr8z+Nr+cHvx5eq/YI6CruWtH87bX4/vlQdP7vKIFX/ziX9fnwt4TBA8eiqlugFRV2i
C79rJeQvGrQ8AKSmqS1zYPWfNMR/PrxY+eEyc9BcMCNmx8YJ+uPhRYBv3KRzrp5zPI9KEl1YQbLW
+v+VGY/C4s+DH+bVi7YPRxu5H2QD/PxAJAIkCBGS4cxwKNmDbLP1jTF3hyyC0FuoAWXUYGFsbIsr
YqguqqS8t9SaZRe4kfUAV3+TcBYee04mF7ER4RhTG62EUS5M1fppaEqOKTtE2rx418MmvS15wLVa
pudCiRCCWuyx7EolBFn0iN9oa/BF28eKkTGwOdggIJtdglDxeye555u9x5ybMpa1mdskI8Jb/VFw
sjs6zRJ/5lOopwVzbOMWF8mNyMZLIYzLNlIoJYYopv909hCmLwc/CxBbyXvErelKCXoa+UU62/Xt
NaBqj530o2PXn2pgvQTZ9FwvXqqEdGOX4IezUftH08oij5nGzuTA2Tbkp6+1ur4vzGAX2XqwBld2
hJXwlg9h4vWc1+iroKCmxVi6oqMOTHGzgLqbX2SWLTK3+Eq3UbCRWI67RXMrM3npLHlfN3TzY9aR
zTvdWFW3RXa5wz4lcPmTHjDorL5BMsMBUA16ORQRWVvZa8t5cVpsTFSdXcXh2nQ6+1xmATbGBN6/
eIuB6cueEEUopnESfYcwOAcyUCGvl9Z0qQ4gzCf0/EMoIy+R6RlieOwhStnOmX4KAj9YtVLfOj2v
bThwDwqTcUhZOS9oNXfgGG6KfJ5cbW4eIhPUTAA9esU057YZur00kt6tNeWdNEDWm8P0kLLFJtth
BtMIK6YJ4x7Qdf0hU/VDHVJk88h6mA7vgUlJNPTDlivtOiMKZCSm6MLSZmQSaf4+x+VTaHGTZmZx
h3qdZXBlJbuh07YgCBiW+x5mazjWfMTg1+hDuJFjWL3mcRHU3mwLWknDHGkclTGhxJzUGnI6LHQu
SGvwpD0szup6PKSpATwFkqDiYx7StY8BYQQgSwLJixrmS1L2D4mhLf7vgbU6tMBFlD7KyE1ida+h
VZGgFNrFKWdXr3gwbmQiPm2Ht6lCV13wacTx3yNcbVpgOYNbDInc04HDLhj6CxthjyuQotLaYbZu
+gg3ezA8m7HVbMagPAWR4q+bcsT3sYDjm4syBtnbNmij2idyUfA5OfG6jxX4+sUpMfnKanlyRgl+
TIXYg9sjKzYIw808TkA1+ujDHGja4yHWQIXLG5IctiM74wR3xnokkzk3yye6cohWe6QPIP3Fjtzu
1zFWXmaD/aWVgnGf0pdUv2USBomgO5TcjKnAHZDXa9XDtRY6eouzStsMmr7rVbQbMsRlMJf9ViP/
0lMolWAc6y85DVY7FoPrixptz1BuO5lfTcXwXBdg9KJJf2hbxT6VguSQu0VHGth67e8Klcph88MF
8xfT8z9Bx/jSgFGROvYFHMH4hJYV4I/HddMw5/MnczoPjD1W+tY/jLfFaR+TmPqaP5abZI/vfOUf
meF3LuDL/zFaX4ajfwxPf3v4Zbb+bX6KC//nh6/9zuiF2c3n3not/b1DUqszvogiW/393/lXj8Pe
CUIM80nosH9G/LXcWREA/7OMLgjPWqXppxPsmUj8j8f5+fb79e/h9eQOlGSxQbn6+e+psGkaLNIU
UuSPtQkPmqme/vj3f4v+Myjutwf54Y/504N0oaI0KqToc+81D2CyNv1O+bBdm0HPKeMztrqpN9BU
PHV3f2m76eqyh5750Gz8zXV8GFY7VNAXrct/6BYe/9s8/P3zU5cX889vqs6KmD4GUSf6zJ9fhJQQ
Iqw4ijxT+V7618pGOcnH4MDOCEMjKYKHZ7kd15eVN+ygIWZHxrPXsDg86N7/rv5/s0/wmv/3NniT
/p9b1AAR/6KQ5Ae/F5JsVmySrug3dW7On70TSGt5C+Hbq3TDFJp/9MEOclwi0Byc7ksZuVgKv9OU
FpCAqtMKg7ij06Ro/SebFfXnL9OyWeH3cDIpusZ3id/78+eoCvzRELIHiKgXD8NCROtBowlK35UV
N/WZiCy4aVyWT4ZetiwkUxQvlrDYk0AzakSfH+YAChKJgDVXnf6ILdhya/xc6xLNgzfrgIOyJcyG
oqhet3pXbCrf6dfVQnqLQb4RAoSfYrRDfBTWvQMWjlsl98xFHGiBjOO7GuxqIHJtND76DKtAApW3
dcGywxSRs5NK8J6DoBs15QgV57JQQmaTC6VOqWPpTYZE8QnCLh2i7bQw7Qrgdmjjnv1WhUNaNoQM
dbdKH6ReUBHg1A0Q0UAFvZl4NHbtws2rR7pjpxg/zcL8RLkcu8ByOrcBt+eM2hMU4PxQdmmxYkv2
SpzYNZvzYs/TfHfy7Cox4KpovbUWoVkUDyM2sQ3n6BZpZrE1IMvDPvGCAkaIzxZnNrJPmvbNuFDo
i7Tc6nDprXq4Gcwk2LGZsvHRQZtOhnl240iYm06MV4gZEa3Cuo9g3vcL/J41a8G6yS6QcsBgjmHk
p/2w18z2hQgdMkQ0MPodDpZ5AevbyvRgp/Fgn8cG10DZjjNTBK5E54Ld8tfchQbYtj7eNHFH5tQI
P0af03GbRRG9fhQ7+7KawmstUe+hnMDPW6bAKhrmGaHx86xYqxLpntPddWYaXOJVLA+zktUEoohk
VxoFs2XlRuJVp8iw8d4DLVglSvSwwAwA9pCYrQkM1FpAblpplsgwCvLehCjOQYyoymxw3pnKHeFp
WNFjqJMdjVFqHvQu5yXGSePH42NpRB8WWglfxIDzEGmCvWLCaonuVWfvQfOuPQs1faG8JnkhsLYs
KoiYD+OdqoBCsApUi93sCZU9SDXb3pQjR41ZYqTJhelbhO4x1iTsj2Fu/qWkhb0h58xcmUxE12VC
LlQv4ndpiicDgfgUjjdp2F5MvbiDkPHScl3SJDirqhPHaqwvFc2/H/P4OA0Z75avPgQZXsew9u8I
ezu2Ma9QqQa6p5XUrYntXOaq/uxbw72pyJl1VBojXaSkJtzrrdGdm6GOL4Oy9lTfgRlq9VeD1G+0
ib8l86PrupF7wkjXuAMOAbTOzhyOpTDegql9WNqVIDfgehnIauadVmerUgGvmDTTk9GhZY0DdptJ
hHuVY45tTyWQLy7wIZ/AsnUf1U91kx00pz8lmrpnqffAyg2VH4lAzJqGfVkbSwwhatFSpDdwtd7I
tQPCk6T1ajZtJOSxtoGUY2/8Fm0MJi/Q1Q7eWJ3hUFxmMbFSKOIbeI4q4pDlxOWUksUm0ftzAW58
pVat4nX9dB0oTPElZlGFl4Az6VqbzFPcOe/IHxajpnmvmmiadKTEWgcHiiENBqDliKuRLKNvvFWd
3EstlkVqyVSrAeLGEDTdZYiAZcoWKshac23yeevm4FYq+puV4dcNVPuU9KGPdFwIj/79BnUSysMg
kQRCWW8qaWMbmackYpjlZtLIBcsiVV+csR7ax6+6nf3buJrZ0dXyLo/6nBQRK3ovQ3FpkmyEPJkz
IooeUcZc1U64ywz7a6YE3rRMKYF4KUDVKoQ7UWMInNXNnD1m0OqC06wGyNhN9oQ4/Y6GXd85C6Cx
XlCNZEK+FHPkbEq911YtPEe/B9Vo9c2b2YpqPXf1WY/SyxAGpAYLcoQJKRc4pJbXh3RWNzDOU/a2
xjUsyFPnEPpmLmjJGMakDWtSEXi56gU/acB/p5Lv7jTIlJGPgQ9SZbwgKxNMIzyb+Yl976mppofM
GK7LIT7zeeBFgHuZwb+cDXS87YKD65UcASRwldFpb3OomZLFKhmFR10Z73MVY55unE0om6Wj5/jU
+FYvAE4rNWnLDKCcTFRVcFuAOnMFmCdnrIsKfoeed1cvUE8razh2TAJMFuAnIn9IGt8goGW8nxcs
qEjIE/sGCl2QoSAD1T2gr8h1FqBosaBFE6XGVL/gRoORMcECIP1WjPw73lOoUP57VebVn03+VyUZ
P/V7SUaykEnhwzwOxoKiU619X02oAJxwKFN1EXHwayb099WE9Qv/DJKBVcIi4/wx+Nn4hUEh+wrD
QrdEY/KPVhPWf/IanEURCibbktDeDe1P7WKSMbJHD2Jd4lc/BG3V56d2UCdzHWd9WS7T9m7e2gO7
hizMgvGhQCUxuYWTw49r4/B51JpbQgwnNyQVfT203RYjoEsfzmRCyVXceykeCyd+0+Dg8EU1os0k
GpLLyBfDP8b2PBXPJObdALR8HLpCJtctRMlbht07Z2BparF/xpECByASl4mf2wNWBfZwmQiep7IN
z6wKI/McphhFjNxm2KLDNNBWJrinwjX8TMnvTEuQWsg5NWzQDfotsaxNGD10XMRsRZPhMVGdEHxn
UuyiMI4nruD6ROTiYeiMGyPQJ4hs+YMyp3edjl+nCMt3JBWkC4UdHtU5Yn0Tc55pb+ESPVcL/dLs
VJBQ40MXRsZaoyAUvXBFxhEQLNYfvSyla0/sAZBf6xuph49QemzmRAkgG+M2sVkqx4RBTyL6IOTl
Luv0T0VHrNBkvCiG3V5bWsLdB7ZoN/D7EceXycukkZWXDNFOmZnRVMuoLUvtuyqVqofPBaEtsaar
MVZ3IaFLed/XbjZEey1EAmlkoQU20JpXjZLkGzWuSMhUpgNaw2tf7bL1rIXIaHV1VyQMmlQblYEz
jep+6iVDwk75UNgg2CySiAw1fJBEzRZx7msQFkfTsY6NBqkismETooq/tXwQfQ5Jf6MvPgxn9lJl
ZP9RXgaIIdC2125Z47X6f/bOpLlx5NyivwgdmIF8S86kSIqapdogJJWEeR4SwK9/J2VXd5WHdvS+
Ixze2CpSIpj5DfeemxfKaRpUn13JZMaNJcJMLX+XkRix+BTPPNL4AsTg7VxV+vN43dhG3S06vzx3
DoJIew4uZKDeOCGc5TAyboNKo2flRl3oY+Ms4Y22rP2jVeSUz31iNgvsLIeOT7BDzUmASLwdHUhk
rl6X67lAb4EyeKydJ6PtzqKL75MOU16st495GN2qSERgR/3WCF1tz6HN5ixqbicvuAeveDPXPV8R
A1fwZGBCEHE8IdsILn0w76Ys0HBLa+9NrUWsv6p0OzlcUrMhkEH0OKNDp8U9rdsrEiDnQ1l51wkh
npvSd9AC94W1zIesQxojj1C9vmdZfIh7nyivNj65GAZxmXlXUwlWUReYoCb2RwZfgJVtJK+NXsnN
JLpr0djPg4Zaiq/6sEim3F1GvfWJD4jVeFXe9nO17HoPTAjRKp6nwnILzG5dOjyYci52ms3TGaiS
rs1iBDXmzOXoPTvSuUOIOe6HMmXq3Jh72kRrZfn+MRo0E6AsQ2I9t+2NrJPrOHTJNUtv82w4hxHP
tozYmkk0cHEuLmZY1Bs3o5+QlWQy3YwT3jj3XhpY1PVG/wxMG7lA9s42VrlDuOdDdC2BZn7YrfbY
Jp5Y5nn+mMvOXJuiv0P4YGxjN38pJ/vK0cpJ6YIQctsHzx7dG0t5q+C16BN51fWbhawIyyVJWAoq
3zv1yVXaoxkREg7ut8YyX2pfWDuhdEoVgqVZKZf8LgLv1YBXdZWuCe3cO1zqdq973V1UdPAXKz3b
TTrGx14powDnfqtc+67LSSiV5BJuyNgmzqRnhJxUVQGmXD8PEMfWTHU/hnlC6+5QWSpF1qC0WSxx
BSlw6LUE/hrk1HRsUFTfGa0jGlP6Lj2QzjlWmi/iKUdWHibrWARhUinDJswqawOxWKpUY2gv0J6h
I4udZFpNSVSdckRmE2KzXKnOcqU/M5USbbR4WqsmeXeVSq0KknntIFwLbUsp2NCylYjaUqB0q8hz
s43v0/hxHs7bAhFc4zvEu2oQMINtqVRykdLLOWUsoH9LNBpdLjaj0tXR5AQ3bmFWG0+J7hDfAR6A
pKf0ePTJpAVAdF4im8M/2vff01pPNpFS8pmVBfSuAlmWonLcRUUxP8wy57ORE9IVpQfUKO4XIRmy
CwexIKGoTN8NH/KKQy4ngsIAYSFenRwnDf1NkM43hFmuQC7f+ZrnHueWTi9SCkXq/0vVR/eFyeIh
JS13A4g/XvRop5aJ1b27NVgIDLT+dlT6x8mA2wAcfsRWGV06RJJFMOurVOkmKwSUEJSOxAusoMBc
BqWwtHCkAhOi3Y6RXwpkmD5QxawNGEh4SE4xWjhkMziw3P1pHSgdZzij6NSRdhp9+lqm2iVD8pmS
JbBEJO2uk8ZAI2VXHxmAmjDX7U2nNKONUo/28HtxxeovlVKWDkhMA9ED/DP0YSXrBosjQtTCxxOc
jEn4WEcZkQDBi0sztTD56nrIWFnCvziWRhxgd66+tiFd/h44plgTU5wSLpw99koVWyp9rIlQdtYr
faVl8cmA3QDSOr3K4E4sbe5UR+lsIYh8jH4L3zQ4+kqJi/7/AFdIrOpUWyRO8ZQj2h0LEzud0vE2
qOP5QA81Eh1MAd81JDtypH10maAQfb5DdvrB8m/TKpVPS6wyBrR+IREA6YlO5vpVntCroA2q2vRV
9MlbRKJ2NWg6ZFhvD7JaPTWIi1pURnMr6dxSPh4lQEoY/YxKkhQHJm0xKiXUTCRQoVuKk5D/Mwc4
Uoxj3OA6sZXQCbJnvKVy+0YFto/HclMrUZSFOmpWMqkevZSLbioQ8smw+MeVoEoGyVWqJFZW3r3b
kDJDD/FVhQpL93J4fMUjNhjkWUW4dZRga/KtM5ulh0ZJuSol6tJQd1WoPSY695WF7qvXgC15iYMz
EE1Yr8RhA3Zz18AeSXfhLwBShBtg3cx+lKwMjOddroRmZCRD2KLuxGUSg9pAjlbYzd5DnybRqUVK
sBZK/3oykm2J+hXtpOlvm6lYGePRR+sWKdEbLIt8yRp8myRDhR6TQsaa3yyUcq4M34gdO9pKQqcF
Olb6qn4lZ0KlLkvygSt9aK74+tyHE2M1+rdHA5cspMGF35JMtbPCbGdCCB/wRga+Vd0UbpOT9oDA
BIAgkWTaUzSUpb4k3qNtDuz8pDKFy8EfNmU2aNPNxKdT6E6srWzEFPA10Z6sfJEeSqI2FmNKAjo9
53YWIQ19iczYIwCsSDW5iRGy2Hnar4KhfIbBO68LH1noMIUGAcbJg9UUdxLb9IZtzmedNE927DmL
nMJLCzCKQB7YR579WhXjBW8reCYPqFcUd/mSuqtFf2oDTZGDge2+HLlOJupCnYut5Urj81OfHbV5
L+BriehYN8RpZpW9GjvvPHQxYXTeUQFwlEf/1RDIiIV9NOaJ6qas3rhb4MJn2RJf7kMbx/ah6/WP
mST47ZygAp8GjMRDf4HZGlHkAbKilVhQ10gSsorvDU5xCw35Ejz6vKlb94hX8NZE81l04FWdvJQ7
zt2jkKxJ0cguIVG1u37gG52YvKCDoTC1sxbPLmtbLPkL6OzbyqTaFUb6La3jpR1dpyhSE2daEPi8
dxpY5MIfzjjb4QZU3XXuINSbGlYmBpDaCcF8qJ8dwjezYjjb5rXLqI6I6FXTaOFh0MunVIb7Lopf
Oq97qETJmnDW1wQdj653x1Z0Sd17nmrzW1wZO9FqnIx5uJ8nb94nffaNN/gQqdbeoxZcR2gdrzgV
vtl5OTzlM86gsk6uRkLAVy02UlAr80kOGPRr13iuBp29ZXojZfGaVj7g27bjSRAvmVMeYyt6yiUz
0L8beipKNhCs3v57Q3//Eb3mr/++Y1E/9aOhNxHXoKhx7D8CN39v6BXYhEhitoRkT33JEP/Z0EMv
QQBI6DATTRY0ykf5+45FAHRkschehBLpa/3yF3Ys6IZ+2dXxGxJSQVoiryWABbue+euOhZmepWe8
jetBRGm7IqgCvDG3suLJ94DljQ79NrcnpGAw8KOiz+OPdNcGQPoORN2yAlGyCZPp3tfKetsnDIQL
g0lX6cLGBW0ffkHu5y/gveuWvbaywOC3PmhjIKNy6zZucIzsyd0no7dya9NaVt7QnBzT7hdOaJJ8
4xlvCKU/dfhMu0oW58ZUKH63pKrB2n47genHTu3e1IrcH6Yw/PWs4Aj1XfYEivAf9ogPJwG0kcS6
tT+mmyTstZ2hkgGSHNyUT1iAUZgje5OBtMquSIad26ISCVW+QIc9csEswbgOzKREQUAOQacSCTyD
27fi5ec4KxaNBxIf8gpjYUsoqLUyfFvylHnBdVJGBwqLXdegxekKE0azRTJniBmz7Aam70FyWzqc
xG6JjFAnacKl9ITVOm1nNCwUEVxBiGGWTeQGa93XHqq5vRNNs4M84+8dqrxGpihWXPFk1d572ZTn
GpUz4R/RgYXdxemC+3BAOSGBYA2o+JqK1N9enBzi4Vdmq6GcKWyPiPnyOZHZwS3ilzHp2uUktM8x
9Nk9YU6Js+GbU4iPqvDqPWOIeJkUnY98gj8LCREoUpFdHOMYoWhKEPM3CLkXf0oeU+qJhcxLlEOF
M641X2AVRWJDVlD75A5gYV0AJgC+mcnGPd1mHIFGrB9LS7Ch05EVjb6Lg0Yf70uVwvBFtYgHcquK
GUYlQyEouXZ/qRQGQ1dAjAYyBkvB5wFSRh4W9iawjO+VgmhECqdRsIUKFGAjLLxh4yroxlwTXJby
uG57ndkT+8KcLliBOirb2msK3RH65F9ZODX2I1yPCb6HjSXQUsAPEUhvbSRwh3u3/cT74fJuscTw
3a+WlYKGxLPHBChgdwmLB2gD3xGy5hkJK9xIQLo2/ma6Lkgk4QCSBLThtQWjxIRVEsEscVN/r8Ew
6c093X0gT4J/s7W7u0rhTlzGWWnuPnmCnZ4CokiL3ovFEps8ZD6KmVJ0z56CqJRjx9giqcS69Zix
lKITiy4pNmVanUyz37Za/tCGPblY4bHLq3xnwGuJTYK84bfYPTMVTyFdmnG8zjNzPvh69hKBf3Fc
+DOuLr19UntHU+TnGFRMppgxZJOZyxJ7Ll0GRBkGKz5+CyPe9+BmTLAzRl69ZIpDw+iQ8ho0je05
TzjDrk3FrOGmE2yz4Ng4EdS2RrFtohDKjdYjfSVeBt8ZG18NFI50g6dZsXHqCnHHzPhtVtwcwAMj
UrNshZJoH8zNR604O3iyKTTQpOmKwRMpGo/gz4rD+GvAdtNJFd6i2D1D0tqrdGjcHd3hJ/rHKxvQ
TxwxBBsV+ycDAqQDA5qBAgW0FstGcYLqjiy7FHSQA0LIALUOoqW4MRVdyAAz5Ip+281wh+rCD9aE
sNw0IIkC0ERD1J70L1ZR5R/ihlIl8PKbDCEX203tEAE4ih1IR3o3HlzQRyyIWZOMJhOqmkLLLWS6
zhQradaj06zoSU4AnlZrss9wDu5rDGiLyTBTfjmoS2OUfG8q5zos4THpisxkK0ZTwYb/SobavOuw
qeGJUgm0882EjG6tKcpTKsK70YrXvcI/gYESIscjXTUHptWsFrAvLesaapQlXYaybkncXz4956Cl
UGu+1u3ItMyEOuWDn8J+/QDU7gjokx/FV2IP9obwOOIr/KsYgFXSBmQW8RARSQj0l1jG7eQZ7zPY
KyfkzB4BYbkAsWqj+cCmj3O7fp0B6niKnNVOBK5axkvpFyTqQYcBPLwOUn3nAd3SyY63VWQ5SjdO
7oqtJEwTPPkZIkLvvgLdNdvOR9pxUMaWqxLBvB1fblLBAH4ZFnSisRXstSBymEDBMp5bmhib7EEF
s1CJiXzRbhoHm7vrzeUW99Qrd2ezLuMI/F40lWgdLffa9zV/q2E13TZt8xynxp1T9JnSBDwYXveS
pDCIiG3Hmwnxa5F5FdayERmD6b9ZgQ/PER8L7++tSWq6K7/83gakCAsovitMdPO5SGlzlB+HO+8k
2ZEvpBrLCwJcOqixVqWVa5H334k4IaHRq79bUcFcWbTLgDg3UN4BnbUL8DGcIiQHYliFY2cTIdCj
PO84wQCDnyNP51tWIZAFXgiDL9zBKI5wELxZGg2p1Iq7qcSgFmvJN0T87xCEsfvn+ZaI6C11BJ9B
MNwZDttABvfeYdZonzuifjjEiQ2gNCIxcZ4w9hjttZjtVTjlnymuvqWfy+uRSfGi1cKjbpE7I7rq
09fgruu2eKEtN9ZanSNKKtzXNHKcRRVqz3rdBzeNX5w4zVsRnOwh2ka0cxqWPqAsepeK+lxmWRkx
7Ij1kMykuB5meC6ijv52gf9TrsSe6L/X0dvso/gPpBLFHPmpjIb1Yat8N1DlXxuu38to8zdsNzb/
+aed52epEoNhSMQ/tEp/aN4tgebd5N/iv1DqqTiUv1BGG66y5PwheVNltMNNTo1PJQ2nhH/uFxll
MbUe1aMvuK8aEoMcY67Aqyo2taUVkbl2orwNvrH7b27As0KyzhXUeoZu7Sbi2BQiZeySvqUs7JWN
ejC7cDPZNmdhZWWj4njP+2K06nU/iBvWPZ+4zuIlLGnGSiZnholEmYvVqbc6wUB+wZym0nZanL05
DYlUXlIew0TepCpTyO2aFXuTnadz5rE2IjoLjJEoATYQSMTddjaZJMYm2FcZkVnU69NuUilGhWa8
JcQajYRg7hvfeyaWaT838p25wgmyeOaoaC33RWE5OpWThHjmAxbiKlUJSgnUWKYKpCrNiAyQ1hZL
czB2NcFLEBwGloEQsVJLa0Cxk8+EhY/fFgTuqi3nJzZvJ2CKFJFJa2LMJOXJ5G6PbDLUrD7cNCoJ
CoSYt04Ih/IJiULrNaxq22MeW/YvOUFS0GyZnpfXHOro/PPA2eQqdYqUvb1UOVQiJtTIQKW80qWN
U1PlVVWKC8sOKV8CqkGGPN3kTrpvCWKBw5J8n/LB58bkAG3KAJESyl4rnF5h00sqb+MTMOLBoG+C
inpMVJ4WcCsyJr4ytiRpW6XK3ZpUAtdIFNdMJFeuFfKZz/Oqc77NuXsC/bckUIIop+Sgu8GdVNle
lPpJu0LMywkEprBnHBSnnEzVP44p4+vMGkMHOF/r20xOONNi30faDfZenLD9RAcvLWHeUVlRhCWV
vrZ14mGjwBd3AalWAtKOMVJFlazVBmeyt1Xj2Nkq68dwa2B5Qv9WNObRI0Qd67Lr74jq1Z//Hit8
jRXsP9UJ3HWvRdxmr33776MF9ZO/n4k6ZxhUZEYFruV6v9CbjN+QdKIVgIHqfJ1uP3xAlv8bVh+G
5Mg+AWB8nVQ/5JvebxiHmDdgHmLFihvor5yJELj/9Uz0ydzlLRAjASoKQOuvZ6Lma1bajFl53VNY
z6fErJzkTMZUYq67Ls8uHvcoaQaZc3aoSbhsGUGzcm/M/H4wECzmRn6szeYlm8pD1ha3+HpWnWai
ZEyCk+84J0bY6bLwSBi0WOKw5DhGunyak+Lj66tcDibjdjpq1rnzBl8z7CRqnj6IGB0zXKDfSk4d
6v8RvCyGjqEw3kwNbwG0jGwjw8E32LixhDmYqduFdFIaq10SCSg/czZDLh2kTs/rDtXei718W3vi
4GZMNu6toOOMCXKJaF4IlXjSqPCTRMWg9CCRTIhJg0pHISfF+0pMyb7SU7zG0Vai9Ztkl9KYzuu6
CfV6TZgQurhMjm+9m1NDZcWTh8582UVy6+Ne3uJWRz5fEtItazIL/UyCcyxPSJXqpdlSo1VRvK5n
FsQRZXIZsH/Vg0etmffoZW8HwHwF+kubYfqgdcdROtdicKeFX7kqewnyafxKcXiV9Z7GvKI/YSYi
DFirdj6T5AUIh9uh1/auYa6LoD6D1/400Y/lmtwZcXeA/boLg/qISfKcm+MZPvabPrW3ImKinrgP
sDpZqHu7AIiKGw3tos6qu6xCzFTEq6zSt9Jpb5vOX1mjZE1uP+Weu9AFd5/fHhCG0kHkYMsT8Vkg
q7MzMrFkvwa9ubWhhxtlewri9gJC4IXxLxBBf1VRChZedJ7L/BpR5EI4VMetDVPcfJpleWJlsaCt
PPNZwqqExRlF5yQoz6gSrmZCCkmyPSQOU2RX/2Y6ycaPu1NldW9h6ZM5xUcfeuLebhC0wWpitnFE
xdwteqGfe/amU52cG9e8qScYVrP24ETWPkvUJ9yXqyrN962B9RUxrQjqD2FzARTZE7DfB+TDt12k
bYLKOaLp3qCzgLo6ACqdiBKzx7eBN8G6xgDTZBDeRHPukZ6FkjP0DKgl45Uco33ZMoPyp+aj8cxb
FHO3zYS0MwgH58ZzGnbbMjoTyXKa4J5fN2BU9uT5scCHDGWhV2ZNunDG+hrr1VEaPFK9sPfZ0GqM
n2W1qlrxfQrHsz4iFsitI5vWm7Hu3NVYxSoayVtZdf0NiSiPn+XSKQRb6olpo1nBN2TVJynGaOPn
/T1ZI2tLs5gk2R2ySpR+mI2BWVg5LYAWgetkk4byJDJOQA9ubYgZSzbLEGpHPnGyOS5JpW1bNAsV
Q3LmZClB9q2XbKBenLqk36ZBuHQIAtGZOax5Ovi0VD626NtLDVNkWdjtlWkRHRdNLYEx8bUdpEer
1ra0fOvcrc+VicJT1vl7Zed8GLO2MiUsrCQgVSPu3Bsn8/cl6tAVvh6LIGwisYN5JFg76SEcmGJp
RqDnk7g64ntGpt5py9wsnzvPpjs3MdZp+XzuDevEzu27a9UEevnmLqgKxmEIjxZMKW9Zaz92wj1o
DiHmWp9Bmi+qpR7LkyOMaTHYnAC5llVLURFrYdYBRV1c1Zukn45lbciFa8XXaVo/DC5BAVE03oeu
w/POzLEg1HXwU1hp/GmiGmeJ1SQPYsiLpYgjsaBHkse5tLKrCAfm386Nf7RCxp+uFHZ9TvLt9+7f
b371c7/f/LAIUAGqHKav7QDdxu/dEGwDzEdc+7qlYpWY9/9YKlATINwj1snC/wRjDrvFDwcwsZE6
qAvstD+0hX+hG/pX24btm4paoEiQeJHhJfx673c96aVe6chLrx/g3yXTbdluf+oP/4Nt7R824j8a
Ln4LzCmol6BtUP1gt1LoyJ+YbAaHR5KkbXWxJGZbUE1Oi70usszCukQ6cBtlBh3Tm7mMXf8cMah7
pjsw0xtfd6ZlpOejSfxBtWyx2dfReIyDbM1XYT3HfGv62VpOU3YJuI2zUttPrdhpdXnX6TgNp8hY
z7V3O8btLphqoiHycVPEnQG8qD5olbzW/PQNQMyrRnByX1V7AmSf8SewEo+j65DDzDezvRe10BPG
5rPp1dQ9lquMbmUb13bP997IFp0jd/XAnrb3kgfP39VWu+TXew5dfa8LJvkcxod6LD6yVkQMgrjk
p/wjqMiK8/OqW5T66C/qttmQMXSkHlFICCVoloz9Kk9/G9viAPsvRyBWUHCFh8A0H5qRyt6Mu6c0
B/oTTfK9de3DZDfFpk4qmGSjXIkadKUTB84yKJs7IKTo+O2yW4eTdWLUjpGmtW4yKEL0t/2zlliE
Unjj2jHZAfhm95l4NQombhNiOkts4vYVczIbFXcdL7K0TnauTqI2+ptwOSZ9sY4rE1U8J9GC6/zJ
yEsUiMxdWSXdOoyTFrmZ3UP1In3PT1+0urEXpqz2guSUc9ZJji4tPbRazEjLqG3QNuEx7N4hA28E
J16cS3NpjzUqB6qqYCaUPKiZEpahcWj8vll1g7edPee9ipnayqm56j373W/zaOUn8aefs4IObX9e
we66x6PzacMEVvN2wAsS6VSyi6BGrAyCTUoIQ5Skb0aSQPCwkVbiC99DnOSiHLpN7CuDj4Xd0247
ubY1XYAe7S8I0x+GsCfBOeugPkeN0n/eMXmrVyCb+mURYD+wCdod6H5n1ZkJP4EJpZJHic8YxfCU
gsbGV+p+Msz75hipShPEoApIgxhAyuFTkWfNMuQmWnKuPIRTfVfYTnWIUus6zDwPGkXEyHocvw1J
xtMja2IgJX8Pz5tfUjfArEzvPlB424Z0N0OjP6Rhxq6fgMJRI49jCDs0YNpnp/kvBICjSU9BIFsG
yt4xwCxB+LVb0hZYU7qvvmyu0m7qACwmsk/88vW9E0qglW7KUy6y9CHVLbF35jG5uJa8r2uT/rP6
yDFogTHLFllZfTe6Gmkn5QcSfxRpqSS3rYmTJ9vuVpkbABBzH6HBjtspmpJjDk4l1rTbpk+EmjJk
NRHPOSFog/SvNI9ReiOqctlmjA2RRS1Di7l5aZ1sMueYw8BmI2O74rvJCqw6t6X3HPnOB6j+esGx
Bl9sNjY51/AQTVeMsl61sb+SXUxOaP8S9rQmnDm3TWGsSde8LQ1rLw3tlizslauFj/QfL63voI7W
r4QML2yUL1POZL/tNjMi0UBM3xE8QEX1QLe0UDeJeF6mNUSntqEgQikHa+3sEaLV1GmGpHZeoTSW
i1IgdUl8jU5Gu5665jGPRboOzPaj7aKNWY9PWvvh9DyJg+ttLJts+WVAahd+qUAywKKK0LS1Pkze
oxcO47auG3OZhFBaHL/qqnNqWc95aROgOddrbyhCQnASVUSmpV1Ni9yZrW03lc3SzyiafQusbN1u
mk4+S5k9trX2ghHLutF7Z75w4dWbJqtfa9PYR431fQz863qeziIToUoXZymAbm5FV8l2KQENk885
VXjuT6cwj+7iMHxDsastZdpnVw1iCwZNHe7mAq2m3UUvhcmnKKP7OC4TFrfsv4f2uTfKGamelW8C
5ViH7N2Ct+HuWQoo44yGMsbGfUWOQAfayk2QPU4T282wAf3Lt7x9CkTbr+zOy3d8m/1VnXUr2x2G
3WB0cou6qyTmsJy2stDZFWTsqMMO1SsyNmcnyU/aMce6EGh029qREnhsk0ENp7TgPS7RYc+ucc+Y
7bkxxrvQadw9NInnUkgycNn0nP/82v1VLPB16WLi99WNaxKpoga0P1+6btZXcDrq/lL6oIaM68S/
d3nXDpPC5H+5nH+tItRrMeWF6mqomQQGBjVx/emCb1v2lKqcvrAaC9LHetpE2v8wKv+vl1D/+08v
QW5klsk+k5eKL+aEbzQavtnV3Z//zf7jiwiGzB61lWGqquvnF2nBxo9JIeXFau7r8jhqZ23Y//lL
/PvHwp/qp5dQ5veffo8OFWRo2KO82P5dXm/Aua2pQgrvNZn+xyupkc2vVdevr6TeyU+vlEWDk7vE
+F5q9jRGQcNgHvoc8dF6yMHIzf/QFb2P/xd+QHMDj1EWP7N9/921b/iwahzCzBkv4Yr59eU6MHhz
0xmS6eez0WHtcu/D6GrKn7/+fn/7kQwag/++dtkX039wI6mf+dFnGM5vrhoIYr7+ylHi4/7RZxg+
OiRdp9LXLc8ABvN7n2F59BksaUCJW3xqrEN+7zMsh8hZKnYfRRQm8b+8daEF+ulxhGVEbL2l3gPB
3hawgX95HK0oq4xw8LpznrrRpiyzeDWWOdXYDfSRGQFoLKJgdtc2KN0IY9uQyrVjdCbkd2IJCrm0
p5j2tfbjeoLKiMfKQQoknQaL7ejWPRdUFllbSD/4nha2ncWERmpBMpgrLRBlwcDC7e2L1/eiKVae
Xg321eg4sh0hl9ZJ++rNJJvPGBiJQ0cYOjaDIDgKk8c2aSsBe1yPCKRp3EUtpf1Ql+zUfXQhdV+m
zsJOE4rzWg5XsXJuYCEqzl6W9rfkdMo3vXCcCh93FL4NdjNuslbPj7GblhSDZXBONPDceHojrC7k
/iCssKYbwzODPWJleWK6KM8GFsZVg12mlBihkMGazasfs3DIOlSyywit9Z4JRXdvMuRY8hd03v05
E9shyiQ1NJwkhjIoPGzr1p/1bD0qP1HW6wQe+Qa7FKfrMKm4+nRusLtvUshQyAMMxJ1ti8+bBoas
33nodnWgYzI0KsBIQkTmN2uu5ks0M8ldpGZvvqVUWVc9+pz9xOLj2XJaiyBqE817xdU/My267vv0
nT9psSekx7gz2ljPlglArJMtMQQ4qArOE5G0bIsdpCpx226FyJp1Mgv/PJNjtCMrijt9Isc3YoXz
jpg2O+L7bB97EpM2rUgKiAKxeULulqFjidoUCwzyLVQr7g0ltbah4m8vUCarFfrW8gqJ/HDVtukB
OcgMKEfzN7UzjZ/SZuzpV3l4GMvY5r0lnsak1tUPJB4BgCon/DZdBzGunvxiW4V4cGwM9YvRaTgD
Z1MEh6zR3EcagycmgubR1PzqmrcfbLQUvFFbmkjxm0a/nuYI2A/5r/swRl1dYlOnYK2m26jx5Qpw
cr2e4n5ch8McbFqoB+Hq75P1a4OjmCf//WQ9fwyv3/+DMFT91I+zFTsn/xI4Gs5CBjkq1u7H2Ypm
lANNUTbUVvsrDO+fMxzW1hRfeIpd06Sg4Mf/OFvhcuiANxT0nKELdcZfGOEAtvyXo9UBE0c0Kspw
F5Eq7+LXqzfo4wrPdDxdx8XFmrxuaQaTXMAxfxhnUy70iXRHYRZHDoRbGro34F3a0tNmnFcRcTMT
DqiF14lDm4prbvcSv7/7hsT0lPXicZ7rB5xRnz2b21rDwRcL7yWr8gqlmItPX85b3cyPJVbF5YCp
G4KHdZY68sfMRRsJXuzRDd15YyEyhe7LjoOUbCTqznOaeY/hNL9pgV8sA0KKaFUf0ri7NMI+x36g
7GwUSen4UJYjcJqBZC2pnAJae2X4zGVHYh7yseR3hmDhW5CX+33vI3cBlcZev9gUkfaEmQJtibNg
zXbO/BCQCEa+wkNNGhQt0yEJKimuN7WvspH4zhq28b0U8XWb4pgJuWyIL85X8QBhwKhalIejyzFg
UfW7Nm6iQkvWQnNe8jmFyAyVEly0nh08rE2rWpIoqBFmDDqMQCY5rDKbkDdBTw1PeuZM7e/cCafX
3DiPjMHIywjjxr4TXh8i9OvxR6F+commezCkxLE/+MhzVg4IgmidJeiAzuOEgRzsXZjZK054GBoD
eE4Xd1c7bfVs3M1ygOzRKilMGG5H3R6W3gypK3AMdHvVsMw9+6NKnFOmt2IxgIkjmTMChMGDEwX9
Q1cU3+LsowmcA2huMpzsdg9S62psQKi7SQHpStfWUVpxDXtgTHT8K+lkXUWR/jTZaCcqpmK5M72i
cK0fcOXehrl9axjE5lZy36PgHJMk2MVOQI5gHOxIE0ceWltXU58aC6FV3n7SkG/Nuf+oDY2/cGtt
I4WJH4h1PvzthR/I/SzIItTLyqWTKlaCxdhyqKttHDN7Art6KcyAJZuzUbfComn6xznLnjLH/MRx
kiOKqp/Beh4B7j9MXvQS5s0FxX68HDuf3d783DYq36uMdnBbvSUM+nUxdoe893iak/l5QCwBBuS1
m+I1I9ArkcQrrKAvmFq7VWBJ3BQ65oSsUSbj5iFqcWtUvd3y1tKrFIthhTIOzsRLLZiCNL17aqBV
zxGwUQuM9qSNyNCmZd733/Cx3ZJ6s/GgkFlgNMZKh/ThzuYRBDPgcrdAmTCcTSvcpMX3VGX7DRiY
W+W7i5XRDtnDqnQg7ZMP4utshIQk5rfz2mdAseMycM3XHGEIfWLaLaHFH0iRNBfDMN27MwwFRLDk
JjbefVGEV36tv8x+dMrEeGPRkBu4ixeiFt9xZu9yAbXFRXqMLZEHMLjPSFdcB4n54SREmMWDcc9j
/Ox10BAB2MBOdG9aYX0X88RVr8lLGSBfzVuDIV9oMtYKWKVkLrsMv2sMxgdjBhZX3KYp50oEAXUf
DJG+xkcjN4Ur3sage2UVdgkMOJKB5wQrjIbBMp9qsW4S56ryW/syW4j4UEgUN8FQJ3dVYWDexM0U
ppgHy/JozeGbURio6/tplwdC+3/2zqS5bavr1n/l1p0jhf4Agzv4SIKtKKqzZWmCsmQZ3UHfHvz6
+0D5nNhOV5kng5TfV6ElkTjN3nutZwVdZl7jsCYPrsLirKRXEB/QveHZnYNeMK1ulp4WaESfrii9
Xi7sNHUcWnah3VzNBsQV08C+S1sk7u4agJDMtKyDO9vXwO1OZc5vmWT1BhkdLItZszcqijZpnDM4
FfZ/R/7/Dm4YMfz1kX96a/5EwrYkWn078A0BJdqFh+YKpq7vFdNvB77+C8RUAyGH/i7l4FT/duBT
Mb1PUgwCSyidlmHKN7mGTTEFEUIXS/oN/Lx/h3ZYBia/l/Yo2HyaOgZjG5N0JJwBS631XWkvjCoi
+WnurkUr4BvBxYHEE5tyI2rb34nB+4wfYtzWFamGhppTm3jV1uuxEovETJ8SE8vxJQ7LngQKCPk5
vcF01AM4Pb24qehPjzfFWF1XVpY84BEEdYIkVQBbmVuwyHH6TLwIdVuhol2lh5RoEU2skE1wqepM
e4633fsFtXampifkQsvB7hidkO1THkO0qRBizyZ2QwsBftJuzWJKjGOej3N5H83gkxmtsFPAq4+a
nW9FKNwEvsZpYDTdlGO60zJVB2PNFWHISEkap5pbSOZC8x/i3thnvnLnwGp7FW2U6bPvyB7D47kS
oYb+yq40/NnV7J57xXGzqczSvU9ct2FMKyoMkEgEdwZD6O4+syRwKU56eZlMNzZ3teB/q6gtP82j
TdJgBXgnRVQcl+IAjMHSg/9u5e+3cofm2l8v0SdyIlmORZd06vDl//3fX5f18ppvS5SLt6NzASSg
l8aTvQwVf1ui5i9c1HVYdIL1wR9/X6LeL+CHaZBw+ca/7CxX5W9LFJoLH4/rMQ/FX4VE9N9cyvFj
/bxGF40pFHrXJySZmz4/xPdrtGvGtMDuOV2qLiRTx+s2ImweOjMHvm6qbgN2sXzgFJQXs8vz+7YP
mz35RP2+n0MDfgMWCIIvFuqDdW0xDA46CaxYifTNmkmM7ShZT3E9vPj9WD2UCppVVsvpxo8iUMh5
IdY+SS4PNlrMRu/JNcU5PSQxqZ/Rwisbi+gOMhmAIzYrasoQzLFhfMjxsu+lJJg49a0dsqWDpTxG
ZX2znezU3CCfSi6SYLC17frPmu6OkFy8j8VsJh/AU5TnmFbNtiNTY61lBZ0V3oJLYnjhdtI7f18D
ZrtEowlUK/fz/VgJciciy99XxdytyEL+VAKgZ3SYYkzr86seS1Xma0+jY4BhLfs16T2Y/OPqqPc2
GJJIDwhfO2aNdsJ68JF381yW1PkA95mpYlNAyBE/O4P9eXKhTQHTe4zq7HEJ3wyqOBoR0iT3nd0y
ZZEa8MDCEGs3ivbZDHtFc/M3K2JEByf46DbIR7oZpxpu/HTbIeHYxiEXqsKZn/igaUe41T2d/mtb
qhdvTvZWiF/FrqwvoWpvMKcOV4T1NivwW3pQj941qBSU+OF87ZR8pB0oOiRG+IKsF+RYCJuyVy0E
7VHG8ZEIuwulBViOyugAyjFC10bzwJDWQfg+Ef0U+Rc6shR+uY0Xzr0C5OwFpbBCqFLxUxXNt7Zt
k3MNG0WbZm01FKiIeD6mtevVmXexlJ5aLxx4jjqIDq+eiKOTFtozamaUuhvpYJOIhfOm0UqBPcJo
VlOgFZdCwqd40Ad5HFLcdMJh2M1Q8MoSyGXkkvUbclShdsbxrpws8Gr0Uq02m3eN4wxUNED07Sh7
rc3KZlyfKEggCrhV6m91PUMAnc28yUkbHjTV1usIAMp6ZIGvdZ5UK6ruZAHGYkjsw+TRr0ORpT8U
cdgC54J8XELqaJyU4afv5gtRAae7DlRMhW9KmftE85xD5jgPTRfifyu6tcgQYAuSDloH8D/i8VU+
9lTH0j1oXmNfBBMw/G1NB5UycbeEed8PWVmuw865QsiDdKdQ/loHzdDIPjmivj1RNgGyKBM+pQ6p
rvWpNcKLNkbEmBBBRMtr19XIjdd+Dt4bnPMKx8bGq+VLLJ2tR5uxM1kmVSUm3tj8mWvncRIMzTNN
AIxNDONCRqa1CXstvqOSJUnRZvzee+H1UGslUm43MBXVJvZnnnMUQcSZTLfKaMeVqqvsyHjAW/VU
5Xu97uzAa0t7pyIQAToxheAYi1MU64Izr7eOpKLPxzo1tJ1d1npQ1tWtCxtwO2fqqOnRp0rLrRsz
TYC2A4o8aPTM1tSGR43mQDRFIa6f6qkWafS1LfINvKnevhVp+janMxHEhU+U4+q/8/P9/Fx8xn99
ft4lwxv4ny9vfzxElxd+O0QNFEgEmCD81QkBEByv387Q5QZM54pmEpMDCy7Z72eojSoZXjADv0V+
vGTy/XaGonUy2Wg4+d4vufBm/0Vjy+fb/3DNxTLtMr70uO66pIu6yzX4u2tubAJ4H3rLPDdlXVfi
SpPvwRk+6Sc54dp2mkEzMK1sg8/W6ME3ANU0lCLFW3WJc/GkLi99SXjGmE/awXEK69xnmtqMZluc
qObye6iV46Wf7OoKUVD52kXdeDTzMbtHG9GcbHahYt1N4i00E3tf2pxjRtrglxM4IZ5jQhz8lTZA
t2hG9npf7jLTGDczvtmXYXCNr5qVzHdm6yacXLgZIPihFdI9H6qBi5rCTM2Vo6f5mjZFdpPnffhg
pn581wOvjO/11MmidieFUc+HuYrZaxuwSnA4mHFEyGzsXh96anM6VqhW1OiV6jO1As7EBny8viob
k6YQlwX92nW51uZOUqcftBQyLG2iTAjoF27dAC+1VL5yBlU/ZwTIHOyBoeRMy37DSGTVVOrodRUh
voUDvWpofOeEdLX5HKaJa67gT3De+nobrbQaHfJaJYVlkVHapgcVu+xcJe7x2WgBeZmDQ/NBpK9d
KuNj5YbWfHbSujt4THWGuzn1wOxyOKPoinkwx3Puo5DUdv/tCO87gsHw7q93hFNSRO0fd4PlRb/t
Bv4vyAodqlvDhdm1zAm/bQd0wEnNwzTFlZpRICv1W9Hr4l7gH8Gw0HPfK9vfdoNlgkgdLEzMXgI0
9b/ybQm2lR92A/jWYI9JKmGrcsEt/rQbGKHVcToKXIuzZjUfwPpJ1K2Fyo1NHGtccT3sRsm59TLr
U4WeEHvVKG91zVoTgS1zWEdTl6w7oRM8qDy3rQ952RCHJgYovb3TUqK2bXgcLYkJlfJkzm5LwIUV
AEOIrs/TaHI9sKxr5eIftgtoh5zfqMfr+KUUGA7NhYmIwjJeKV2jddjvEP7R+zSx+o+gFGMj/MTQ
Cxdnqadwo+Q7dDGTJfzFhcQ4OLSOyk3M3+quy151xdnWlLtXcIMTOwkB7sox0DuSTMJiqF7oPD5H
oBTWnZuH9KaLbTuhZyvzdF+n2j5J6CVOTfGiowRm8Bdam9nOPySR9mqeq0KdSxvqsCV4e+SMLEmG
D0bt3eYE1/v42tP51ujcD+OA59+LAhvCl3/+byH+uhBZHn+9EK8+Z29/sg55zbd1aC5R7zrGRcPD
qsjk6Lt1CIfEt1lQBOkw67H50reFyLiJURJOIcEX9fc1+ntpCy2ErDLo8KwcztN/cywTyvvzSlz2
AFajR64BR9zPwQk4Iymk68K5ZIOkTIjyOryfJlAGe9ckAHJkVAbOCdhzjQ4Okq482A0CS6fXnH0W
ognNUcyfx1H34fhIT99OvcLDsVQMFqWDt9QQ41JNkA961Jb64n1kMUl96+bgrxFdbf3Zo5GM/2RQ
QEnD91LFpWgppvFEPbbVvGFxQaT9XTe0B3OY3Gc5gRpo09gPRrhUkojIGWHgaEZ3tYHeXncZI7Um
KsYib/bdbFz7hIDDKL1NLO8y196BMv8ezOVOK9tPWuRVpyLkeh+T9BPbycHwx0+yi9aeFt/npvMh
SnB/02yIEQdYFWPu6Ima/WB5VZDq4ZPl4yqLySZUQx3iJxhGwn3ohSc2DXYLRWjDEGAlSv9UW0hD
s8bEJimva3oKMLuic53bn3GLXChKvxLE48DQK9dzOXKrD6sjoYhinZfd3vEhrCAA8g0T1+SMvzqD
QSUqy9hYQh3nUPvkNfGtGm1yk7r00EfYNmrRzuwCbIPegjokk3OdjuUeacFTRs+PAXq5dqxm3kZK
ErhTxa9tjildVYazKYhxh6d/lKTC7XLPvC4q29yMnYw3SdN8rMLYDqzma+8qfe9mrh8QdwaryXE3
dGK/alML4sn3L7Xsa5AQ6BYHUT94jQdn1Zd7GPi3Mmr3/tAMK3so12lXibUTFQzK9Eg9qwIfTWR/
EcgOghRjCZai+cluqiOs1+dJn29rpH9DYzyNFfi/pou/kgUFanPMYFO36XUu1D5rJ3/V2EZLX3R8
o64EHWg4JKpV0TY1+1cVNwgiHGsrhuxV0ailymoWInriti8DIqkrhCU0DvLFgNkhiJebcbFl8vvD
PX33aoZOgm9zwIBMa8YTEFCJ8uSTMgUyVxwtEhQF7/iMV3SVhASA0Cnb+hoQvFWYadGaYyTeq0G/
zCyGW+WlYpdpHjhrCleACebRslKLwtpfWTWvmZNKuzAAJCN00svA4mmjLq6tbJUZCj+plUwHNL9M
SSlUj543zXSRnRHoQdJRlY8RVrphO8L08/ToAoYRyaJpnK2+xlrm+7dYqiG+yPS6dqtkZRqP6HPU
fWNo2VNh4Kcxa1DXFtlzRthUgdfxQDaulUFGi7C9QOCfispiHsqaxajIc2P62kYUQB6MsR+uwYeS
NVSCY9HUOTOZbvqolfu6AcXIlBkRfPvS9IvZp+I+bDWHwu0tbAbeEWyMczQiZrtllRoLuK55NumS
rxxow+TFDkwMl4OyiAVUw7yptlolAeLSpXmtDfNTmufhFpPfGIzN6O2KmcSmLJPOrsyZhrVaqtOB
huBgmMvnGzKKmu3wVPvxTo7jdcKKAoHRH1OYEvHIb01nYGtE5clQ1i7Jwy4ofWhn6dygVfG99RQL
TFNezydERC4kwi0gZrXNi/w2dhKMjymIU7CwJy/qIyao+i5xsicu5btea++Z/A2k5UDVjwlIKozs
3PYN3vSeniMgyV1YVXu3b79GVsgUmcMDbx1JswYqY/PsTflD3qbyyo8H5qVJuypteO15SepERAgD
2qJHrj7b0a5Ofei9TaVpoN3Oj102okoxpp1w7fv/bgi/3hAop//uhtC2b382oeJV3+4I5MH4i9zD
Mi2TpbbILX+7q4MxW/5vms7vILPf2982STGevUDLdYxHlPVcH77dEWCV6chXULLwxUWW8m/uCMgD
f74jOAY/mAOuDDexDbvhx9p96P1J4xY+XhR3XxHEQLPQzQt4g5FKUC+Y4ambs8gKVDoM2UejN6AH
MFhLukM1JzrGXnfOrlrk2XOQTmZHSP1YFSWt68JyndeJfNMlUb0J56CLGrY4pHn7yTUi/6uv50Z3
r9oWP02XCDvchGqe6TRX5bhoJbRlCFS7kTljh81GCJ5zadgoVvtoMoLcjJo5sIWRQ2wBHYlALDPA
TNG93TVDZDsfpEEAyxaz8YFBGhsO7B1YZ2DX9pOl+vTraHkTlDVkdkEUpdTShODo+xgs7RGpi3xJ
4C5sfNLatJWq1BBoElHhsKDN0NwAr87xNVMM0ENwUPrNc47uXldazOYc2TtHxV/dUSO/sPC+ctOB
B5NHeSAqvkYKGbSEoYddKMrxFEeQSb1lU42S3FwRAYtttdEoCQQ8JhP0AJBwckRXDfHhlEAkyxoq
0fc0OrmHhEAJDW/Rz81ldKwaTd7YSsYrORn+zquKt0zMzs6SVkQvfbB3bdklgY5BmmubgJnu9PIm
0/HC1HhO82qgV1DXYwB6jhucZ73FoBT31Dw8FuDIoB3YoN/LCMGGq71UGD737iz7Naert4ub5qsY
wxAUJFckkXPx24wNcROS5uiuLPP2SDRRujG1OD3zMwNvKt3ymI3DOulTWLqk+SEsHNWt74fObvTL
PGiXLJpyzMHtNra3GvsQSuXc8GN61idZZKgAaqLYm8bWCZkUgBxJllt1FSzPHjX/Dvp9fYv9BsZG
NHa3IuFGMiujxjqmsMag7JPbWfenoB1KoNn2VAWTIXqgqmRWhFOR7Q0JcohBZ77/b9v8ddtkXPc3
22bZ/p//KaI3+fZnfQ5e+tveSW+TwooyxKS+ZUr4+96JVNpHQM1g8F3nt2j2vtVX9i94JZd2JO0C
LiHftz3N98E/2yoiMoFY+l/BGCj8fuhzkOCFOJCyjzkDe7i+fP27rmfqCa4bhZ9eo5uZHUFq0c6u
H797Y27+KNb/OZF1qQWRYTumQ1fHJj/b4T34/rvUIWWZMwN56Mo0kZvS0wvAeI3y1qFlZkFqteDm
uNsSCYs6rye8aC3n8DRQftzpVXwrE9J0nDi5GnWd2snQnLXhwZaSRqKv9Sg+jGZ+6If4nAyM93rj
Sp/HW9By53ouEY9ZFzQLRz3NMBYNizhNr/2tWLYXUgYVhZv/hbhMHM9Zzhc7EliBl3xN0BMQq+CC
qyGNkGixkNdPghgaRfaDexy1GTbVCJuy01rQPr6JUrqfOTWyrsDHZ9ofQ8sXOyEd69nMiZ7Q0Dvu
Ej2L3SDu60oGpWJAWJYG1iCPjIR95IM6PxgW/Fpult61q1rFVQda+4KiiGOAk5XlfZzN2sUUaspd
o82uszPKERsVQyIO3XrdO3mnwpVORNrFq03tzN9fbRbxWrZ4y0qt2HnctjYuQ2AOAYQcjfAYIUo7
O/Zolr0bvl9rPTsqEvjcVTmUHKPWXSkaZ7qJDbhAdaT8k9+44oj/MHqiQW8/DkzxgJspgp+7orcP
Hkp1AjBNZ5yBQQxUddjpfdSVaCddVBEBUQ/2xqwmtJs9GRB1FKnDYDrDtd/3Iuh4z9HIze3nlkJ7
UrBt1eSZKL6Sg8bML0BJQz+MdLA7zKTHVFcy8EvDv0PHzfg2RXfpKR/tf5Wjr8/szVAaKFaSRy8H
JsdHN4AUTeaggblJIc69fpJTcnQJDQuYu827rpPGuvBD+7qNB5PM1LrdudawH+0CfdhktrcRl3xO
mPycFPI8NG2xzZvk1i6dgxf36SZ05b5MSNuKLP2m9cf7Ds3iB8xw3lccuPQGso07Tu7XMuk3Tt5u
srA2HnSt30ZuR1xXmSH1zLeZx419onJp3epL23ZvRdK8KSAJtN02oEmO/pRv2UBw2s47e9LPyhs2
lt/tmZlczbTqo2Z40Z2eEl7bytHg/KG136tX4ECcW6+h3hub0ZUWpzihQpkzPDlu8iJn1w7cNmuP
VG9028f5ysxJeI3Ms1v1G2R8TxUfX9tZ3Ok9EYSDuyUsat/r89MUtkGUw9Gs9XplkeJAblOhH1IH
pJHBuBGF8Q2/451D5NJmSuaIWj2Exj7oyTm2AQbEoXnbyaI9j3V3grvJw0y0gqwnHdgqZ6OXq5PP
ItJLsTL9ZjOR/+BV1hVcw0dt7taZI+57M7ot6uqKqQKgPf8q74fb2KdTYFaByTSB2xIjToXsM2Wi
ue4b5qpRo19nWvZcZsYzs91j0manUnrHtDdu59HYSND1AN/Ojp2ua1mr0ywEdzEuCR5BDHUm9v2i
uG2oSuOJWKZ5PHrlrA71XBRHokS+5CoUYP0Kic6OdC1nsrJd7Ve7sMXTOSut3v79zkvMzx/3d6Rj
7+Z+na96P+3vsTLIiHMlXOoayfAgfYXbUmUb0pklEE9r3IiBXIUyzrk1zW9GVbe3dZ3pD97sIZye
pru+Sa/0KdxkvnjUp25Xx+5XeIERQ2KsxQTZkTuo9G0580zLMIHfD6125EK6smvsMMLr9sDPXwiE
6ddJ2n40RVwHWBxROMPmY1C8Hut1Ox2MKqM7ERY7hl7QEgdCe8tdm4svSub3ON2PPcEAcyuPdQ9d
qiqvvNb0d92oYF2rZG9OsbMmMHjthkCzYzvdRZxLoFbbO1v1xrqK3aMe+6xrFF643tE2pM30IU0G
G0Yo7R9TmRc7IXC5dhksTUl2Hqr5OmaylI3OzsGSu0kkus93MYNHAEOOvhvfROBE1ZWMyGAQBfIT
OZ5kn+8519AnVMBDS9Vuy7S5ZKm8Y/5JC4LR+MYttASuIpe9prlJrHbY5PPCToWjYSuY69GUfAbU
dErQwNBiqdYeDTBoHEsGBWoxWIW28ZTmapNbxLb59n5kH7LaEjW5uNJrfUDQo30JDXdeVQjyKcSn
VSZz46BVy17WXSXC/WTqEt2DIqaE1onKTWOdognAFBVdrJnpGXy6JWIo9fbEWPQfS/ieJzr9zVly
k/0HAyHjnp8vIi7uZGKsSDXx7AVP8f0VgabEiAkqJw6iTzZWemzM/tfh/F96Bn8c6fBXogIx6COj
s3xHT/000rHcuYC2GkXX0oWX4l6SPtkn1R3SKZ4EuU7ceuunwT8sQPNHJ9ofv+vye393weqrrIMS
rGlnXRX3Do6PleIPnIqfqO6A1TK2WXee88h8EvEy0VfDBAhOFuOSpZGU66KZP5WauEo6W18DF9hK
fzRevNgWm1xPP7iwLTdRpk5C2k9umE1IqC2352kqyqCfRRF4lcY4tcL6LAqlDv0krJeyIHYavY0V
JEnyKnlWg1p34w07sNp0nquvKanve1vONPqyD3SuYAtH8DNU94Wm0J5D6aFtmq3bjsSFO+ne0mON
RjM3FDkWxU7Nvb6uySRhVr0MsJPpzowLMsASIlStCE+Dj9m9Hb7W7Wgibk4OjU2w9mg/TDM+fD07
Ol1Jw3RB1yWhhWGrAxvq9uhn5vREZ3hTqNDcWFLHVR9m7LL64wA8FU5hfvbiaVc0YzCEM0+wHmRd
lGPdqjZlmnurisHvppHhuSIqCBAesh13XnvRdI9WlAtcpT30HboYy+r09Sy6nVYlWEn68rMb1ajb
8ltg4uR0Td2qNY5IBtA3OdZe0FzcVIjaChXvp5Awm6HprytMKeTswERs7DcE7GjDgTfVjr2LKvtK
oNX/h8ftn55xKorvn7bR5ooBbkg7p1fFTXStbetT/ZFs+4Ozd688jp71K1YLmpTn4nk8/f03X4xJ
3y3hb486U0kGuiaC5OWH++5RR8PqFRlUwXO1cVbFlbmutggLjZP2KLZEPX+4aOurxyEgyXz4zL/k
tbrSV8dkG17DSsv/4af58eD79YexdK6XnoVLCdf4jz+M0kd63EYaX8f6DaTMVaI/NsOvpe9f7ig/
7ll//B40uL7/hecmRwYVy5jD9S1q9r66/ft39E9/B8HMSyx9NFpcP/79+eTONOFrDm/tpvZZDw53
zl93qP8szstO/Nfl+/lzk1Rl+/mPs9Hldb/V7sBglxkn8iO0CpiKf6/dF40C+Qs4f5eG6CJm+la6
C4IVebR+MzPTrPzW9oSjuCiBqbQJdfjXHMWlP/DdgkOZzyPIsYamyqKPgIjix+cjbbTMFLMZX3Kd
QQByWNCgk6EDJ3YaLDM3pTY6x7mv3Wc3tkceUK1g+kVQ0fjUzKL96Md2ee/7iTMTJNWPJbl3onts
rd4gK5Fsu8CNwffbifZxMiFKTBHQO2ma2dqc3BsPC2pPgGo/4L2X6vMYzZ+JuLVXbPZu6+UkRek7
U0JHMxVzBiNzg2kAe6Q1R3ZaQviAMXPjJkWIcNvPWd1wNDD2QBwYLYkskFORCkqUrt6SpTIteVre
yun9gx01zWoYYcDk7p09OHd54sK1s7gphtP17KEg9Qfjc13U95VlPsceI6EybDDqFGlPItdMDmXi
52vqWm6LtnOXuuJq8NpPEOW3mVvIK+gupz7OcDiFJpFercDi3URMzcbKW1dzdofdCwXyXJ2tZihX
xPkZZEos6k/YSMSjLfMuyWixsyhupyKSVwUtwFlUn/AFDOvW0KtNrzdvc9sopkuTRAfZ72Wb4kGE
qp91m0qAo1Oav4ZJM8FGMrcESTETTHkPMCKgb8Sdt08K/mQPU4+YsfxYEGggfDhWNorOSr4aWfzg
luQedl1qXxGleGAudwviDYqwI+I1s/GQAAz3Klp0GaW072LXfbAbEss4F7+4ZXGaKfsr5VF26SQA
FhgZV9VQpmQbTqciMdadPjIYLYudTDSqKbsHXInZjkHdx9RtueW6Y7I1piRwK0JtHXdcayOK6Vj3
tnYthut+CUoTqvVQftmHDnPVR8rzCVtTfzsjals5VnxdALIh9Iecv1T1HxqVvoTDyHkWN8SA2PoW
1vEj2sJPAmqf2RifZR5xZV5+DH240xTm6nC+yIzIy8Tc+uEND2t5bQ/9lfSzm1m5z4nr59sCQsy2
mRKAPFisMGyoU+fy2BlOelWa5cZjXEc333vURKwtCK5kbaRTuNaahSCUQSrNLyRTngCT3QytR5bH
MjSOhA2/sH4G5AvI0vyQdzJauaU4VoN7UckI/M/tT5pPCTbU5SYP2wemqy9EAZ4bt38zw/yh7cTB
IBAuHTKoo7FAgiP9ljg7Pge6uV+kMbLEZlrZ3iQZshXuhV8e0fsYf6qRI68MPb+YoXHDtWNb+9mL
poVrr/TRGcfM4nIrv1k4IVeFFZ9E3hWPsctRI5U0V5peyJMG2wUVPKSiEI3IWuT5Z3rjWdApeWu0
4ScSNtSaERGzDsoQ35uvZNGdewMke28/Qfj83FkGUWN809G8TWE9ypDQKbKTWqnvbMveW5VE5x3K
c8/NfYWguNiqrNjY5oI6QIuvnPjo9511SoymuG1hUyFKHoylwC5IvoPECBygpuOReo99XkjaGjmp
2AS8t9ta6t2OEpiKqigx30y2eTMpG/1wYlzHLKw1n7kDEgVEiTPgbHI7MT3ONY4FMM3ylNqps+t4
C4JRanJvMBNeVTTarFWE60lfDW4X7zvNYorCDZc4zEqHp5kCdHw/nf47phe/zN8c02/N69uXPzmk
edW3Q3rxy+OPI3N4EQO7CP++H06iNoY54viIkb5nHsIicTHJ45PzERb7yCZ+P6XdX3C4WIKD1WK1
LsrEf6ErBp38x1MabTOCCvx6JufJT6e0pZkjxLEsuxi63TVHwl5JNU+G3NYe6ZGKhRjKubHu67SG
w0FMDL1srpb76XDQw3RXIOWNqZJScufiJYCuIokONFJz0kEox59CWDg8tWhSFM33NTT5i8qI93QY
Bu4r06GyRVRI1u5l0uSwAu/8ORTkgTAMO1U6bmV3okILm48kYmLCIUmt96aPsz5+cfEFV1bJXwB2
Yx9NDmxir9zbrX+LJ/XrgOQ3yNOcrcYg9LEau+xDCMkO6gfHgK7ow03GxSvD2zGH1+Eq5vp480N0
gt5+cJll5tm4xwP8ZFd0y8YSJwboY2ItynoIfJps+8rK6erSnma7C90gr+NPfVZ3m8Ih1jZasKnz
st5Io4De/L4Ix2U9xu9Ls35fpiDN6dovaxeTeBVky3rGfCRPaMqiO7GsdndZ9+WyA6BpdC7JsiuQ
QWNcKzaKetkxkFOTYL3sIm5NSQgsrt3G75sMDgf0DGw84bIDFctehGCHDsuyP3XvW1W67FokVFkn
r2rgROe+aiN+hqJOjrbQXOPgZ62WbU0cyPDSMuPFqC1708OfFnWanmOs1mggIOdjsI5RuCwAr63u
5Lc2So+RKJIS6VeTvcmyf6xhXZe6Hm0IVt3JjlAUTKLnxtfO7QLIjiFlO5W8m+LiWEHQNrXsKh0Z
DdRm/oD/aAwImCUeqSYeV1wX+dR3CLXQizupSswApZiFasmJ0/nMyJ9MGLg5WYUs1LKH8JCp+NDn
ZFeC7iuYWJhekM/R6zyNqEh1Mp4qP8y35XKSOn5BwHbjvDp60izHeIY+vGs3VjwFvYF9LVcfIBlO
G5SpDv7tIYW7iWoH7d11546kpupOuUcNSB4TitEp4b9EFrWKDT8QqiLYT3eKlXSITwDVPIDyS4aN
PunXwsF7mjXE1aqK7raudyc3mbC4OdIMEtlqjMTNZ3cyQPKq8n5cVLe+Gn1ocK1Y1YzM/WTRv0Eg
XbVCvOVh9EWWXFRZXWvgxbQVtfSmdwqkcYMZGNjhyPRTeVAai+OzHP2tx6OvGzZoOr3pkBM6HRcW
jaChkf6FKLNj0Xblw3/nx/uU1qTo/rvzo/hSvibFn9g7lxf+doSYjFvJQfVMGxMI3unvjhAMKO+s
WuItILJ8j81dOC2cO5Cm3EWKvihXvxV6MLBoPOj/S9P9F8eH4/7UVcF26limwGSG4N2Hd/dT21Kg
8vSQiWgXgwes77h16/b8Fo5M2zJHuqve0rdMVraNIsoKUEXV3PlNrt2aYtAIqRJlIe6iyKf15aMD
2/St0TyGXiLUq6Nx7yZ4LF+Zi6AMbwQiM9Obd1ELJbCl9txhO8VuvIjRkLNPwVBp/rZBqVZUmf4a
1YjXanOqtuUiaBthn6+GReTWlfy31iJ86zOzea7exXCLLG4GE3ccC3FM04ZEM0QtxJ/QAERN15v9
C+hdblSL0I5wPiQkaO88NHjA4vxVLpyAC+Zw7S1CvXwJgPIX8V6jUI5CtoZfC9wCDWm0shSoSo9C
b2UuAsCZIYfZTe1NSjYurphOPlE8qXvDeEzsNkFXl13jZIs33BNusYbh2DONMx5FaB9crYFiv7YJ
MbEe/UW7k4SWLWJFscgWO3Jaj8W7lHERNWaq1YP2XenYUHByIUf+OFRMLflYtAsYWwDpqCTJerfW
XcLhsggos6EkJ3ARVQKaz24ndJblIrj0F+klQQK8KJvnZEsJgQR4bRWAVtNFr9ksys35XcQ5Tba3
ad+lnWmMqH+F9D+8Z2+tdsN7iAcPdnEommHgMozoMnQ175zY8MhWHdFGGahKrzgbS+KR0cdPMgZm
GhOGFDVMGsaWrRGm81NmdFEQEp1EmZqviZr6/+yd2XLbSNZ1X+V/AXyRmIFbggRJkRJJzdINQrZl
zPOMp/9Xqru6bZW7HHVflxUqGQIJZJ48Z++1j1kQge5N5lMmc5YiApeixVzT4u1OM0pXyXuxWeYd
DIcFUYnKYO2bgewmTaY4Dcl8F8lcJ5yGW0MmPbmN46mT2TsrY5YggLjHEGGuOq0nx6sZRs24HsxK
uZp1G6ktaqCz+UF3buj9ihYOlu5pLSwvLL3dEQ+BWPc8aCckMZbf1GZ9sAw2cqUstyWgAfimS7+F
FfeaDQzxxaTCepzaq3GSuW1DqPqmETg3iMh9JXe/aUpLJk9+Kfv+IVD067aymVFoSnUzK/G816Sj
n0V8p5ijZHKY2b1IgmDjOO+dMh3ijGGOYR/nqGSHSqJtPc0bi2qLeyZpoDia2C2XQTmYanzMI7Kf
494Mrgunate5Vel+H4V31H8hUOps3xBDmdZ8ScQsXFUj2T0KkZUrLXXewn7kDbTi0zSUQH4LDnNK
N+Se45JzbWV78EQbp2necvA2I5NOFJ7fLTtmacl9ukI+IFNPDG3JOFfcVlDroyrZ2/Dr3BGjpQp9
Juro6Y9T9uBk4sSh/wHTl8ND6pbWKUBHeBU4y/eqVm/Npd/LUAU9zzdWR9qQiKaDqaQeKry3yNK3
VjNsoAVBmjWdc5sWt06pfXNT3uE80987d741FHKG87q6nusFiBmhC3zHDKPQbTPBY+rmDYR7M3jM
vyKEuse3TLM+TfZNH52XkiBC3KkI2PcEKu7svPRYSDmYmuJC4Dw5u7OnMZ8tgn6N4ZYQEGVLs2GH
0d/LK3DT7eQrppxravFXyyGqjmAL8h69NMKiWpWnohLOphDlFnQgU6Q+PGskCcZDuJuEs85L5QjL
Bm5L/MbQcjWnk1fziiCx9IJGXRsu2fIduKPsvQz62wnRR+KI3SxAMo/Fs1kzvlzg2Rlco2s8IyBO
GJBn21mk0plrM5xujcmVqBttTYoyGtpRbHOj8dwAtzegX0Rownfc/PtMD5kVzidBymsjZ205aM7D
NtrrKjrCpXkWascR3bnDuvfsRGCThvnS59+KuXqvBSBXZHgrW4/92Kr8NiCGPjQ2EXTcUI8uehNd
l4N+S7Piu6p0K60RUGboFAmxU9xh57SKL6LsLiFmuAMERWuM8wb2acusNoECCk/0Pq/iTes6vqq3
V3owc8F6E1Z8YFPRrss6KFY0QL+OffnMP2X4EwajuTUq8quiem1Howe08a0tWq9wlEPWlXvS4ZDX
YEEfmhRALJtEVMEDc6MZu7Jlb7VueMr74rXDDzHDfbJtqL8RvoSya3YFTm1iKmjtmS7z6OF5bMRT
2ZDEqqjbwJjoVgAroNQMi46kQJOn08ZSNVxgkhwqZsiD0t9lsb1zpuCE8XBfGPkV2IPrqGT+U/QQ
iLP5XAVizwsGNdu5JI17RLL+UlloAxoGRZrrPAQNlKKmPRWteYu6X6yAJ971prkeKurrZqHvZ2bH
zAxB+dWC9JfwupEL1VI+z2l30BpzW1EK991If3f02lGKeosDOREP0mipauVB0Yi4JvQ8+IJSNrtr
UQ56i9ZdNUzWlhHIGu4XRUm+RaH1kHS5vdcYhHOI7F4MZDYarq6kxOURq9+sXFkVXf2cNtFeaOqJ
9RaFZpNu1bE9mIscopFi7y1CfYnMtvJdPb3Pmw6m5ZRuU109JykRKSm0dopk3UestgtIER41Jd/E
S0ladePZ4UiY16zJ3DCS04rzFFrbJJhI0J2/VQqaImLGOyCd0vrGGwBrIRnsTd+HmyZSCk+hQki7
nmghNgkMOrtBcb4NA6iuWBCuavuxmDZFCcs/bzlVh9PiT3lxmLvw0HTmfWlikGjItyxa+nu46Eki
V64KDfQ40YYqZ7tGLfeZ0l0vtNjbpvraO1Ii0XJ6yKbrwSBgPhdsfz+UtL/Q130aE31UiPQyoALq
cur2ucHQjU3T9HGhnES+i5N0Vaa3SvTvBtT/nHXJ+ft/KUDMzyhDGeypqoD05SBN/HnWECu5sExD
VU6T86UZt2P/MpVo+9c5gt+/vp1fFbw/XumTEqAMylmFSqKcNOIZDNptNuC8ZV9aj0n/GpfWb2am
v/z0eJukMV1V6dD8fGOaU0IvyMrwPCivXX+ow69F9vXv3xHVMsUyl8Fm/ukSgYUPxuVQeiZDgGDr
fp43GVHrebiNoZtq3W9g3L+4Izg1HFrI/mIq9NnJPhRWq82ii8+YdFexjoIYclL6m3v6NPuUz8NP
F5E//2HY2wZKZ1oBF0mYxnTNESv5+q8/td/dhvz5D1eADkgLHSfSuamuyQ/y0vI+sOPfXOTTwPxP
t/Hpq6lSXL5D3sbnSSE00CS/5gykigXuxWQ4RMpw3/7mir+6Lax3mKuwNZpYKn6+rTR28rggpvxs
15dahKRZ7+3g+9//6DBeWIal8xyQ4v3zNQJTVyxnaJIzgEPai5ibSm/MHv76Ir/66HSm00wfVahD
H0CFH76fcoxsO46nhO/npbBIWGtYbGmPBHdJfzAQro/B5a+vKJ+pT2sQS9x/r/jpy0Irg7ZOnZOz
mFBdtE84U3+zGKg/fzvSjGKqNnYVEkBhVDB6//mTA0eCK2JS83NybPakanj9Ne7DjXmJbk2PxBGf
BAH/r+/q50t+rKw/3dWnS0KgzieE/sl5sBDT0ArSIH1p5d/TKnw86JCb+EjYOU1Lwq1+fJushf54
h2LoHNTES6kHCfD56/uQn/7nb8dQ5dPmukgWPj/YFX54dcakdrY5+s6ORrX5GhvE8ybJb+7lV5/Y
j1fSf74XTsTEY9pWclbN98i5mMFdvfxmefv1JYAPqMBHLLxKP18iVtPBMZYwPRfFyUTFMoHy1Hrr
N1vdr14hHrb/XOXTV582Q9RBXEzPcfo1UxANKpvG8M2099LurKTbzPzNd/Sn28IgZduYpBAhEMNk
fJpFQIi2yVAts3M3bOvmdbTI/rv968fgTy/pp0vQS/vxQSsIm9GtqM7O41KsVAUmXmL+5mP79SV0
h7WAgoc+28+XSKaJ4DJOWuc2+6ose4bMv7nAnx5l7gEUPfhEiW9DQ/TzBVg67VEtlvxMnZf3JnP3
fYzsvXDfPz6rf6Z6Gq/kX3RlkaHyPn4G7slf+qMj++E4JIKZ4Z0pQGPyox8ch/hpMNNoiKL+xQD5
t/QGxyErD9pRE6GzlHv+pyH74UWUcSE6RA9HE1AO/kZTVoIPfljqEN4YcpxnuSoseYH3Ufv5+ajL
2uicKInOdU/nYld/+PpM+6RiGGMIEX6Y/uBrjDgAiYARLvYLaQ2ckQ02vvNhGRw/7IOj0+4wyenB
G4LzRGxg5WUK4YIGcBCV5hi0S+R84dlIi5iAz9qIoCirkIxZkxZzyWIvI5tc2tQKm1isYbasjgMf
9t551cy9vaBtjetoZ489z3KWmGRLTRg5dnXYuAnwgZbJXD1mzSk0pAm+1+fR3oSOKHHWOdZaLF2v
vJux223/efQ/BhIGi/z/fvTvaIK/N39+9uVv/fHsA5sE+apqmPo/ojB4jH949onZUV1YHCp6QIcH
8w/ZGVI1Nl9eGBTOKoEyrGk/TCM4dQgJjmfIISfkf+Ph1xy5vP53o+fphwBPVWnSp2Lq/ifP2KAV
Wlcr7nyiwG19oWTFpoWShb1fd4L64IhkMmE+mQr50kFRwd7o70SOht5Jh1Ur2xZxJMzjVBCBNSRa
seohPxu8uERL6/BZ1c69scAn7iZ0VhcNnsIK06tyyOeQ2W1SPruLmng05r4WNXZJ2LSXPC6Z141l
tlYqCZ4L7RPiMeAa5SBWYUXfIS5H/P0OUII+DiH55NqFSPFsP4DcQ3dj0qqIzB15XqRT6EG7V9O+
YGRiFaYXV+kt68H7mNZ3JcTzKh+bdYNxdJ9MynQV0nvDw+9WJ9Fbr5Csbt2afyXAEQ8JbUTH0q/b
Cc9HMLrXwuCj0TU4j+FwEenymPfVg5vUhzhqX8EHbRPS3r14IXuucJIjEvFpRe7I9VI532A4pkxB
6c862nCYbUkCzDBPKLRuV5E1+a4WfE0jvV2ZTukHQDptpb4utOo5iQl2tfUqAP6VNxv4EF+WWLtR
YURsRqe6jUG6e0AZa7qwOiOXrdIXHLwjrhcg8fJq4s4ctdk0VbnV4AgKd9xqTE571fXVZnlfHCfe
mPYAEAXPl83AniAPWm5F31aegUbAI1ai2rlARlc08Z+qHrEP06l1jQ9smDQTC8d7YMMO1CoZKBC+
IZL/3tthubZTs1h3xlL6qugy7LbaOWhma2VbyAmqpLpEzfLm1G2wUhlIeFFGg4BwLQTIVomdrHtM
kvLSixyXigXt08kSf6l9M/uI80DBqFqXaQyfOgJD8Da3h5CWFFnHOaMni8fVac0ARHbIRHpexM7O
iniDAdhAAgdPIa5dGCPJGd9g7dWtdQhGpyHFt53WnRm/gUIJvW4o3+xJb/C4KPG6VYJlF3SlsUYu
kW7wUdMH0Ho6pupSrScjNADOhHd2YPNMlbqG8yK/7iQ7E28AFsQJnmYsyZoITA+ZMl6gRb2w9Aer
QlI4TXCcuaXtUERjewrdE+3Tdp0p6D3sCPmYnJJYFZ1zAkwicDjTqQRW19DzXM1AQPukf0py/UsF
HDQxeggaIVhSU71ptDBfMQa8QXknNolDszyQlFGkDGcsid8SgxRFIOW4COcvY+LeTFpxhy0u8Uhy
e8nIEGDMBsXUkTzTKkS51wUk15X1RZPQUwI73xOJQZ21gA78aHuaRKS2EpbqQk0tI/CpOnCfjVKl
T3gjnoDQzeRrQ6URySsaOrqLEsNaSSAr8WfXKNoe0cceSAG6ogOO/HwykbNWV4GEuvbQXcHD4f2C
99rBfbWT8lg2ebYabRqyUWg/d3RB8ZaDix0kOLb9QMiqPHh16xonLS0dZV3T1vz2z7b4rzk9Rfz/
3havy1+O6PmdPzZFEJF0HanF2XY4w8I0/8+mSK1osVGydKogJThO/XdTZA7PNomE+785VX9sijKM
isrehav+7/3yb2yKALE+b4oOamzyZsnKtWyaO/LnP3RD2oVTaW/21k2oF8uRrCFRMZBxotoglIMY
nQX8bo/1SgHsna2dLrBLZsw5AdN9nHzM1ASrWx8LcqrR3lh26LVwGAwmJIRAMmnAp8pkehnNDK0U
KdXh09jnSrVeREhW6yrFmFztW6Mh3MEdTGu69IlNzGOklKFvm6Qb9lPxpAkmZ0gZdp1UU7ftAPJ5
wCxGRDbhDaHS+kEv7pMCCmZh4U/OsbHO4raYEemoKkmyvF+HqswPRR0c1XF6nDHvYIpGSVxV+bav
9qhvGaiESFxiK4m91CYNKgMhu4odmud9sGCAmxaC2t2zKlA2QWReKT3FQwWVB7ajXa3H3LlqaOhr
Uv8T98Nzx2AXEnF2yGNhMlabz21ZzP5oDXjfevDP5Cl0nm4v0zrtGKBgtSJXyWQO4Ahtg/l1XmPh
rL3RGb4pxsS6GYc4PgO68YH6bZqI7wTJ52MLJxqEERkhuyRcaJXH/viIQxxkfT0e255z+RAj6mFh
vlNQHtd2r/lBSs6DkhPsQWDWnvZRuJqM8ibRylsIFIRBVIcYh1FE1t9qQBes2mQr9dkXY2Y7aqJh
3emIHrIURJ+heEMVXhlBzk7rWCvsz9CMuilBTl6mvjPbCmri7jonTcdPM2nMxKishuFTj7adBqkb
b/VZj9eKFZ6p8jHvuZ2n1t3V0MNGrkXzFJbM25fUPEAuvevCaUOa1YDBGIx9kdyGLOmxqa9TO+7Z
L5d4E5hztqoMJdg1aRB5YnLPCK9syMr6e5mp7U7FZUEabXljqkW3jYjDLPT0gQ7UY57Uq7KqT0pU
MadzU21lZBw55A6cZPnjCFBYWvB7ob+Iinx7G2XeMGZ3U2rui7BmeZfD3MihKzu3ycCDrkUHTKew
xFy24mgcnwqOietE656mYHxUjRYCORo5kCrbInJPSWsS94mWwOy+TDYjxJa0Ra+302pdp7BBHTVf
611/FyQLQ5NEBQQ9h/uwNcJd3dW3vbW8MIp+JbyLcJYYaBxRKzWcL0P1DNE/DDGDWjXFSV9a0ZWi
lFeQbN8KDAgrEdaap5XqHQ1gn5Cd+6oVW0UvzyPYZnpJ+h0RS87aiUTOcUy5CSPjOrYrxSMDwZ/i
DGEKtHTgZm95uEw7MGi7fmgM/FuO6xXAzhmpk8vSdQU4cBwFs3T3Z9PiHFwxO2syJ7ehWBqZ+ubn
o81DqmXAll3+YEsZSYSbT6pqMHiG9VY25NXb9gND1uiqyXXSrtXpPY3dWzZ1e2VRNTK5m+ZVu8zf
xwF3wDDgXSYmxfBoNWKIaKU528awGGREDAX4Jkgot4F9AYQuq3hm6F2ankGiTRpOb1bUFZvOKooN
mHQk3/W1qhjvKfKAdTkBmGlQ0XhmZ/t4n743o3EIy3g3LyVVTkjoUVTvbR1cQDWpB9HUg+9MyrCm
NccsXDP2IXyaFfFwGE605FrFxE3U2XbukgP8C6aswSHPkn3U1XdBVH/vJrddF2NznMvgZCnVfcWp
Hv0QQk/BxBPEAeteEzNsBRqzsct+3CZp+VSU3ezZIyjejLrTDOBfjRjaEfWOj27bIdcsQdwMBdIN
kGovk97pvI4TOXcUegBfSs+dNKz9c/Skje9jAxAXHGG8KWbjEFn5yzTziaouI+Sx07DWl48fKC69
VR41g5Zn2JmICWwmtDpz6rb86mrG69KI74PKw4AD4L5q+MJwAxLHnXXES4QFoVO5fR6SdAOQS0Vu
OCpQLoYb5Bi33Crqrei0gD7zTUMaIwdFWy2ZfbTZ3NeRI/YED6IRCZxpb4zmnVYFz5GNm7rJ4vd8
pGYKjBGzBD0/GUv7oBc4nxl7LehEPqIN/6mS/tU84Kz/v6ukO4AD9Lb7X7QP+L0/KiXZPjAY1CKH
t+hhSmDmf9oHOvUQDTAO5joobalY/KN1piFmJIiCmZFwaGzJlte/KyVD0FWTnQVGIoK8XWYif6NS
wgrxuVICAQO4BnMmTQn+lE/NM7xl7KSNVZ6nRth+MRgyg8EAZ2SMu8jmaDDM8tArRnHiJsRBYFun
SRXb6R58Z/kMya69ZnYDQkPXa4ZNlrEzp769GdOg+kYARr61M47pUWbDOwyBTHmVq2C1yVVlOrdN
3p2QVRsvBEp0vhpQI3pBoGbrpQiKmzSs3G9ANW/nKSM9QlWVK04oOGgdK3/onNl8QSvW3I2a2V93
bWTvaRNAfLF7BNyqOZePei86Amxa7b2ESfVsiqzYhWbrrhHktW8D8xmEM5yW7YYztJ0A/u6jobpA
sCc2Ju78MA6r9TCqxnBCsWAMX8uW3eGgUgvMk9+Vab9VP3py4Balu/Wja1dzGGtOdlQBSASOFyGr
cxXUi7Lnt3Sk6Yw3jqvQ0qNWjCbDL7PRsZFHD9WorE0tzOKDpRQI5eOe81syaHW+0VAqu3UwvVhj
pr8RgmwCppxg8oWRZV7NIDXvurFc3nTTJA4Nhp84hCPy6DiE2BVUQ/iFJyn2RLEsb0EbLe/IrJ8b
EBdFGF8pdomsTSVahExVNFXVGKqoW3oSOMjDPITIzI5pOWEk7lxwPEhxyDCPxzD2W5K5AdAMRAKi
VHsy7DjbE4b9oKd0ObG6U0pLU5rpNN3OSlrrzomqfN8p5BNWorZuJrcWcMik/0nrTEbKrcjfW8AY
XxQbMYeeocKqppwEaxW+Skd0+aAo7YT9p8Z4MAVx9d0Gybqfq6AA1ey0e1Ms1mtI2NZ6ce3kYQrS
5GjjG0JxXycvKoU+VEZ7PrYpm9jST8qBhzekXIUGn4RN8Ows+fhQwCDY9OUU3ynxVJ2jgRAvIgrQ
1RaGAXkWZY6KPcKNuk07mS1YFxq1XoipbqcN2rtrYcTL9Ct7GvXLbDVI6Gjhqu9VWS1+HXPsd6tW
msLQrv+zFn+sxToL11+sxW/F/1sB2+l+IS2Xv/mf1Vj8H4kCqD6YkPPP/iQtVyGDGZwVGWn/y2f0
x2qsW/8nwzo1dFLMoX4cZPATur9ytmGhxJHt4b+zGEP5+rwYs+bLBDFO1bSPEZh/Orb2M8EoqaPg
i8iBbtEyA8W3KjKrIGSwK/0UQq3SGrpHKNxFYHHiBEQ/doRbNc5duSYYErMShXRFqpcnLKtcaeMc
rOuaHNm4bb+QhvBYJtMrL9/1DO9/sS2HDioJuwaguqDSH0K32eYqJ82ww5iiJbWHgvqrpcbAeK0W
Qpi4uIK1aXQCc9UkDRQa+/tEDK+fjBXwYwDD4BM3S7owvlBIxsvd+tnooRTFarXOUwreJKyo+Uni
xf/cM5RstmPKgmIEOg3pPr9CMT1ijAlKasfRBKwUTMZrlQ3KfEnGwRl89I8jouBSGjMwaomKWkc6
OFzOuaX0dFTS3TFInwdHbJuKV98M0gOSSjOIdIW4BedK6RPpRfKtwzgSSAcJOAhzpXc32fCgtdCM
iFJ1vdHt8YNgPrGlC0XFjpJIX8rk4rcCPYaBuBwOVtC2V7UovtRalDTrIotgqZvYjrAw5oZ2qdOQ
VTmyzfU4p/ciAmNr9xTxUyrWkzCeC6N8hAJZnqplKo+ioExXbHdT2KSyhtW+yMqbVm23eSOJI/bV
ZAbPhHfQXEj1GS1W4veFIfZqLz1J3DcM2QlVq1USOZERqcDf8+SEXXw1xDbIRj4+lvdA8YJRz0+B
I+4z2vN+XtmICS37YORxRzDkWMePeKG0bNNklmVt1NG5XrT5IlpOaMJq63WC14bDsbiTCtWgborV
gsC7Dl1fmbQdLdgLqcn7QIJLhn4XiaVdD1143zn5aXKHrTZpCJXFQFOab37EL5QQO0WH+okg6Huy
oLcjCVOcr0PwdO1u6sN70qKOzRjfAXt4jjt1p04c8IiUqDyrNhtgx5Cz6Ir6QuWcNbHOW0UpDnzl
oCb75D2haTI0/G0K0wsMVNK5rOGBW+wtjJ1XrcEoX4hg1dESX8LgNjfraj9jCTrqinEX9+OXQmk3
eXvf9KrqubV7CaNkXbXDqqiWq8ZSH4WbjKgwk20bNzuOqZggdP2aUvI178N4q9iWX3VUQnpdrYFK
41tW6EeQ//TmBmq5EQBkFmshRZeKQzhPmjYeylZZlwCUyWr/AqSIMWCQ3C1hdKIueaqb8RiZ6mNW
C3UjtNmvwUF5carcBMLdJnlxQx3jSLLNlyEgvVQfg6MbkhGsD9khy/jfVPcwdn1HFki+hy18HKQo
1SALe5p0trDSpPPqjJnmqwS2edaiFPltROMPR7IVviQY0Qoz6cFhiO+L0u7SeHiBr+aP7kCaNn+C
7rx22BnynoZKSfqZrvZe1+m7JqyeZ5vmucYoieMRSBStv3XUGvHmBIylafTnuG/2I1LTTBkC+nfG
RUc9jtrlohVu7M3LcG0OI65+s9gGRePsUSRBW7W3sZM+JVp6pMP+YKMLZ9YqbrtIEu6y66ioD9BJ
nwjhvgMfa68glH41cl410cAs1E5Tlvf7cFb7FUCqXaaBbXG1Wx6Sq7LPeMMa3NKB8GHsYWunI5Zr
NWYaI/OHVpyp5rCQw1nRUcLXo7KHILUTCEm6htiJZdyNqMVdALcTU9wuWy7dkHZwTWsw0M1hqnhk
HeZDeZs9BKJ4TTG9GLW572DWtEZ1FZUWSMLocWjjO9Np7xFSZiu0f/5gRhgDnC+pqPZqDk5ugbYf
aJymu+KKlDbeMHVE8pwewGq9Tpl+58pun8ZxVyXQyUsARBhD7BdVdTLz8hDbzvd/apOP2kRmovzv
2oRuOkPm9/nP50T5ez9UJnjekDch15JnsR866hwh5QnNZr+2/k1u/mPMTGVCAYIani7xDwIL3fw/
4F0ulYzkmnCo+1sp44RI/KkuQVTIOdTRdcRKVE8/1yV5lRnIgB3rJteXwSf301iXwn6x8XqWdv+k
ddZDulwCskO0Wt1oZIn0XfjAus+EVOIsKpTpNbkjcBPIINHH9CGXoSSqjCeZySmxOsxqhDnsKxJM
RFjQUOpLfHQNwQQy5kQT6qsig09UGYGiM2fd0A4L/IV8lDGGrB+EzVUxouJN9Ogpx9pAFNvLgv0h
q5zGG+P6bU7Sixvpb6zRz9Mwa57VTdfdkJTeHKWgCOrk0PesQzz6w9MsnNe4q+JDQQAC+x4JBaJK
HtI+exWzvbBF4WGBYYwNbdkttfY6tPmNWxCDYNl3FFAE121qF2YW+XMPfRS/OLGyG0X51DZKeGVr
1dptDS8vhhs1AdaXzYR5xzcS2FHPDaPzOPpWgmRgylCvamu8cSWbooy1vVH6GANX0Yx3RrsLQWBh
EerSF8qOesWfuCUwXDrAZdw4xo7OhDKcJhrmBYP102xbrN7kWrHvI9RXjlZejruyswdIWP1mLJNb
jiVHS2CEMqyI/neWEdyYfWuQ1q87rWWHbsS2sZbIM4f+zPK+EwltTBEMxTYqMAnF+OiygusxhW/N
kPAJu/kilplZq0CV6izrElPAZAVkOff2EfvCKavcm7wy1lYCqLmck+MYRuAK7bVtAnPuDCxHmTDZ
YSX1IsRG5FnjAH8+BcyX2W3rEVRAjpZN2Pgcu/jT8uXsdvYb1rR9qHCI71tqIVmzYqy8jLKKtSln
LcraWda3Rp3cFrLijfjmFEpgk1K4ljUxQkTnWCsqnY7yuqJsHiifI8roStbTqqysF1ljl7LanmXd
nVKAD7ISJ9D9qZe1+SKrdOb8l0DW7ekw7SCUl37DYApktEVNWu51LU48YDLf+T4OJeuvQZ2Xsh6b
aob3ib47wDgcS6zZCWs3nN1Dx1peykUdh+RV0HZHwWqvyWU/Y/132AeSNty7UbilK5WtLHaKkR2j
6pUHRPt7UZRXPTtKaVn7lFgH2CKvBTuOldZ8qMt4NNiL9L687uXmhPPnkuXDlvP20eitdcEuVrnl
XpXySHY3zExXocF215D+XrH/jeyDQm6I/dLQm+6eR7lVtsZC+707oTfIoYXYVw27qhlXB0qGnZHO
PXfIxkvD42SwEyMUwdI1YPdki8ZAeteW7ROt0wNJ7Nc9e3kUzreFyODh8NKnWeQjPXwK2f3NsNzl
VuxQuRVbSxYIsd1d67JkcKgdDGoIppGXXBYVoai9iCqD7I5nIcsOR2TZ2qUSGSPz2IN9X8EVRTyx
5M8ouXZ2T0+XKoYIY4Z41DV6Zr0u1Dmjgl2fuiej/imaftfKeqgNkddQIS2gWeKPmsn+qJ80WUpl
H1WVIwusWZZaiiy6Gis7uFRhcG/2kyzLFOqzKIpOBvVaIAs3LD7XoyzlYlnTyeJOabIbhWqvLt2b
RpZ/zjj5uSwIYyrDWO2PE5WiTk2oyspRfoWgtL5U1JT0szY6NaYaKk8TNaeuqjcinYjVs8sNTY03
TZansSxUDSrWWpaujWr6hSxma4dMSqrb2WVM2lHvptS9aVGN65ZKGN/eVU1lHFEhm61yGQBDeZpx
b4c9oMPlS5LZd4ssrQtZZAuq7SovrhVZfgd1tjGox9XK2trU54Ys1JMOCO4oi/eUKl7TwvdUlvWo
6QXym/kIBIwaVa0o/jkF2PI4wENRgcfiiGCFYtdyZmg5O9ScIWbOEgFnikIeLiaZYzvGW+75nlib
p66Ohv1knNMUQxXHEy2xoL/n09Y0ytPIASaWJxnHGnYKR5tucfYNR50lU6lpXT4a9aTIs1DEoYiU
vjtyvpyNgDCxdhpJlVDHS6Vb1+3HoYqzJAesXp61zI9jF/6Ug1bgsM3lmSyqiSGtsRDHzsDbySwb
r/iKjhISkbnaMVjY2mHhngE1Odhch2KzKDH41KEGxzxATBr6/MsQ8nFaReKzw+AkBopG7rVkJISQ
PLpdECGFmbKOLWZwhyt0KIQEKvP3oqGdxlu8SmdImHrSqPR9J2QtWfY0lKHGZNdqsPtBCFKj1lZW
eWKhLcrD46h21amo1e45UW2YV+bSKIBMRvPSjqT0ZM6CQ3zMDCcm/IBOWjUudHxV5YgJ/QrG6llz
Ut+Yko2tocmqg9uwpjNbaxjo9QI1CikphVo/B3QHpAtt06gtGMN02vYGLCS9674MCfEBqfNCU+F6
GHFEQzoCOux3dC0AvN5jh5zXjh29sbI+Cr3ZYeE/CXN6DxL9kC98TG6EYS5mOtQqhMot5sGO82vQ
6TqTlJyTL068ChthzxaNtBMXZxOcEgbiWVreEqMbU9Iv+yq0juYU75BlrcK02ucuvMdSpGv656Fn
JfrFHfO7bmLDKGfwsUVxX8DsZISdHhhO7oVQrsns8yiFOC3X+y5wCUCP9qFdH8Kqe7IM/ZAV6lWj
s9Pqjp861VcGqJskDS9TQKUw4+pcgmhDYCiNnO49j9yjUhRey0M3wR/v3eyrpQuA1m6xL0V822iE
oGuxR8TmvNJzaxdN4q5NFSx2BRJCOh6rmR4CgFg/GGi5BAnxEQgPu0Td5b32jFDfyxJ18k2ConRw
L5QW9QrxUc3qnj6TLw3NxeS8R/vETdHN9mEGBjd5JJ1hqzvLWQyQ29NOvZ9HWDJJ9VSir2TCCvxW
GeJvQVMO3pSM/aaL9Bv0TzdBqJPu1FkbROEbI7DJr473bixcPwyh1qfLezWbN12lcscjTnRL42EJ
y9FEgYASghBLdRPMlnMq1ZIAXebOGVLbqBOXzFCOWTctnhLqftuS1BSYEXA5mtS7aLZezBHPvMtK
gwNyOk6Tg3EZNdRkLpdKsV40LQn8Kq6fBWZUGia9n9Laxq7IXTuBunPl0lPTGx5KN9qFDfosSDrX
FQ73NFSWk6I1h0oN67WG9XldNzkTxYlMjbkGx8V/zaQLqsP/Z+9MmuNG1iv6VxzeoyMBJIZceFOo
kWSxOIvkBkFSJOZ5xq/3gfpJltTDs+xt7xzuRxVZVcj8hnvPrW4DRtQ7gi8O7JZjaMIdpPHl1rbk
46jzoMUwWdb1iAu5muSlnkSXINI8GUsaxnBuLkjDwuM8mp9YPQRnQ+1fqyZ9glYg98vjDmYdH1HO
bY5DwnxyQ+BxpbxGbxJdKDNHilgeglLcGQEVTWGJJYyVhXexFllyUQVi1zmSHCEr+4BXxJjPNFh6
undJW5xFbIITZCN9So5QY7SPZGjcqJFkqbx0LmM9IJMr3qaOnNAyxg9Vqp7kaN7gHizOLZMlTRfY
xdZo5dOcqYOC2+3FImJX3/MPa5W+LZhZAGGT/T5OQag1kDJiL5CZMG9HPTZoI+oaVQ+gfGkg2TBt
bWPokT/H3ncdHy090Iv8P/IuuwIh3zb/9Z80dt+JdAFDMlJWNhhW7ngAJeKnBop1jBgNI49OcYlx
IT8287hS8vbvX+Qnn8S/XsTWWTdiDqWV/LFLS3yyFbSmiU5iOmj5URAbo8m7drj7+5ehE/3j3+Lg
BJAo7xFGLL/Gd9oqn80lXYCgcDc+huJeM/+NgfZP/n0UYrowCA/i7fr5vWrUZBeFnaWnfOCLtnf9
l1/+/SG4GrxDvFELF+bH3z9wFiGPVWUnl77DurLUxd//+4sd5X8E2f/6rL97f376rEHm68i8eH9k
ttMyLwFk6KwRlo7vabz+5ZcizMNe7DEWPjL100eRuuhKhrlITiLe42ZG11kiuJEe17BW/r5Z+t9a
jpdv1w8fy/IV/+5jF3qUsQFI01NJbGhDRefxaHGmTv321/+o7z//n/6o3IkVJuDfXwj1FNkkY7jl
Hlmu4vLffNf+5LkE4sPuZsGcm4axWMK++6NMKzcKLt781JhbP33px43lv/39n/NnX+fvXuLnr9vc
WNRK0LlOufsS+09S+z98nVEIQMQlx1GHu/fjnxBXqdVKzchPMScgQp90+j8cXigphb0Q+AwTmvSP
r5BrOfW9rRen2XkZnMtuUQa2/+bs+pOHhofSwiu0hJLry2Lu+w9ChRm5tKxeT/AhINUsyjzruq9R
LK1R3f39J/Inr+UK/gxDd1wHs+xP71jIwsMkWTQ/hUtPvQHrHk4bp0J7tTNuvrzUP5ayxZj/1yPP
y5eSb/EfHGX8zLdxJwoXbiouEDaxElv0d7IYg0WsbXCs6WJxzPNMfh13ur8tIhqTJp3lFn56fuqr
gNj9TbeImoN3buGDEehsfkEWY4rlkPmfQ/yLqwbPrFxolGiS2e3++H2sqyaTFvD2U1k2DMgpMVa1
Qk9RWtO9Hlc7fwHzDXq19svuVXQ+2NqRJf8oz7EopCgatXvVV2thTUdrhmBhwfMhxLlF8xGd7Cjd
Tr57JdJA92jPjU0FKyYZ1XEwrYsiK3ZuoPZdbNBQQF52icPz6oBkXFh7t7ZVdNvW1N81OyfhTWHF
72VwdGww+ejx/ZVbWZvJQJQGpXeXmdFBWGgTSsN9cErzisL/ZEG9XHV13kM56dOHxJ52/piQhWCp
6zQOblGOeLmFJHKywG4FaSHwysn3oQji4zx35Uve8jqT1e9mrUY70QUe4MQ9TYvYkqPHyIccbYYh
kcA+EpRnnQiSjVEOeIsM1PtJWHlRaqFnSV8D8iWWbG8mXM2uq2owHgVpIexaxq0jCAwakj307M0Y
tApPR7iuZaofiEE6N0UanemadeYz6yWQQ5SenzBRTDDiqMG+rfTI3k4ITzwmx/wVqpYnN7UP+dCJ
VTErcMaNlR4Yz13aiQnIK2+9pvWfm8C9izWQM5Fm7uXkv1Ol5ES0jjCb7GzdMNLFDw5eWpNyX4R+
A4YwE3fMQgHpjNaBHm5cy6C8AWu5BwTmeKEF1ymYm8orosY/ML3EJiVIkSpjtY1oBzZzGE1Ev6K3
tILkrdZp0PqK1XKrzYt/SXdxFyab0HJZIAo9XGutzvppWEKU0yVPObH9/GB3ZCzjFRy8QXOTQ0kA
8+iQxNxLScaT4cS7trDSal83QeHfuoOrnel2+DnQCmJZ/USdzWXIOjKtD3UV3DGuRTnbGnupYQLi
/N80YWdtepeCv8+L89ytj02TfRRjXq/kPJyLsX8sG8ZDCJUfOqOK6bOV6fV++dg3rtiQK3zR5eNF
lgmJASm+nlu3hy5KTO5gHRHq8khoD+2gC08SUhUbdC52IE8OeM7Ohf4VIdkGyVasAHTuUNNfpDaI
PKHa57n0T71I7tXIFDwDrR0YFerlibFwrFfRpo6LZhuF+YsSyTEMSGhPg3CDDOSYp2rfckF7g6N9
jvzovtCmygu0ADuOIT6bUfmAHmOtQale1UALX/ra2mi69tRLxhpD6x7NEZEnTpTk2k7kM+SA80Z3
Pjtzc07rfTnrKGajWa6awjqNRWEc8zojf5r5VunY5+ZYs+akg9aM8KYPRLdCcUhI7V2ibeTknpcR
yb896Qx+GCFAIg0j6h3ytJL0Gmaghqi5fiq19iYmPQwl8nwVoprwbJMl6+CvsyjeaJq9nxeAYOsz
6hY18Bskvas0VEfCe1kYJiecrF4n+dQN0EC9Q25xks3PSJjabYsvy8ZRayGnSLV4sU9VF90wH1QZ
vUKNIzBH19eEnig4uPFtm1qvqgYB1Y2kV+aV8xBobe7pmc9DXIRwUdFLZRVnIXHU6bhrcraPv+NW
/rlxJZfdX9+4t5y5L//h1d38x3t3+clv966+RMWTIY+slDv2BwEU0fNwGih+vpGbv967zm9cx0tn
8y8vNxXV13vX/g1mhoW0nDg7mrZfyz/EP/TzvUtlxuzZtqkCneVX+fHeVcRF2YHrMj0cI0yGy4Cx
NlJjnWKXiWrT3RjLGLIxarhxiQNw0WoPlaWDP0a8X2TZcMaIB3FpCHO5Fd0+gIeFtcxam3XBfDPv
kMowDY2d+HXwa3RDy6C0z1m4p8vw1FnGqFo5qauwyu6tZcxaDSacSCavjFvug4CkdRF9Ykp4l0GO
OTmLjKZYBDXdIq0Rox6dZahtfMmVl4CwdNHSr8bOeEfnRJicoQ13eaX2NlPeuBynrRhzOFkjOfQD
BwT4mVSrLnvO1EBWO0s0MdY4Dk1UrmHDRLueimNjYSQPWnOX0Il7ftC8TZE+44EM+o0zT7VnRv4u
iKpbqaYtAlNmmQxgmrqODn3qPOt66HjDOFz2y2jJnVllMoXyupGhVhHp6zHpwnVaJ2tlzTc+it29
pem8NV3Un6cR0p/MCi45AM6UmywSoHQzt9rnOE4hRFYVGt8i2g3zEBFv6kA77BOJKZik3W4Gm5i6
V2YApNlsdS91oDigBLmJS+emaD4Df/pw+Oc6jPn8U+zzQr15CZE2eQ2sIVaCLcoa01iZC8KURmVV
pD2bpFSyzZuaPRj9m4mN7lWV6cdqjMeNqPSSHQjqVmpGYzcbxp2c2XYmvVq7mnVPz6HOqj7eY4wi
grHyL0WDo5/bcMuk95xY26vBL9YtaHymsttiVN1at6JPSjZyl48GJDFCoMD9Vds5cuDOTY9GkW1l
3j/LYWLca/Y3faNhdZ6Hd1553Ixm+t47lX4ig8JcVfp0RZwgIOUkPKpO8y9IMH9l7U32Wq0bB7zR
9nOoZc4Gc5OirAN1thEzTBJ8sHXcl5dYA0BOBkVzPZI6i3NholDiDarADdruZ7d0hzMSkZg3Otu6
HPet6W8nCwar6ddPSrIak1PO8q3kJTizS3iL9YDlo7N4i93AZ4IRzvdmWRC6YUwDIWnOrVvZ7B+n
9zSskrWeWDdwR4Nze+435DheGqyKdcVsLrFBsIE8+hzPpTq0hfN5dIgLZMbL9KBnhFDozXVbYcPx
66NPpsXaqYfyjGBLDymcRlklNxA8Jd9wF5ngOPETUDRX+RBM21j3P9LSv0qZva9l1opTH3ZcfZ00
1v6cnldGLjazsKt90M1rjYU4lqOzITaadeQbT3E5L5aqtr0IpSaO5lBb70L4yV0hZLlPe3fSsNmE
3Jv/9IO/S2C4Ev76djrVL4Tz/vFmWkKrvt5MWEpxwBj8awwCvvgavhklSObFAmEZloFDwZL2dx2h
SWavYwMYAReNPMXiP329mczfuOS4TKAzkHELI+FXOkJELj/dTHSWi0tDMd40UOcusIfvJxSVjXVh
cIQPvl0PN+acJsrTO+Wfa2MlznOnIUxbE1P3LOPwLPKnJzfQZ6904jezJ72P8J/B2eM2xctemSIm
06QiFTqOqKowoRYPhO+QdIhfpAkWqQPNXBxxxA2lWb9Iohzf20749dbILTI7yZX2crZGObvwbYhn
tdq0KQmMXlrLflvVMdxX/ImKWhmV6Ze83CQqyc6NlxjdkUhtjZA1rjX8WVbks6Qlddd3dVaLiwtQ
M+lMYO6yFppI2g7J603Zapbk97LWpgccrnVzvgjJ94WSdCGL9KCT+zsyOfcsu+ZapjHziqbv1kYj
w4tS2jtRaldxj9ai9N3zdgkV5qLPvYCp/UXeFITTakOymWyy4mvCzEmH7U5j25y0ZHRXA/KC1cSm
cEbfu8ERbqsV5b+GKdSc6o/EbG+jVNwycsgstgltfqVVyXw0JY67qtwGpR0+FsTdOS32ksbPoD8S
/WIW4QftRewZJXe3Ubhssrq1mszsVrOtYVu6bNCcCqBrTdWOtY84YxjfoPEBSiCdXht6Hp76gPSj
CMX1ysS22o5acWMP3Lnk6+AZrlem6nJiH+n0I+2ocwn2qKlXU1fK+0aRghuyK6yn1N0yDohWKXl2
5BYjZS2d8snyO9p+XaOVxtQRNF4zIZn67lG8+l/sJnjgGB7btK9M+Ri7/PjFJidwEIlq4ktDhOXW
TAfjhWRB10OpzOz1n/Pv9/OPg+evz7+r9OXtvf6T84+f+nr+LcEp7Dwofb+I/JaJ1DejGB4yV9Km
22xdvsy2vk3EFs6MbS4efMh/X8rvb+ff4rZnJgYvH+qkw/7pV84/kEQ/nX9wZiiUXQY0WCEWyuCP
X5N+Guh5pTOc2rFne9gSld1PN07R95tUBadMr+I3HrF8FU3mHR5LCldTY87gDB9aKLbIFCUOSWqh
wKWGyVPkCg6VOGHDr3XAgGRMqRZZp99IdKk7oQp/N/T+0c2wt4al89qZ0a3dz59CZhFIAPB1GqX0
RrJyqd7KM3OZ02XOYhhV+XZOjVteC6wHIt4aNyWe1AnAhItQy5/tY5uoe7ZDNKlJ8Dlu3KNk6ynk
eAqDZl84COtBRV8boRBb6WJLiGV/NRpIYlgiQDsxxgEmNjiWAF/mXHlm1XGgS1bUQ4kmHYj/VrUQ
XxLUOZSzpbkxE39nYxJHDZ5xaJbyrlbw+Se17kxz0+FIXhEPFXlRNh3g6UivzUMXcdL8YKnPRIPR
BY3LvOXM6dtHYp1x0cXg4qUZIUGefBRefYfOYpzee4FtRHe2jqkBnhfhQ6BzyCtXQ2/EEp7F8YqJ
BPMVB5i+c7lMiIKifig06xUB5DmJFygM5rUN1L1q9AM5v9fGhFgtsOwbl3fIp89ZaUW9HdL0spbq
xo7EazLORHbjV1xZoFMQ/Q33mSGfYlZsnK0Dc4NcbstOx/g0OudEQ91pKUoOexYPUR8D+sjj89n0
78uxvkSjBvcFvEqTpu9SC5/HXrsrTURM4XjTKnsrbO2x0+I3/OvWyrKm3qtLArfmRWZjNNWHM023
oqPjqKQ68jFdDLHD+hx4gvxAHrTxDf6coZu3pbN0BnIhmoAXj12mSYGzm2MHZ0tePJu5/WSSVuXl
0/giu4Hvl448LgtI9+nb4kLv088+30hVmxlcIbjjqX3W2dO+sNvPvSbhRobmncX8KuDohzhRAVkY
Wlzq/bhm+hKuam2K11rYuavJdBfeQvIQt7xJc06ClUXDt5KZcdPa5UaVGSjyrFYbmNFwU0AvXxpd
8TA28FwOJs/cU8ZQlwh7vPgBN8rcSkzkU3g9DbU6+KQNE6rTjEi8kRaJbpBEHOkx7IMQQYxWfjDW
bBXCnaolHif042nTZkk13/dWASnCIie9AVLuJ/I2901aMyQRD5GMi43Uu1sgoTNuGQngXiJuH5Cf
ujFXeK52cBUa6m/XXUNGTs8QFTibDPg2mh/zqeitGJowj1sa8pXOh9ZehczEItZcnhZl68BV461b
jvaqQAI3hvPn5e4lH8JdE328FdCi8LxQFozodHPbDdcwAhAMOJejlCsUvBCu3U+RlW9Dl5YJTNyW
ov8Q0XKRUsBUobhKo25b9lrrYV5AfInGVevbMxnmRBMn430i7VveXZ1kcLLn4/pqrLp7lah9bUqq
F394bWz5UBTmYyaYRxhQzePUREBVzfMiSHyw6MCZNzNkQ3d1Ofi9ooOB/52E6YUYSD/ECQbQgFa4
ai2meXa5MirIk2byMc3VfRk7D2UVHSnsXusG8rbInJPdqjO7K8RKVqGJlWRAlNMy1xS+/irG+MY1
8gs+vApGAjE2beLcZ30/8ISYrWcNbrhBdbLGySHp8RVQOvr4ouVhmnj0nJm/MzQOTdD3oMEYLnac
AoZ+hqXmnOCkC3JOoEopB3H1YIcrv89oOCNoPZ1DLJLM9HnjJ+27Fs7ttlBVvG07FQEkEZe5rzRS
z7tpb6BZwl/zok3ZRZjM99pEW0+L96ZRId5OJFB59YDItJGM3gkQWTtB9TawVEfryKC/yPL7yLXP
w7J8i4gF9khHyO6YRO+13LgnCCLz/JJPI3Xodjs8Vq5PeWUPBycr/bVvd7CquB3KFq/+wHA2S/mu
IQ+kbEtFQCZmLXSCuCnI8g3tSANlv23Us5ER/3f8pyL6UhEti+6/q4i67KX5Y0W0/NT3FRFxPtgN
vtQvLhXJ9xURngg8bnC1vwAkv1ZE+OMlzEndldgY/tVHfu0IFeZPB1ul9c3I+Ss7QmcpjH/YEWKu
IGCO34IekwzZnwpnGQY5qMhJP1mQIZI9sVjGqnKr5Bj7qSfn5toN5090GzzPbbobAvVJgyvHbBJK
BWsP5afQsThiarqhjVnU13Zf7JQU5x3ZmXY2HsyxWc/dHgvkE8M9Dn1OseCkxyo4sklyPduifnB0
tERJg5LcnubPqQRXDPoowU7pPkG5JM3U1IgXH9qnucj2gwHnzbT6q2hozU1F7j3/XZzPPYQKAynv
wiPgQU4fcg1/YlaL96hsPobZwIaPhLLoktCjFLnN3JEjbCRSctI+1bOkK5oZBjJFJgJEXeb2NJ1r
MsGTzXM05qS5jT4XAtUv/0fzQV8j+R82b3Wvr0k+MODGRMSS+YxvsrDGJ1+YbyJ5tKarsLGJgiOj
zyIz117A5r7T1muO0El6VkIwBO0y+eDrElgmQlyzVS96JP1+E43k9oV5HwL4yJM9SKhqk8YatDM5
lhua6WFFs78Iz9x0K0D5IcTva92zo5rIuGBor3Ec6PxhaX3dF2YMUAmONucKbxWZdkxUaUrDKiaf
IIenk1X2YzHXtOwdOWyyli5m1IZozuWKHRWZs77yLUTGw3SNmUeSUBKLNY5WD09XcaZQ8DEHlNHR
t0S8xnbanIWkIOzGmhYc+R3s8wqiKdgZ098BRPwwVOHuqrDqvCrxg71ua689cfErxv7VBiwMlKaK
7jHCqLKXwn6HOWCtumoYNsjqDfbZ8pCKrvFgsKVXrsnAWm9yQKPaFG0Ukb87LOykSfSNtYOc9Z6N
oAQAEME9rbX0ypmL4Ix3juvDH/IXt1icfFMk9lhpeW8EzJXcYCZi6m1Sr3XHYXAMW/W1nODgF6S/
rhqLiWPravX54BQDvIKu3qkQEw85LuauhB214cOTsO2sjwj9CzFEIZkm0twtLK5wJeYMG4sqqaNc
V76KjEKF0pu9HPND0mhQNVal7DcUS7rGb5nb6ziH9cQzF5zV7Pf2w5zk7SYk7kQwmXVhNvasuj5S
oFZ7tijGdUHBx4zcac5bfxZYIqgoajHepZoe4EpJARuaKsHBUz2QDxx4YvYxfKqhYFs64pFpnrSg
+pQWOeWRq5hcZDO5XRnhe7Fwlmlt/KDnxVVcNdHzpJB5G2EQIk534SSVSDjn7hrBocssF7ZskTvV
QXX2e5j2zwyDtkPg4n1U2scQtwv2KXoytfgM58/jaA84WhvN9kArLoeIOvJWHLpEfRQ8pwAlERNk
7h1wkqtKD89K3XJWeV1csuR5M2z1qU81eIP1eNXO2Crdut4Xc3PbzOq+Cm1/I1rqmaqrYSBM0YrF
6bQzDVSTcU6x4xLSMTCrqN3wJhBwv5wADmCXmtU5dIaXMY6h0efGPirCs8TxT645HLXRrNYTXSlP
CpQfsg4paaKUoBlcG6+xm+fPdtLG+8DsUVbLzkQ5q+SZDdR/Je2iASuVvarG4swSXY5mtboqBu3W
bpoFEpREZwGy/NVYkNieTIPLr0TFN2mE91Bc2iu/GILrDMXgquFxue6Wh2cWPm3X8qJtaYWb2I/U
jvVAdJMGdbl2DawNnDAdDFSbhsga1a6U+rSZYxo3gHApJ4wz7cZuijd+E5lIvjO5UXMM9am2Phis
zetEzgc8DCeBqyUz4wvY5otDVxg7cwD9hIPU3yakom1xjrOCAIyyliQ37g17tNZxSeUepjMC68jY
GeYSXB3z24YZT60xMLtOcyLnGDkuQbicUoKs6t3A+PzaqntrH/YoVrpYt3dajLIlzmhqK3CX0FgR
InBMdf8Mf/TfSx3j70qd25c38rsQQ/0Zm4Kf/Fbu6GQbUk3AR6R0gf71Q7nj2syGvv4XfurrapYp
j7lQgricv/KFvpY77m+CMgjkj+Xy4Ej4Qr9Q7sBo/LnccSi4lt8OtiPT9J8x7Gbc5/QfI2tKwD+e
7CKGhX0Yb8q4J1lubLdE9zU8l5bsn4Y4Oy8bHgkbSgVdShR5/hQ0az93dfIP7Q0CG9rpKXc8W0Ta
uWjnF8s35kuSpd8HuwKWi4VhVab+rdlp9jHvuXam3qx4XPvqEgH0Jg7Ch5aI1AFawjZS7lnWGmcA
Fz+ScXoYQiYlMjlVKQYV3diriMGQirkboswsWVoCZiBOPV3gC0TeK2YnTObeY0feD7b2nPTa+9Av
WVY+uMFxgIDEvu5ztRjVE6FdtoLJNkGyYDASVE29sl+nEI8rgLllrQnHsScbct1BIAqz4tqwA8Ll
MHY6k+Sy7tp+E9S7LjgG0YEwuRtACdjI/Pd58cXlV7aOg4oI2cucYcc8xp+yig0hNOEwt+56C1Ss
iD+mQJbrKDWuXTIX8VJyg/VBg36lRdTYkYrUpWG6HVv4lJXibK0hBGWgytatM8g9gpzYM9MQj2Pe
MTop5MzSjX1F40O35Fhs1rIN9kkoqVfhIBN/G9/gRjTWo5FyeU0MN/TI6tdWoZnHulrsLgWVTIIZ
4AxRGOvcEak/MugdWhCgPHq0rs02woEUW/vOV1PykAeaExyNZs4+wQZkV5Eyquft62dvNCln+zGi
UrHcjwZ3xBjCQ2jZ+jOQoQdrv/Rj9UJ8Bb3naED2UPJEUve3QHf1kyOi0eO2wmxiTPm2lENxzGYj
ukf29FATnrk3bfWcRGPGJV1Gp0HGxlorO/Yrk3un8uFggsgua7/DWIGOq9b1e63j+AWEZW5Gf853
/UBicSZRDjgN6tsmV+sK2MjKbPrjiEH3jm8AsjsJcAiN7niVTwwE3W4o74Kqf23Q2547idFjAgrf
S51qYZaTwNOnX2qkNCMUxCWSaZZOq912+7rz672BOfC2squUDEUnv0sMfIilHoVIvMq7wm3XbWsz
Z+pmsvgiaw8eamF8alzLWDnJAZ0wrynf08x69DL4lBsrwvqHtBftVeTbZ+0kXka/9KpweHAn8tzM
XEzoCkpoMGgJVsYotYOmqeE5iQe4NHPlryO3zXcwO5O3hPXHPsXJtpor9ywZwnHfo/Ha1K2a5bpG
pLWyLVVfD6buX4RYQI5uP102jK5XKkXf7RQRT2bW11vi+kA2G3lz1NyZ7FM9weNpjfPmn9b79/uI
o/uvW2+kQrCS6vyl/vynUbzL5vPrnaTL33RzoR4tUVlf+EbfWvAFAUz3zd3j4AJxBCrqr3eSxX9B
aq5YGdiodL9Pczd/44Jj3USnR18PmuBX7iT07T/dSRz0aIRsNhPcSoYpflpKqNHSSkJ6w0stcQ1U
BVm7cTnXD3ZP3E1fm8At2qolE8sGmQagK5m5dvyhauJ7gAAx5RhpmZd5bch1XpXBCJfcEf01htBi
eulYStfhOhirmbzIMYWOz5CORbQ5rk2i0yswv3o1H2gi66DZtaWWhrdu2wKStZDbrXINpMNqDub4
LkOpcs+JGhvIlgRBqzq5UySVx+G2LBHQFGxv96RiMwi1Ouch14ksXAGP6R/KTLkI56xynjyZcxZ5
WlPlXmKWKGmSvmRCDddMs0prj0EAvC9TaZ/zTw/cFUPY6IjulKzMzJ+zwHMj2/dUYUB0FZlHxdnh
EnKyS8fO+5uMNfSmJiNYYpfO+z1yFItbpHKfDcrx2VOtKuZVX3f2uHLcyHIQV6bODbNd6JJzm0X7
tHbmt8zQYFQGcmpybxJIB40t0pWYp1+aHWZ3tzfbncV1pCHFgBb6hHFY12kz6dhlTN5tvqHJZ0mz
wd4+9yVcCHOeFbh6OjJyPutg51AuXDd1Hz+z62muldM4QGxtnSuEbfNdNpSXymzK4YqlRudc5VrQ
i03QiCJjYFt01SE09I6+IzLip4S1+R26nrSjVO4Q5Q65iNK9MPPWWWkuPPlDpdfxeJY5kRze7cEN
3hUcjx1mcB+zdwhvMFJYFhutofnQ8PokbtQ8hqZe1qeK05ItR/tPJf17JW39bSV916Uv9Z/ISJaf
+nZiOcDaMPSYpkFGuLWsKb8ODSGTW44pXGbaC+DtO96maf/mSKwIQlgCM5W76FK+VtELSkXR/pLU
wdITMcmvnFh/jOvghXHrsBBZqJ4wfn8SOAZ+Jao8K7pL1lV4wqLuGZc9hteEr5vol7jR9JOl+8CN
Cv8YEdSwtojs9BDrX5EVfXBQSDI4wQm92AsaLToPu/gIk2RYFUZ0K0TyuRfsZ7WiJ79WGxiEDwak
iIpjT9iBlzWLtFJ8GqAkIs14VBXDJZcob+xPyI+VNm9xvWoYEkLGObW2NMr1CnXDg+Xmz+VU3Pch
o5uiJUrCt+2HumoPOdrMVmmfEOIDzHXghEbHPgkvCB5/bgo34/lwrmrTYmEXuJuMPwzNXmTvDAMI
hV48ZZOYePSxMEPyTbwqHfbMSu4noySusx22Us7wFpbMVDlEuNFJCcWgb61R8180bXqHpTzxXHhe
VuLeFJH6TCjAVcQulMErBbsI4nbjD0A3y/5RJPkbgQ9PfmWcwJa/wW5VHgDUYNPl6HMaJ7uCObpf
5rRgIp7Jteo3ZeqCQWd7y3a3eBt0dWRE1q6ziQFiaZjzegIetY2qnqxf3bnA/E2UuH+RB3jao7Le
TsWwFfVANInaB4Z1A7aKeVb87mT1nRkFOyJpHyFLZ2uxkEH5kNQyNBkGwCGGYFZijJXNbLg5hmr8
SHHHrX2cHYXwhdfViMMzYXySgXUjW4AkcN3vZGB8dIbdHyaEQSvgqN2Ws/cx06BSFCH5LXCwuxbn
BeuceGfb6ROei2RrlB3qvcXAi7LWw71vrYTU0PMnW+GU8Qrp8K5qQ7wUScnWueRTo+caPAM8Ticj
5IyI+G0wgzu/AbPuZ9XZnBHtWsc+CtphvnFSi/mDte0qCXZl9llwJwx7RMuwB1VgvE47vnEW5E/P
nfkSTw2fYWaUAdiH+bZAIbUiBmYb+P3WF93t7Jpn0YBvxTEYFDWVH6yDlD1a3yVvbTE+uvAiSSYp
X4UOiicvfHZKRMFA/d7bjDC9Qgv3gk3rWnOS3BMER9uT2Oki6hDuaBgDwgELfO++w06/cMeiX5UN
FnMW9wc7wK1vdCiGg2xkz4oLxQDwzrcxg9HdvjYdvhxR6zbWiHK+ykbbOJc5pHDY+So4pAYoonWS
DJ8AHZC6XWtNGD3wNvjtyWgXooEdWebW9jOR3zkdCcq0YyVGOEVcc+hRPDhXGp4A+4os6fDKrMbg
iXT2TZPyFVpJgpMvS0zuEDO6hQWyElYAzFcRWV4JjXbXGq9FqrFQqCK6Gac3mQszyV2PLlS/Q4fK
jdFpNLbwUoSZshqbTE8f0mt8uWO1I5rGeEwGLMDHNC9peeDvIRu2nTcRANnz8BPVDPxRzqplFSit
Ct6H4QR3onXS5smAG+CvQ3M2QjqmzPafEysCuS6g70HBVmNXev8U+l8K/WVG8zeFfvROcjxXI7Gs
7XT4/F//+fslu/zU1+vyi+qIEh/AKfrKn4GowkLvg5cciNyiH/pW4KvfqOyhyVN6f0FX8w9+vS4R
JOFDXQRli39uce/9/4ZO7NgcBl/YARAyERhHA/CdQXc2wyw0igj4tMvy189m6BT6cxF8FgrtP1KG
2s4vYKOA2RmUcTGU/P9rpC22np86lH+2G9ykXfcMF8tjaYDnJAkfc6K4KzTnZu4eS4XGr3GeuPkp
vsd2MzvJeWs5ICIaqA1G0CFKye8w4sEzVYJzkYNxDRzhyY+RjFvGucWAF2HIywy1So/nR0NqlUeI
6Flo5Rs1xo6XzNG+6biC43x+1ANnP6D582TSXo1O+ASj8X52iwtypx7xRRIeYhkf2pB/quruIQE4
upKdta2Vtp2d+SpSicMSp9yVCsTJoLBjRagmTN9lvOT/N3vnkSW30YXZrfQGoBMAAm6a3md5N8Fh
kUV477H6vlES9VOmdVpzDWXKZyJevM/cYd/CHuB44tGKgONU2qZueuwlmftUDca4UN2T+7lLdN6e
8hiLlO3EoO0wKuDSx4vF1D9tCznuDb3nuLPvhrK7I0hVP6bW9CUtcX7Y3O6DUDwDEYMuxkxdivHM
kcCRFTja2orzXduzdBi77ihls7c95I7Kp6Va/9awxw/87nFyLaikkrXz7LJNEHhL0so80/TwYTo4
8D1Lf/y8YQ1C9ktN+pu2wY2KB80mYzHt4mbauu6wLmkW7xp+Z0GQAnGagpjUGiVcfX0B7odP14cl
tIX+ZI1HxpGJWvNStPvCpbmudTz6M4wWw2lViNpZG5+qYfOpIKZ9Nezj1jLalf2pMY6feiNV1RCl
UsmtMKwqtjsYjLoKPxtyZa50S81HwTRxLVFQhKrJLn81IHPaSu/0kuq7ir4sJqTQSWmijlJHAyu5
c+YS65XpXLTQcJctBXHIzZhetPAlRWTNldraj/09/nzUTKXE0gn5LUaaNabxY27radEj2gYEaxeM
xmeh9NykMY61Unix9phrieg7fqq/XrKTYf3qJla7odY0JfPuvk6tAfVF2hzzzvCtcQ3VO8zRMWUt
belKbRZKd04D+Bi0rq9yBGk6Ob5JNGoLrdrIKRNK5iMoiW1clLe9GYfrEHW7VDAqG707RfcmxE6y
RdjPPqXDW4t/4+rDczBXtxGa+SS15jQ0r7llEXmbtOLIpX2OVnwqzjAngaQSMo/Y6ULTwgav88hA
MPAXj8PqjmVrsE/C8Djb+WWuywMEm+82yZdlKvsaPMyU1F//O1d+XSBxK/mHc4UF0ir6CP5Oz+AD
fxwtuv2L4CbGuSKUZ1Xnkvb7TczBiQHtiaSXQiSq69aP3ZH5C3Ey1cLt/F7D/eNoMX7B0WFSkCmI
hn0uo/7F0fJ3hn5pGrQ+wGFmM4Kw+cejJWL50oSExc40bKBmWknVBtA6bSs5ZBE7BGOp97PDzEmz
nUEjWj7N9x1OzABr2MnsYudLEuZLsyUvKqq32El1/WbQG8LecT+V1aLpc++aFe18CMwujfZVOxkP
QLU0a683gkHX87T2mvmmf0gmW7RrI0li/T5yvFQe2RqlzVcvD+zhXJtlbd2qN0xv5+kHeCWMGDlw
AGKbGFqZx4jHepUb9XdtNbV7mRoUVM8zxqq1rxIJs3Q6TocqFEdDJRbqqooh11CYuQ5p4F/WVd2u
OzFFR6ud5Mn355LqW8/3vnQN6B70Gx+jmiNpgsMS3t2EhqWQgG90WH2NbZroeFtzDNjWR9lmHzzv
dQSQrJLfqHdkgqSxqwqGfT4La9MmWgfoOLAXvSFQhYak0wlWD8jReGWfdY0dsJcM/tcxol6tMXNj
HzLpnrTEwOer1xhWq27cz2VZbXmiFcuaHfMiS3LUdhcnAIIs9lN8w/xxy5WNjb0ZGm5FbXZ0Ow94
uF+T07KseZ9IJKXIoBVJeuHWiTie64BnoDm5MdEFPPtOnqxK1/twZaht3X7epTodwaQytpOPjVNr
sgRHJCCgRo4vauheJcPcc+OwtoXu0WzVjss2rIdLYo7tUoTs+L3UGlc1NRjrWCuNK7n45J5kiHmX
23b+EQtZH7Iqyp/jnucWDsdvOYG2439Prc+nFsvkf3hqvXbvfzMLq4/58cCiZ5dVreQay7KHKNIf
/WZssqkFYRp22QTxLPvxwAJ3Z3pMqGDm/rzsdmnnxb7p8Z8+yQH/SoA1xV/8ZtT8YoVTiyolJCqm
7M+zcNrWrRiLUVxbqKu+l+MlSkzwxFoHZA7h7Zbi0mJHXBLgY+I3m4I057Jt5KEuLAzPCvAaSc86
1fXcLaQLT7MZbHQsyEbuWJ5rCi3LXmCbdb/qPaZJIxuQyTpVcjrsPRyUdKyKVcnGomtwnOce2ihi
4uOA71ISr3+oggDBDU8mW9Jj0ZWPtY6IJOmgIMlffU2VkbNQlk48SLtRmTypcw3zW+p5tnje5Y1m
Au20B2/dDgKO26D5WIfrbpmm1c3kt1+cLvjqZ+6wQdRjo8tTdu9STsP8pt212NtvPGKTi8zmmZWa
7FD8yXFWfmRLIv0EV3MfO9koa67w5rcmsm9Dq7q4LZ6qMkxeIsN8aAuvXGmx8VGiN63B4z3W3PGj
qtl3NjNdNus7v/K+sWbLGTpAaHnjbS6Ai9jGa5YHx3j2HnTirDQe0k1QG+KBABgZAf4IbUiPAhYO
noYtj8+uQaB0mhewMMkCV4m+qFijDFLcuKnUV6Ef3UYeNbdaNhDhnCZBuTADjWCwEQw47hwdezXx
mHEDG42parQEbbB1RrstA1Jsp+zuynTlzBBbWEN3FX8wg4iFh9SQkJWl6p7uCffqGeW0pbLXWPR2
vKel0jsHTf1hVLRU4EgKbjUMtBTrW3hl++RSTcb3tLBAbwINEqswNrwLOjKukVw1FydWAGw1SzY5
q4FDkBRXELesQlL3OmhFu8SwAwJ4Kr5nCa0UDY17XW1c4KLky84k9dRGErZhB+NLt7RtPPbYBPXu
zS7DJ9o4OwLw1IAYYb5ie8DvDUEFlwslJW4zPznM97pfvMM8hCRrQjHOtVvdLb9L+n26kHbIanSX
eWLXS9HWiEQ450s7O4yttZaBeZ305MqeTD2laQcRRfwsBv/Ryii1Jy9CS5DmPNZtYPFtGye/NBr0
ga5bVBUUtk6Iu2xqD4Ia0SqJ76IIyb9LXwdRvyN6FpRR6s1qavqLWycdavxAFETkZyjMYmFJ7YDj
SOKWIDnSIY4zXjsnUelfXWM2V007PZemAYtJLzdlwx6IqQK71NjvE2xpyz4XlyEd3kOFE7YVWDi3
KV0sjPLFhPjsITzbMIhjBSN28RG0Ytg4NQeelgIshhdZUBLdHUcFM54U1jifrG+qlWOouDJmkI8r
vzZogQWGnBjGlrP1zYWSnHFz1ZP5SdcaGk2pGZ5V1nzwzrUCLPMNr4K5H9Dmk7OrIMyYFO4az3yb
FJ4Z9lG6RAAaD1oyaftCYZxzrnN9QnC90z5COM+uAj6XiOzY4RQG2ldA6LkOrV3myHXtV90qVtjo
DH50LCBy4tK12Vw2MwkVMNN0eRMbdEFPA/G80gICwFZhqX1YyjCfx1tMgHRYWOKrS+jmv63Tb3Yn
Gu3++XZwKL5UXZT/dfVk8qG/H7eC45FGRJseit+M2j/uB5zE4NKAmVP0xFgpflo9ub9wMDIlo/WK
3xZWP+4HBIhd/bdPxnbqX3Xem58tYH9wd7sCv58K40nqoZw/u7spp8jGUU71ddIIbBLKgFlKXgwO
OE07YX6NpH2OQie82Fa9Ra60brlhspQKxJ3py7uk7j4KwTVgHEMqrftj6OibnhQTb6Cl1lOCm+sn
N9d5kJFf6OX4TkzsJFIAn2aXXQzpbnyeAU2obYpJu8Ul8uhM+bPFJAnWnZnUpYcZiXfKgZ4Vq1DT
lNXP3Ftu+ISixM5E3E5JeumoXqfb+sKWF+yNPUKXmJFfdUrxg0eL8guNn2id1sO7F7VnHzMrj8Y3
M+Cy0baH3Lc3rekde1ld/DC8eAUeWSL5QVheOspGzYIK+tF4ZoW3C6mO9qZpofHQj/X4Umggsjpc
Mc28CkX/6kXNTRh252CYlj3OZUmHK+XZ0KzxZHrfG9rA1xnFrtRxd4fZc7/4A7XHtnyO436vwWzr
rQY44oxdMV5l5bywy/p+aiZWBWN0DSyHHCDVA7H9aDXZbp6au8xt33NjxFCTX0K/OvV2trPm7pDV
066rqGsKwIfF5QV3ASW53t4M5J0TOuUCr/uudXLcp+lwTjrKCPQJCIiffDELeeeV9jIk4b1IO+fa
ae0pMLLVHPT7eqZY19HuYm/c68J/khmNIZ65tnN1vNMn7Kvm6tAX1dKB9xG56UBEqKJcfWLKKiL7
i9PTQV9W49YtLUapsXw2DG412TC+wxbzgkVdc9lcN5M3cLdr3DrexV4e0q5AjdBVzvMIAoGqZ3Pb
19jiPB2QUq8MWMqJVVQdmxMA80nRlofcrmEXKeeWnurmmdLaftVPOkU/NK/Q90q/M8JUfGfoxjYx
QJZR1b2Lc04xSsfcNT/SvMyNeV7qykHGzEMEXbnKOuUvgwcARR7LWSSnatV67G98E/zprJxpYGgx
yWNWo5xLUBNB0CDGyBa5E2V/8fdBOdw8zXjQOKoK11xhRbrOhrWRWOKqJhm4ZoEMwi9HsdIZy+uz
BjMnPtfKV8f/i8OONRn9IME6Uua7ArqtcuOVfdPyrMehB6uFYu9SvlPnki+E8vGVDWdJw+SM95+W
aRZbnoYBq5dEiXrlBEwM9wNl8C2fjEcLqyDfP+b1QjTLSfkIzRKlEectjLw8Zp5MWE33ZEFLDIim
G9FOkR3oSXqS4/QdfeUQY1iEwQpfVqMNHStjNNOHnKXVhbtltcmU39FQzscCC2RehgEFZkmzNsLe
RGszsSno+csQz/yWq+ybVqjs4sgJ6hBK2cTJuPe1dBsLGu+9uSf5QTEWTcbXSDjv+H7fR1Zii3rM
eN06NkM+aqoTprSHsZYwKmPjlviKK9PY+oXx0tI5vuAxRR6UVrSgaxadHb1Mgckn1+TXyK+ylU3s
BO/mu9bVq8agyGD0BcgP/9nE7cZQQabR6HCN0nqNodMgP1x3nOTlQzgQnhTxNAGg5e8++v6LqZRo
v/QdXl/mhio9cmzewFs0SiYKw3hb1oNLD7Jpfkf6BAnoB96ioxwnSqIB83+1p17e5nvrD6XbXMcM
jXHiyuNm5n4IxSXEVpMLcQC/By5B8+itIYfJCDeeklDcD0F7tPLwQZ8csLExuAOaVhauHMyVPWqn
iDKyRT4lj3XItBMBzVqlDNrdfRgm+aYeAESivvtwpqpWLLW4D/cS4yOefbnIhattoWEQL8khdedN
VmzoBjo0ycR+p2HloI/pbVT00X+zyG+zCJf0f55FTl3U/J/re9SUf7ev5MN/zCPYQxCbLEwZBh4R
8vb/21cyj5gSqZP1AM4S8mb/u/5jD0GMALbDJZVdp/eTFCZ/AcHDhzGp/Lbl/Bf7SrWN/OM4wi6B
lalkIiXW/+mE+0kIqw3clXjtgisd3QsW+5H8rZvh/1nwS779D19D9Xu5JkZyqiDIcrr8UH9cMGR6
IbwyncYLEI09iz5vQ2l1XG+cbDyPJpkSEr1Ts+X1iwqnlZTC6a1r3RvkbAtWbJ59dmrHa3CX+dUZ
Kd9FB+tMuzrbtibGtWwA7KxEqUMFbAaxLspBlHiMMwDrjCvbEaPdtgYssB50W9/y/uKkK4Z4a9ol
YaLevomdPNiW1C2uOtwA24hePsrE6yLWtnlGEfJ9Xs/h9wz9Z2P+WuPtouSvvV/rvb2Uf1rrJRHV
dfjZAU6Umj5wztvqtiV5UUfVvJk13QKtGr6YpX4MxxB/ApVciwQeh9lXWzqQT0Nn6wun1S7AYp+s
xHyovOa+piIMYvuTbWXcQ+wKGS6Sp6qmxEhWJyAYVKQECcwUfBfBaB8HPV0wY7qLPii22JUFFB1i
28V0qC3xWsYxgJDUUffQ6lpHdrzjnD91o3gP7QSfTUk+X/o0LLmpTiCIS83keesJFuCC4k2D+jDg
7+04WlsyivOxmspj72vbMUt2rcYKJ0utehWZMyuYErdPdM5YQ659E6gOw912nuu9X0d3bEg4R3Ir
XwVawoCDdyegFSBvRrYoYXZf1O0xNEmOaJOwv059wnlYB8OSZdlmLHmpUoi2ljgfGTzyFcHv/VhW
50GCcdJRbRYJG1rq6Pp4EcTWvSWnYmGOEp9KnpOt8j3igL5keTq158rulXcBVAsO/22Rig9pd98o
fHHhXtvZ0fQyKJIhZoLbMnezlT7KyOLeTX2rAzjYY7m+bVzxNdHC/Wxj4tedx5bNLrqUvXCnmumM
FjRTP82Ze9vn+cbDEw6jfK1q5TObIlIgeFt3aI1VZfKLt3L8QqJ/BgBc0AsbrIj0v+EnPReCBrqo
Hg9WKm5mPmmvg79z0TqlToZQ+2I0tLdq4x7X/cn0tZ3nPI3+W+HOB5gR7saKg3XtWI/VrC/UYY2f
hV2y2x4lhfqWMd0EfqwvTSMht5R4r2lgvJrI96t60E+eRIcb5BX87pTJcBnORKWsudo4ofbgjs2j
THrKVCG8WGFwI3uImeQicdn0MIWKZM+djGt8rz+VWvjgutmjVhbUEbAvYFY2nPFQedphHAWRzNg+
ICNsUzvlaHWalVnowBs72d7JIT7w8x2tWLxx2hNINVPIkgVUI4Putgtlqslu1DLjtRhc56VxC9ot
x2nyH7PWT+5GH/V9HFOdEKVPg1zUYhTRFIslJZ0UtoCCKkNDWOVtcepLK7p0cgbvlNa9T3NZaat3
GI4+VGdPjYSV777PGAFWoWU/aUwn676xuc6U/poIbk8c1Gt4MZu0OkxdegR5TCUGPq1WCNp7qqFa
BX3pLnQ9PkLpuM/KZFjEQ4HRqGyCTeLJF9sGzGT3q6ojVe6MTX5wudmc/RLQ5zhz0id28S4DlGab
SgbecmBFpfUggpIdVjwl22AKTjHJeUDy/i1khPdu9JYxMrEbG9UCu9e9z4bRNMs3aN3YheNdH7ff
nXq4ptYc44hiGWYO6asRd5vQdt64MuLoabAO6Kx5/AFXVNvk5NIcyMe+tZqmiJoCZx1XxrfMbkfu
HATK8v61J1tq4TVi4YdpoqW0o+bPnLBx9Z1nPW+erI5LqF7Q4DnG92M6nXJv2LUVeRptiJ+DcNpH
A2/RcTz3oL+DzGfATu27tp2vJDNex9C6FNSbuLLHg1jjKoIC4QCV6yW3m5EtJ38NmhySt7mKaAuJ
7a2MLfKzKVfV1o32QTOiWkG0X8aWfU+dEr/BFDBrkDsPVR8dWtOmxzcSr5wE3NgKSrmi/IaBsN0V
cfBsTTQUmqLeWZm55nFDFHKEDMVPn4XOCSTZrk6CA9a3V6/saZIrlqWbXElY7aBFLhqqozCkJV80
F1L3EO06WFmLqvO/iDY58LteRfOYLzzDO8huum1Kwbcpm0MstF1t2W++KPc9N3zZ9vc+hDNMOfOG
mFSxyLBx0T/z3Rd0EExAvgSGyIUxR2fPSreVXz1keUtgMC92fdBXGCQzRTwyV7FhQKmK3my/OIqa
iwG+g3aTZ0JfFFION0gT4cIFN7ZO3PolF2Gw0YR7FezBkASqStXV0usajtkGa8LXKNUyXFmB9oL5
g9cLhvP1RAxxYcoo/YYjzFkZZhayqZ6M8xA2/vef5rP/nzIqz5MmjdtMIWTWqDb64whCm6DOVtHX
LnEM7ugp8d6l9W/7rv70Jf6k+068iu2EWMxFgCfHrtqV1zG++ecfQ0kx/5vW1CSlfgxboHLTU26Z
f/oxDNqGKMWNgqsYOOWd69yCh3nQtNU/fxn2YH/5MvSk4rOi7VKlMP742wqKGLxi0gfXDnJYxb2z
wRisVY+dvBnQDuyGi4/1KzLhv4Jdk9/uP18lzl/aj7+7RPCBPy4RBr32rs7akI2hKzAP/3SJwL9g
EBq3HM9EL/z5EuH8QijGQHW0bCzo3CL+56dzftEFCUXB68gDdPTv+nX/conAyo43jyJFJEnH+HNc
pukGXGj2NFxFcVMHcj1RjPTTL+Vv3r98pz+/IrHPcwlhZ2rxE6pKsj9dIYidJ2bndN21kTEP9idN
XD2oX3Kn+7wkgViv//nrGX/qZXT/8hXVd/TTxUjR3SKeUh1onU5jjgvoP50+u1ALVYs61IV76Fu6
uG1VmtrYGzumB6LyR9+i4qjlDFQlq3S5GnvbhFI4VbAo9Ya2YNMNT1ZBFYZrJMuyFt96LfnujdoL
LMCbQjckmUdykHFQq4oougBMIyTuxhOUjqgooFXV3jY43TeW5Zh0EEbF1p/GHNEjAltXM5hhiYAp
hW9fG9xl2UV3LotiQg3Fwon6k1b5/JXiaJH5lENVQ7uSEyX99nDrU7DPVGDuikK/6akAIqe1zwWg
8iQOjgU1XJ2pPdaUFNBt/NbPpjIa7npnbtZ622yjlm6H0j2E2OIWoY09ncscru1wOhedM987LYkm
QkxEeO4L8v7YpUvCPnm1qzBgtbdzKfkXXVaPxTUN5KnlOnnBz0YEqeGQ4s5XgSF2TzbmFaCGJ7ji
+zHByOL5cAqTyzTbz+Q18RgTj4FbZm5qI/oqLfEtpaJiPVjyPJYSS7W56pPy1PrDuuum/WRGN4K2
tdznnB2nE7HcU+fW9PPOmVgG1nBsevFcgVOQEnZ8ls+PVkrG3c+m5BJ1+U2etFTJ48eYk4Mo8FGO
pU2ysMXHjzKIhRzVm5KJdN3EziN2HYxlmgg2RlZ2+64bWhL4Bq0uUTWd0qmwNrjkjmnGpnC4ytC9
azrEZx1LEcjDeqNDh/PT6KbLtfuhp4AKKPSiUCH9yFs4WfvNCbGq6HZ8a+D39rqso/pKhzxpr0Cv
3bZdweMcK6Q9yO1Q9xuBv6TlSM50sSqK4n7O5U3mY0IcRpoI2jTp78YpvLN9fU/h3Yrm3xeJrX10
rBranWYu46j+ntNll8GQM0ktzzMivqSMnz6yDzEEx7yzV5VEB+MJBksU7i5JDi76A6pqcBNG/Vla
MWXw2XYU1jp1kGxH/9g0BbMNXgJCGlajXTgaVwbYax4UtxPQeWi2LI9NLJzkkJ9k3VDeBxapSnIc
hlY67ZIBDEOdktJlt4j9RjskzfxAfIvEd9qykC3u456ilJgTrSOevOxc44vXxV9ixz0XVRovwMEl
y6HBBOk3JF4sv3d3n4+Z/w494kz/fOipVnlSV39jnVEf+vuxp//C0kwn1Umu6bNr8nevHyeiQa8l
RjsLn50yhP9unVGCnbRNTjz5WfHE+PJDy7PZnbFp82yWbb96cf7N7kz/i3WG3RxlUZQgWBZfTX0T
Px8Sjh7oaVpbxdVwaaelQw5z36B2zlQTka8J9P1A53dqTvs8yw3sNHn4mnnOgWvxxoXTXqRUoxAc
jC3tOmv0nyDtgDl0ilMaOchdUf00Cfniehhk3Ib7tKu1635KHn6lQrYzikCAAaWIndsxMAH/1XNc
ijWkQUB5mKHZS43iAgekhw0v+22IRL1MyFyxM27h1+oexSJ1udADPMuYl2ef9BjpMvw+9pCtsB2D
kIaYMU20sNBYZq3CsR1XfS8ee/zqDn1+g9E2SDESB7dgI27V1ldY0CH6Op+38pTzoCfbj4yA0T6P
v3qUKqwnHytGR50+SiNrk1z6+7TkyYA4ui5yYkg4n9OjZWnDCWq1p9rg8qWs40f8dFy9UmreOcKu
1BIsLVUVM8xyQyrlgVUb3TRJ9ahWmmWlD9iWoQ6PlPqZla/W/3m3yrW05KKMXOapkoOk6s5lGQO8
mYp0M/caAX3rYOXGUxb3dx4FLeqmay3mQd85JgCSKYm+9WhbQT5fZiPr0aYwnXRx/ZK22tLvCsXb
KE9d6MJiEbQnBzhMtBmJtUh87pUFV7Cyjc1VatiYwe3bxJ9C7tnNsDLmYF3hS9jgavlaGTR/IpFd
DJPip0ojm5XBOYmujCVHE1vLMpPNsep5zfhdc1NFdruAC6AvBQuHteT617C1aeJuW2GCd6wQEdYr
tCXN9AWmx3yVlNq2jrWbZCya84xRlb8eK5POte+4Sp1Z2ipYbz/itZLO0gDBizI7R4tUtg0sUAEV
bGCPFTQkXYGp9XF+DqT/NlX9tEk1dxuwWl5ZrXiSFU5Ws3IAu2FRr1qbdEFwG7BY0kelcY4IcN43
3Cslu7yG32Fj7wkR6Qv071PbNdeoaCqNnJCTzh/TmCY7B43JS8onGqoqGr/AoyjVLu+S8hC33muR
iLvWqimqn7Ch0pM8BxvmsVXZDAevJb0gjGORhpeoKA5j3FzyIr3pc3ZBtNXTzeB3w972re/s8zom
sQEPTdT5Dp7dvJ/vDXs+BxWTjZ5Gw4ZKBMJfps3XlVt0ue2g5qGJwWhgQKqt10bNS1nnPeac1HCQ
jrXKdGWthWpkLgJyXN1sIG0iMk1Wd8vDDiGKZCIgFJYMdDf7DGxm057I0rP9ZWFXMNI5uqO6T+5n
uk1p/mHqC9X8Z9SQUWTm5Fsv0BmA1JxoMjDSAR3sKjVDGmqaLNRcqXW8ckDREylXU2fG+Okyhjoy
/14wlmZqPqWD+2nGmGzpBOJGNcNaapoViiWAxv3uKroABKszSE8eE0LcZIpA0CkWAV1DH6aiEwgw
BV1DR29mj3cEHsq9CcqAbc+mkuJlAnFAhezGU8yDjImZLQ4chLELnnNFRqAKZVO6E3oc7M+yvvFA
KAg73sxqjLGAK8SKshDZya5Q3AWM0I8uujdfuV9isXzQFaMhVLSGuYLbUCqCQ6UZ51ExHRzgDgyk
u1HRHnLFfXAAehqKBBEpJoQFHIKflSVR0hC1iKovoSJItIolAbVwTUr9e+B9jYj9NCAnEn4nnAMA
qRWNAu/gDVHGjVCcCl8RK1AfaSNWFIuhj7dkPbAiKMLFBOoi4tO5in1hWfSiA8PABJcQHoePIRUp
gz8ozAxjvFMuKD0rCYsorgaw8B1sU3bMrGP2GDmXvkZW3DyGqEcE7Z030czRnsfxIlDQjkCOGy2s
7g1oHrbCegSh3a1HdPeFB/MjMaA1aY25xU5MLL+qsO2hgeIXuO8ghkiFDtHMatvBErGS8sLCMt2X
UEaCdrwTU7HWfHNi5+McC3gkmq4ND+E8dZsBVknioX03jnPLUoyC1nQ2/9Mjf9UjJZugf1giFOmX
/G82COqjfhqlQMTi7nXsHwan321Rxi+kflwCCzaphU94zw8Xsks2gpQ6HRjIlJiqGHB+jFLUQJnE
GwSOR2IVJrrmvxilUEP/cMPnZk80QxV4YMKyoIYJtfr66b4t3SyuZWdMV7cN6hsGi+wu0kvnpUil
cZiGJHmd9NbZuG0vzjxBfN5FfbjSrR6Dpje096EoUuQlPToSFPDXjtbWmEmqkD29uKQKTNWrghhL
VcXgm+fjexYtK0ptXGJWIEw01zuMxkzAog3bnV6aCRYEQeooh3klJhayNdVTb1kYBgdurzM1RG28
MlSVTQNZCH1qevKMahmm5pfJz5wDap67aQttOOaqFKcuhnE5qqKcMRVX1hkFbJ8kWXp2Rb8gvTrs
4lTJn9kiDcZzayzoOv4oJ32Qt23O9nSeA2Ureg3HwGdQ65eROuxAzsGtzpO9MXsUYrPVuwn0gED6
dIg6s97IMsfAXVEBJFpt29rBTENuZx7CUDjrlCFL17Ahc3X3VkQJ5DZJc7nuDcPf2ToJvwhy3KHK
SvYCRX8718DSyhS/I1A4zJAWgYMEj4gReJfYtJTSwW9H67TwLoIwASpM168NRZiryRnKfRU2B+xd
b4Qk8X+CU1ALhnitw/ILg2pul2RQwrU2gPpLFfTPt/VdTFR8UjjAES5g9gkIVKhA4KfxeYQeiC0M
R4gI2HUrtOCQM9/CGqRn/JYieHORjOPWgEZofBZRS4UohPx0hYN3U8AuFEHjLFNohiVD54iFmjwL
Vd4KeGgr9CH2ioCCdKtcOnl2bEz9w1KgxMYe7ntgUGxGCZQnCqcIgO7qBN6OFoZtD28xHr0zSvQ2
VCDGWSEZbZ9gtc/BBasxmwmR29AbPUmN+qx4jtiUykR75MJDwB/iI+E+/gsMyMyo380BFcCDDomt
dotP+rFS2EhalSiBVhX17SfzrEo45pZsdbuv0lUyiGkhjvnFePKGHF3KocvypJNS72h3T4tD6fnm
yqGP8RQAZ9//d7n9DIRILpT/9DCms+3v7rV81O8PY5hoEvMiTzzrNxbp7w9jk0cuaRCkCva8ym76
+70WTKmFQdPjVqsunOrb+Olh7PDgJHKm6GtQaP/Nwxh76x8exmr5SdcxnhAVWQGLavxJZ2DQT8tE
xOKKnsILyFKvJVO9quq4W/cS679Q8D3NZ9iMde/Jb2G5+wrRx07yvc3SewedgruLseraFis0XL9O
E/sGzl+igH81faj0rSOFKR5gYupvgyIENgaswKyq9lWPoWuOrmar7TOe3TiZFnoNZZBNDfP+RH2X
07i7HBThPGgrh57edrALuhfmG5x//pLJ/M4wW9yhjkYGL8e0qum8VbQHTTEPfUU/pD4QidM+pvFL
Ch9xCPCHxVZ81yh0Yl01EAatY6agijHFbJPCLIpSXkNuGgsBgXFm+9vn3dFt/G+lNxwjg/IThWyU
Ct4Y5D6GBHCOgaG9DvAdWevpXwCtqXY/dzU39VMECzJw0Fd4VlZLxsnHEV5kp/JnBb1zSeKeJ4WU
1PkZfBiT0Vx+aRR0sveTaD0oEGVogKTMYVP6ClJZo6xzNl7ZyL+hv3JbgGc5utW2/QRcIoEtekJ9
LuwAktPXxOBqT4PGrhvAY06z9xTb3qZTDv0+3AoF0mwgaqL6EZeAsUkaghwt0M0B+mYUUqbfG9yH
eRQ9VQrRSdvMizUPR5oWiVwoiic0T0M3A8rYYbuF5JtziJ9D07VLHQZo47MPbqCCGtBBhcKEug4V
9INN5wStUd9IK9wH/rSl+Hhcc684TIXxuYP+GGWpArks3dtn/t0uL5hRZe9yszHQd8O4vcmbOD15
Y/ZgnwqdkhXPwU7I+4mKCD9cOV3znXT9Lnbqrc2ps2y7OtjwP571rlqXRZctREJTfa8193pfb2Mr
eZWTzq2Kh3LpWkd2ud6yLQoavvLstovDaYOJdCPbOV1yOK8nZfhFzHOJ6dfn0kvpzch80piTuTWC
4phYcpN6rGoTBhKZDIc4bONlWE+XmtwgW9ljC4QQe0vkTF87UBrPYd6qBiwPb49NZ++dUdJnHCDC
ZtqtoG/gju5Xwpz6GOGtFhv8KFRuG/73JBg/fMsT9EGny1xUzsHJx6fGrt/bhPhOWRS3nFtbLUxu
dWZ53BnW0sT3UY5UcZlOTx2kqDeu1V50M5X8cBh7HLzL5hjvinaU6/D/sncey41jadq+lYrZIwPe
LGYihl7ep5S1QVASE957XP08R6ZKhpnd9VML/hGNXnR3SgLBg2M+8xpX79Das8Zp2FYQNhG9Rydl
oZnDGoGSGRSNPxHKn8vOcMOLpm0cSkjISMdp4S/9SDpIqVSYwss2jGeO5K7CZFhENnLOPf2JQR8x
YalvlaIEaAHQS036RZvY2CwF4TH8SpKxSBX+H8uO0n+SJ7yQ7zV2RkPfLCjLT9ukwXQXYe0otWZD
Us38wLlLwpBKTOkD9MAsCVAAoLTEBDsakU0RMSL3/VBRIpfrYTr0FlByAiTQuCcoTR50UGfp1yPc
rHYd7xZGGBo4TVU+NGV7hvPerAr1aznwgDMM5fEYgbfSUW3QI2xmZRA7BZrXC+QHr4zG3RSm4I+0
yUGNjhFA73aFlkM/lQr6Hlpy7spUN3zAHmFg2BMbtylfb046Kz3qJTCrSYQovGf/iDUEyDFVhac3
KdGbcazmPDDbW1nND1xSPgTprHkUxux/fSpNcjO71BqnngZjeabLaCB44UoAZPOgPXXN8boQ6gpq
feGqzWFZtCBMKMb3SBuMo7owzXKuScoBQuTtDL2jkV1YWzhGfSSn48JOEVdwgIoUuXwfu8BFarX5
UwOXPu3gXhyADDhXBDja8y6U0T52bLxWxlEKFubYQUOL0GzEQTDKPRQwpEAA6I0GCe/+XIulRRQP
56pj/0QYGjxCDhy8nlelLS3gtabTDu7zUOfntWXfoILlTxMDxHufGA6maGp8F6GsP/Py9mdYNcDw
5O9xk1KDy459h3YHiIdLijEzlZ6G4cHuapT81O/7RRGON5Gigs5q8VKB+FSlxkUpuYgWyc4PySxv
+6I/6hJUkKomsfAzRG5B8Y9UgMl+b5zhq3Kk16I6qA8HUP0IoxW3GPQVStLR9zbGo2ymSKmykMa6
m9q9PY/l4EA1hJtzl6Cgk/mPOjSP2dBm/awqlbUzjmdKCdqEcAGBIlVZ9NR+gcNjVFMTkzp1dAKs
gu2S3uAMB87bLFTPM3xfaN+ggprhquJXDyi1zGjLUTUZziqzPxhV9q/Swt4IcN5NP0jf8z67jgMq
EV2qzfKYopxNp7eNYG3ro02/iDg/bsLmoqzDYG7gvrnSU5nwmZoteqAKYr7PTONfIkrV9zAIkSua
4KzA+oGQ1eg4EyO9zRVRHlT0AbW8M+UqmdwZi/a8mFJcmjrr68vqBOTPPJvWq+AYWaiZv8oW/iFC
ReGJv/xPgPsU4BrEg78OcCmio3A1EM1+EAASf/YmwiUWJQqi00e75Z3JhvbtCYcjpBbUv8NbHTA0
oqwWwS2i00JZ+u/w1vnGv8sIfCK9B/DZ+keMZ0Qp34W3TygCuCTC3Iz/IoQVeIY3tQYJ3UmzKKrk
PFVyXT+p1IYa/9AESM/QKOxUB5gg5QF8XvIHyut/jtnoL9ltr3Q0AyaadT+0aBzkjbcqaW8UeZCC
ISNra3TrVK6VAng+lBiKCpgMZA5qxt4ARBEA4cTPvVNJciNB/qhB4mVn1VA/SiLTNJzuUc+lbO6T
wjUO23hmB0e9PsLccsITKS/OSzkzZhkSV3ANgAXiHRCj/VzC0xCs4Ka8b4N6gTbasERh9V7qlYWP
Uxm0E29lWfUpenYgYyPhE1J0PzBqv4nrIZ6GkXKlGfWdR/axxNAL0jSx/pkXUMyj5VXDgYjKuTJ4
a1RTsiXyRdAWCFqCQD3L9AJs7Khe0aovJjhGXvSqfJjIxkavk6VWdutKD450Ff29UsIgnc42Omf8
trNK5PIO87WDrKc/jF/aXVaZd05IpkuZV9ceKsd5KNXqrByDWyPrHyJKRIDE5JG+lnmO0DdlcqNb
JT4eWGEt0XiWGm9Bb+YKVfxT8LCnIy2faSiDWh5UhPeNwk4OQqUqJoYiXNZliOFGFx8VwnTDkHAv
9nrlKPRNb4mbh7kovPgEFwx5blf9jVlJh2pHWItB0aGdASyWneQsH3RnCr3VPijzVF0OdYegQ5jN
SnHy5JgvLiPLL2ehjDun2br93GhUGWIUP7UGdQWi+btrW8h9Nuem3ACfSWHYSU6xLDGBAiQvlOyo
7FCDmfR1501wsAdbJpcHKDhj8a5K7hLAmzvtsvZItqCg8Cr4zfI+RCsb9s05Oc2BFxJNmGoI4jED
CauvHAUwYTSaN3VYkMh53zEk3lA1lAhV1WxiNKZgmTj+AvnvuzQsco4XvMGs/FZqcAuJq+5GciBc
8adozIJin2ttdDVI6jDXVHymFAUedkUzPsjyEzbqs0iHxVQPPSWtrANs3nbzHuG7M6tDPFYKS3sW
ZoE6BXW86mqoz5FW9uvaRR9arjBW0kp0R7QovG0wbIqDG60WGHcyuzlrbabrLWp0tVUvUzzMSGfK
fNUrqjvVMvkIm7AT6NqAR0KsEkZJuoBk4GN4XACoVZPTIIXdi36XieGnBljYG0mksnXUF+gUaPKV
rh1Kw89IFqRmD/lxq5prQx/OfN+a23r2HYbnT3ganNKW/rMc5R9O5WC/FZ/mmMWppgJjv5L8uTnA
VBuS4tJvqnWs48gSDAfo2wLndDhu6dFSm6cPY9NjKO3hp1qVf3pSc9Rl9UWcSyd1i45ikNYzWPcn
mkNHTkGNE6h4p05CwaNvHB+7urr+mUtJAtWuE9bm1jooyj+pGcj0HKVoomY9vNHORpEb9wjkPiWb
ZjPtZcUpJojrVZM2Nh9qxP/Bj6jBjA35qJLKnj4eUo/+2B7WrgbnufQuTb9fE4+SCukRndeiiue5
R9uj0ouVmYD3IEkW6M+r2sBHhvrkPO4xcIYWqM6B4JcsuowlYZsYkJHDZ717mgnnPr1x+6kleVdY
9pxluXPluPpK6wdMiVIhfTLEl26OPbWnFAuvtuO7sqvwAOhANeEwQLdDLGwjvEVAmvJa20ULtlV4
pap/36cZ+ZAeLFBYP2RDvxz0rF0VdJxnHAAXuY53TWAY0EFte+kTvE/bStMnhpldu3Z6CJpfn0ZF
DHW2vQgMndplCAQ6gPtuZaUyR5aTv23bKwPHv9WYNvf0eVE+Rex9oqaqjyB7Ac9glH46usJ54ZfB
0nakC/Tb702NtV3Elk3nThgq9miSpYjBAyXFOqTMijukGd1pbYPxTYYeLS4VmK0P3WaWsWcbeSov
Quq7CxQd73FFu6UkqE87N11g34buAa98wnFXTjsNXHPdAz5yAPRNzTYwD2iQI4KsYxEAfZFFY1Dc
1dsbf4guOs7EaR1S4A2MCudAy/CmSKoz3WxUs5qQf4MEHxzn0gh7UkcwVqJDCb+2Q7uog7wRmTdI
/yxhQj4amXEeevmmp2OGsk0IuJ1SbFfCgTGb9Bi4a3FqGSPKBTI60Fa6gq50UMd5OdUHtQFlLGd3
gHLig2osbjSVhY8Nya0EhxOFn8euiBeOG95w2MtHgQnljfP/oAIpS4Z47YzRSpOqbmLBe4BeS4N+
0LuVa6DxCfNokrUksJRo2plqWQ9Bn0mzBMLQtMjyEZlV+1JBdHRuGD5UO4DY8zxHZbuNG/dALoe1
KTEZar9VFxRscIvDkch2pcPA89YlQEiPRBwoUQ5Plpg7tfLzLAJylDmyN4cT9JCHvb6ASPpDl+FD
hoV5Ljfm90w3l24e96vR036GcmexxxKUq2pJR6NP/YVpwY+ozSqayNnA9AsRR1KCwUEtVflhIggB
IiOYA6lDf0hi1/YHHLrA6XdTUwrXcqqewGqk7BG4IYAAdFVb7PegTy6HEaproxlQbuVoFdLWm+Jr
yHknlNwKFaGRLCzjuenYj74nIQJie+UCOISMfV7bzjIZMmU0il3VvCVNV9DQQ/A7KaRrNItuSodk
Pw2cadbFSOzBifIaG6O9KsMQSfevahPCrxvXBw2E0GkiOzd62px7cedMaYF38ySXIOKarCeNwmHv
SfEMXMKBROQkdM9lMszqPvcSYavKskdnnYYl+EK5m5LkbzpaxlJu/jRlCoFYxs+shC4xJKyflug+
q7H60A7lkcNJPhks46HCKAudcyQkPOXQTbUUGA3aIb0Z3XoJmihFj4CF3ZjTUEqoJd7LtndMYIBZ
ESYVE6UJD3NBis+bEB/kICP1Q9eJJu8PD2l1+NfhtVICxgFiemkllC/UJDvQne62J+aCdz/Cr8iz
dF7UmjcFHACOICr4OjifTOwODhj1pyMbr3vbHkSxr4inrLuf9NcoX1FRnXuRtpDb5i5vWbp+qVxg
PVhOmQsnmhnU2GCE5QTMxJUZ8I4MC+B/5vfs02V6gqANvFNTP1Ts+oGSDOXQoL4tep89qJFvxjg4
7If4WtVB9ndQUzJLvm9b5HBsEkXkYCDNZ3FznFflIpV7eyIP8KQBMuEYYYYbRzDWW3weUcHcjEkJ
Mx/vKK8cD1Q1vUNEDUOR8CZv6bVXRHlWxNbnF8xM38GCKqO8CyvGWsp9+dP0CemsrEeynpivhcMU
UNFtrPTAxWkJ9uwaEcv7sG7OdL1Ag61WZqjrLuCSc1JqxQrqxmXvK/PeoBPjFtlVX2HIrTsHjiHR
WQrxqtKmQ4CJ+aDBEcH6DjL3MSDVA7xqpjH6ODBtQ2WYFp6lRhdxOpp3A6x7+7SQKBdcxEYN52MQ
zXgjl/4Dm3/ueBv0HH6TgzbMnSTdbElC+bvXJBTqreIQZNEUUShkCGj8X20W+Rv8CbrhsBwQAnkr
2m5/08k/OTxVXL5wSSVFfW2zWIhyKQDq0Vo3OSHB+/2DnrdpiDrFGzqHaLPIsgkQUXV0kIyOyFPf
5KFKa1C7zZLkbDT8Q3r3VLCx0uvRcx4RH1q0BoE4po8neh4TyGj6Sm6UZZDXZ35D1RQoFfT1ixQa
YaMph12Vr6NG/+FWdEDT+qQflWPP0Vejb6JdKmXD1Le8HwDHL1rXjeZmkqxpJJlTVIyggsWoI49o
MR8lA/iXOPKR9Enq9DbT/KOmyezjlFKk7Ys6OifXZKQjUTrRvSkZC81VkL/KzkDNEQc74V2ntGiM
puaZTfCHnDWI6AjFiLPGzB7NLCOQ6El+R98i6m4j5cAY7OO6tg40N7kmut5Q8j1BM0GUDq87Cl4Q
9LxlZjZHpiE0ilrzzMisw7iGBur4xo0G/wWniz8731xULcKKJS3tSefY56iCAqQGR9lFp2EXLnJJ
cVmEoG+QVUR8o5RuHYFSzMZ8JhvhsV/ieSkkUzUnQn/ewNc6iUayaNNJFlLo/Nmj4260zbHe2Nlp
XlyAUlwkHLODhTeQQetE6y8HFG7xogsmGlU6TQFkGUt3re7emrq8MBvSG6ft6PbHyX0woAIsyfTJ
kc6dKH14OrQMXRE1F3LvEpdGZvK90A/MobJrSgw0uQHRtaeejIoLPRha3mY3HZr2ykcsmP+NYxXF
5FldpN8bHsMFMzCNAg5pjIqWRoCSV2krU45oUIO8hzDEyzuU7XiWDTaKRoN2GdjZUde5j3qBMntg
mtd6Zl5K6OZMpdo8drAMpxxgQQDNSfyD0r+U6D0ZQN+gNBB790V4bbvpA6rKs9RNAPpEj2Fafvcc
SstUgwgM+VKr3FU6hBRQaqc37U0tVV1oOoiqwKJzhzE0mO1mNjpCViWiF9KuIhXfurTpB5y4m41t
GPlMN2myyVZ+l2GB6dC5OPYNRruISQi8DLhG2isAxKuyp4lCHXTsOSJNxclPAD1Bgo3IJBoibpkj
MAtoDoJgsyEZpM0kLiG9gak/VlAcg+94F5jWMdSUy7TNgqkVoEopKeO4TFIi/BTDz4UzcOaBF/sz
T4sru+XFG503G4zxVG5c3LwlZaa1BhIv9mXTuatOAz2luO6BFUm4MDLpoXbbi36kRF5ikQmgIqqo
/MIgCAv0VKRxWAPvxYyxgkQaM6KTGjvhupVmcmRSm6HXpMQgQ+GOLZH8SOZDdAlBFst4UnlvXKOF
ta5b89rr2+soBjTW2+coBgFv90YyBZX4Tguk73BUCWUhcAqTZX9ozUOK6rgRKOAiaEuSlUjDmvc6
HOqVAdEe9AEGOdpMlfSN2lcnsSyd9HKNtJ09pHNAM2vgoqshr41pZgI2lK1AGK9Y1mQoCcLVortK
rC5DAaRWli4oEoFd4HnaOJ11DTOQf/+pxogOD0bsTnAxtcg4pEuqMpsqYUroZhIQeVg3eVmcVjHI
RCQTN3kOFEPqFlVIriSpsT7HhIGuhRIufHksj10FrEeq87YZ8SPcaimHpMympk5/6Bh/LciWYaYH
tkOdjoAtHryVq5v9KlOGdWFCuHHYGomvFwU85CmwmZOx9s8qYdBN3Rq0S6Bd4VXXAbbLzotKXoJt
us5H9spMuVK8Qp1mow3MJ7PWHuCX3PQPVb7crAtkc2LIzY1kjsoUJXDhLEutqTSY1FHl/mjN8UdZ
U0eodG/lxRKG00oj5I0w5q2bq9xWErwleb+aBP6b+tu0s6DKYlp6T9DOVoFMju+csdEtvcIHDKpX
1yjDfI/U+rYsEMWJo+ZWd0Z5paidQgVARfi4CukB2r4xHXxh9+7Bb0Ta56CswqvU1JZjjlCUGyk/
uog6hhOHCyN2QtRXactpuYm5gPq9NS+66nB07zqqgb52QVVpQhnvO2HzTYCiALrq9dJMs1M1p/qZ
x0q1kkNzo7DRz5XeOSdRZWlTfl1JBpGgZY7BPLYC5Nl1fYYx6nGVx5eto66sPmb7DfDLHJQrtI2O
/GwYJzBAbq2amodc1IdFfdqaw6Q24DV5tKJgPwWzOHOCpVqUsFTK4FYZxiXA/vCY0pGCdEN54gyW
tABWHS20ug8nIyVSaDTk1YabzLvcO0SRWJpWWMVDvsk8CipDo6krvc82dpD4J11aY71K/G5YtyGi
dEvc4gSqtBiHU4Vqw9SveM8WFKaVZ9cYG7jTjP3r0K1H2hxamZ3JozSu3KrWD1rUweij2va60Ydh
OfbQDvzcFua8wGKxXlkkhnKi5sYBu9GhielLZOtUS2vqYFKpa98R3GSHaAsKipW0Iqw+1fXKW6W+
vNEGeQOs+J4jB6C7368GmWTYhp4LHkujDjUBA5XNoj5GShe1SsPzl7iJ0OJz6UWjK3wH5bddgtUL
5x1grgLKG1krnvWtJNr75pHHYOf3tXyo6O5l5ForSepU6DgYvOS9Ow2aRJlGsXzD8HOKK/EGwO5h
i9DeIkfSqqzMZWhXiINrVrrAcgY7j1IWloV0SJWiu0vrnjpefCVI2GZs3CQOGp9FSDVojA463VyU
AVBv1gk1sX6h1Pk1bLsHNtfzGozUFM3JcBqYxaUilQs2OJxNddBSjgJG3AeObyHVmZqA85wwObPg
D0wi10dqyYmGedmjmM++H898c8Q92KzmSY/gUm5idxhk6nrE0Q/IfIcsMJx99KFPCXLvyjI/7q3Y
In+W5goGg0Zno/oZUqhSL2m9HrFyV5YKpQz3nJsc2DOcq/ikUzhqI+U4cOsjN85ujVy5g20iDHut
20rtT7Ke1LYLHMrjEkJzjuF9TwZUkxWUDcfgsNTLEwpNi7xTqeUENqqlOWe0ZN40eXsy9v4EB8z7
WDfg6VNvrbThuO3tZgXOkcSxN08SxU6nZsJGKAFYMAKqfoa+ijLsEuTxqCk1DfIcwCETWl7YJcm5
Rit7RtVOgtNfqjM8mAEYC0eTTlcpzyfpMM0rBBhBG60qXaWMLof3VkcMY/fNuZUDSnZKvMw9p6qO
kwJ6ZKF1oHcsHLHR5oxihEgccmpiTrdmcRmxPerXZi0dmoGVLE0/O3CItgD15VqIgxr+msHkPy3B
55YgPbJfp2PfaQU228hcorX2VzZmkz2pmG3QkEMa5W1L8MlCS3DaDRwB5Sd68ysCWf/mkIkBRtOd
J2wbOdJrNqZ94zBXSeE0QWUW6dM/yMbe52L0BB0LkSaRJloKYBhd4JPf5GK9LHltWaYYaAmvKJa8
VyHDhcvUm3HZQmRWnsjzfyd9Tx9koEypU9GUVVXWxYO8+SAlrtvCDPWcyNBwbiK/wE07wfx9XNmg
BcHZ1WmjHyAJMV6B/8d4z1TQKrTJ3fIstA9xbXeOFCvJaTmURn9OLedSGzKyJHPwMBRvo7DS/mz7
wrTPO7do20WoAFJqdQyuzUiKz7owhi4d5HmmzinCNe0UYRJsBYPKpfASDdh3sgDlWZU+GLHenVpk
n2d6I+fxVMkBXywyt9ewU22gYSGjBKW4y7QzuVWM6LiNw7OyRsckyVFO951zTZE3RpU/phxKbiVf
W2hMpJ22NCQz49zgW2A6AYTBXTjJ3OiTA3dA2E+LkkCAHGbxUPz0sfumjHmqqPnPRmuv8NjlxIUL
9sOK4HQ4kKtOJCsvoRAZ5mEcgLpF8G4OTKUiXJW0n3pYpSvdRaEtrYt8jlgQgtWxZMzVzj4B53Na
pTCvRtVuCflGdVmn1s2gSHexCp4xC32QZXXtqdijQMRmWnDgA5wM6P+IW0DvUJD+vSn1Gv9G0079
y8prpXkDrHbu9HJ/pwMuZBTRz5hUEaVEXSqHWWiMlwU68oe+hL7l7+eYKvrXH6aYjnElwl5oegML
/VBXKIYSyWwI7KccQOuOTOMK8vUEPA6oiHTlIv8z8+bJ0poDkZ8Yh/pCm0NAmkb/Yq4/WTf//RzI
VWgC1I8rniFKHZxn76e60cMYRs8wOyW0PxxihOojr3DJa4hG6CA486J1BUnbhA/l2vKJZ5XuocI7
MqMimQ7WcOpgNIC28Phn3WfOolJpt9d1vnDt8U/LcA2qIxTX3bG/LWLUsdWywO+1glnXd65K9kOH
xvD7+aA5y04BquqiPqjbLnhrZzVqWMGjOqzrBiqaNSYrgQPMMUlXFORnmYZgdCbn867zjlUXrHWE
NOWsJcpIkhDCI3bRXe9oy8ITQDLNu/EQSVe05ITUSibjzJdyxESznILqvhxe/f4VA/V984aFEAhs
WBlFBN2hfqQ5HzYRZ1Q7J0/c8lRuk3DJRgD7tORslwJ/bmSY7uiFt/79Rz6Bft+9zQ+f+eFtSn2L
a0XkVaeFp/3A8AAnHi8Dx2qt9KSBMe3SxDSppliQx42YYi9NsuF4LDHBtiXjOAvsOzmgVNtW0k/s
uwjnihM1My9kd3wwvOLPpAuKWYFf6v83xgQvPPDZul7Pn7AyF82mHC43FX3I6vWsEj89z2jeXmf/
b7/0+xu9oHSuh3zz3/+1fkyCdBZUdRk81G9rp9BeOPDeHfBPz/T0wL+7RbymvdY8cm/N+qYaOkLr
iiM/Xew6cZZ6Lz9mG8PSQLE4XgGNPF1PH/hmjH41Cr//gs/D+fvf+fU3wHGB2OWdj5kwA/vHI8F9
3gwFeCWwTIaKScPTxfJ9NxQqGtUA+SFksXD5rP0bBPljvPfvTIePg6DKDvUa6GNPl/jp2/kgNG1A
KOOVtJ+DINSWdp4JFp7Vug2NCX8hcX2aCcgY0IKwYGzs6UTYfTUQ9zPRmQdiRLkQ73k3EdgYiBMs
qCHPk24PV8Pz23lGqP61Yf+LzfHjajAUVIbkXw2C0KZn+0TIiX1zP7eE52W6yyDAGYX56cAy3T4T
2BKgk8KJUpgjezkIyu6D4HwDvghzFtfJX+2LUG4VuF9EWHs5CKKRyoPtNhPozKLxLmC94vp0ONCf
tcXxoe/rIHxqUP/zE1J4iovWr/6LiIkwQYMUptBC2deZ8LxZ7TYToEJSChF473fHAt+e7rwwZ30e
nn3dF/XdDwcTfLuOfbtAFYjr4wkpQiUE9tAJ39fVIPj6u20J4P8tUa9QxQkhrk+hko7ik64RKj0P
+B6GCTzyboOg2d/QNzTJHJ7HQESgnxYF6BPOSCQdufZ2UTwf4LtsDIBtdJx6DPNX56RC/oACGJIV
e7o7voRyuwwCCCYRNcOKeXrd4n2/nw8UwakDwZd5nnt7uCh2nwnmNwuolkF5/mVVfBgEkUBgYmDY
L9HZHg7C7pmkg8wrcq0INX749iJoRtOYlbKv+6LQzdttX9SJBWwaHbR7Pn57/RsdEA2d25djY0/3
gpcixw57gTggNdGgeq0lfDobVBpsSCUCKdzTQUBmePeJoFNIEGYqzxdf9f2GSOIgNDJsc183RGX3
mFnFHUalu0P77On6OAiK8Y15wIZJYC2ufY0SlK8InW0Z4WkZL+jn68N8UGx2R8eEgbqvUYLyvFp3
2Bk04xtGg6K29Py6P0UJHJCi8IL58L4uCgEU2O2I0EgPkGPV0Cl7ngi873c7A4NAMokxpLyvM+El
zd9hJnBGUEygsfCaSX46LuVvBr1hnOn39ozYfSaY35joVNV1ulpP1+eZYPIzSq37uhxeHmyHmcBy
kA1V1UAh/GI52N9E8oSY1HMJbl/PCGGYtuPOQOiMyToRInQLcX08Lqk08UMZiPVzq2pfh+KlKr7L
rKDSJMQX0Mx4Hgq+6rtNkqEgfEQ/W2hZM+z7l0qpu6dSCKmBZaCI8lJ3/TQfqCwg2YwT8F/7x14O
xcs72mU+UIIWOnSG/FJw+nhoklzCgSKYFjXJvRwEgdTbeX8gMlLpRrzUFz4NgoJiiUH2ubfl10+S
hP+8GSFob9i5AdB43hk+LQqSDhRbdPaGPZ0J6s5lBjAsfD02R8iCT9fH7ZEY0jF1C5Co/BpZ7OWi
eCmR77Yz4E+Oco/5Ulf5tChkxkpxCB+eT9V9PTQFOnLH/YFICXDCXyPxqTMhMgvaMw6TYl+Xxu5t
a/Mb0tFPWOtf7A9skmwPwBH3tQz5Uh/dZVGQWWjA0YVh76/2B7Tn0Kl66Q7vYfi0cwmOHpXKMaFz
XP5iJoBpogKH/8q+zoSXMsguM4Elj4wC5YaXQPrTcUkMqQBt2+OY4XnH3mUQLJaDju8cxtZP16cz
QvkmFgOjsJ8QP4Ttn8PaXQZBoxhLLmGbv4K3gQE0ADGghrenp4O2+0zQgLLICFe/FCA/VyCZKmB9
qLjs6xFp7L4ximatQtWdQODpYvt7n1yD8QPVJcyp9nUm7F6QxzLCAu+JTeXznkCJ7eMgQOXiPxSs
xbW3i2L3uJHWJAVpNEpfEAwfzwgFyDznJLWIfZ0Oz/N0l90RxzWD3Jma0/N04Kt+mg6yKtPbfV5/
+xcxvWD0dxmEp9QZARBx2rz79swAzIhtpsjL8OzrRNh9c8SM9km6lTzp+fowFFSadFWmv/1imLt/
E0Hfvb6gi+8oqmm/RrIgnKYJcujrIO1lfUF7bpzssiaoPFJ31DGZfjoGPhfl8X506OE4zn4X5YV0
1I71BYN8CTFQQAvPQ8GR+G6XoChvEljBDdjXg0JIW+04CLBELJr4pI0fvz24F4s2FTCffd0dn1/L
bquBwqNFKvVyDnyKmsipVTIpxEH3dBD0nWMFQF5QgDgOUQh4uj7Fz9jm2IRULJZ9HYTdz0lRbCSd
FJW2p+vTZgAWHJUEA5mEPR0EY+dzkpkAdMmkgf2Lc5JgAWoIMaOoxXHt66IQ1Pvd9kWBfATNwFH5
EhFs2RnEpknE8A8G4d8Irv4iKE/9IH58oiYHm2obg/lXv/DKEPr88zec2yfm8bvfFFTl5w9/ZuaK
//8/75jL6lNb+s1PX9vUT5/08vcvX/Hzh7/7sNfv9fqPq2BTrssHf3j6wfDyoKfrBIbz/8b81+P6
I2NYlH1e/20LzfptRv37u+MTsHm90cHjf/8X5VXkimVW099f9QOH+9++ebJ+zMrXG725OXNm55tP
8PDa9uA83M73nq7jdcsrqV7v9ebZOXB2vz86otWnV8qok/1/wc3TusToPKvqbR9BoLPzR8w28R+n
Wbl1/Dkfdr7/PP5jlpVMntd7vRl/dqKd778oN9U261KB0dv55st4k6av93nz4F+xXFdNcp/Fj/Xn
2wu0+86PfpDkmzJYx6+3+vvpBXx499sjK/96mze3/ooVe7Qpt4y5gBvu/NRHQept2QiUr1irx+to
yx4mCCU7P/bxuqo228bkKxbocVb98b+pt4k320bmK5boyfqRDfh1HN7Mlq9Yoidr3IS23Psrlqi4
N3KRWx5dIEV2fq0nm/Qxewi27V6C+PUF9y8fNo+vN/p73AW2Y/ebZzz7633e3PsrlulJtnVMvmKV
cut6U26GLU/+FSv1dJ1vmy1fsU5PN+36c+xIA/IrluhZuWYL2DIoX7FEz+P1w2ZL7CiKUTvPw3MU
LrcFd0KEZ+ebXwaEjlXwuGVkRMtz5/tfrR9KUoK03nKWal+xSq/W6R+TDW5r2z7gK5bq8weU6bp8
3LqRaV+xaMWHzIKNt+1LfMWqFfdfsAIeguph22d8xfIVn3GYrYtm22klquFfMJnSP46boPrj7D6o
8m3f4ysWs/geJ+t6s+3+X7GeuX+9/mOyLu/X22IG0UL5ipHiM6bx9k/4moUtvsW0bMbXx/37iBRy
D7t/BX+9NScURdTdb04NY+vgf8liDqoI57/m9TnfDMyXrOUsXm+LHkSxc/eBITD5pTX7kwrcDvWb
q3qdBlW8bqrXJ30zNF+ydEWZZcs5LADwOw/N9cZfbxsaUcvd/ea/dQzddeCvG3aCLUe8gHvu/ui/
N5rZ9dl/L5y8691/ZPGWfV706nYelx/N/ZZIWWCo/sWtt5Vl/6IZfS7Wvqo7bvuz97Vo8RsP8WZd
/s//AQAA//8=</cx:binary>
              </cx:geoCache>
            </cx:geography>
          </cx:layoutPr>
        </cx:series>
      </cx:plotAreaRegion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_xlchart.v5.24</cx:f>
        <cx:nf>_xlchart.v5.23</cx:nf>
      </cx:strDim>
      <cx:numDim type="colorVal">
        <cx:f>_xlchart.v5.26</cx:f>
        <cx:nf>_xlchart.v5.25</cx:nf>
      </cx:numDim>
    </cx:data>
  </cx:chartData>
  <cx:chart>
    <cx:plotArea>
      <cx:plotAreaRegion>
        <cx:series layoutId="regionMap" uniqueId="{00000000-C8EB-49E6-88B9-ECD58AB6E868}">
          <cx:tx>
            <cx:txData>
              <cx:f>_xlchart.v5.25</cx:f>
              <cx:v>Sum of Amount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3F1Zc9s4tv4rqTxfugmQAIip6alqkNTiRbZjZ3FeWIqtcN93/vp7aDtpiaJtuqZVt67UXTOdSAc8
xAecHQf/vm/+dR9s1tmHJgyi/F/3zZ8fnaJI/vXHH/m9swnX+Uno3mdxHv8sTu7j8I/450/3fvPH
Q7au3cj+A8tI/ePeWWfFpvn4n3/DaPYmPo/v14UbR9flJms/bfIyKPJXvhv96sP6IXQjw82LzL0v
0J8f9XXg/oyzyF1/3P0O//nxLg7iD3pcRkX78cMmKtyivW2TzZ8fdwbBHz/8MXzWHl8fAmC9KB+A
WNFOKGMqV2Xy8UMQR/bz30sIoxP4giFE0a/nrdYhkExl5JGN9cNDtslzeJvH/x9Q77AOr//XG699
379+P902zPyfHz9HbrF5+HBTrItN/vGDm8eP85O1ety/2+ebx8n4Yxew//x78BcwPYO/2cJ0OJdv
fbUL2xuQ/hXAhD6sD4AqO9FkVcMaVfjjhw3BxSeYYZVRWC9Pa+kJ23dwNA7vcIAJCA9JjgzkLzC/
ZXYIkNUTrMmaIivsCWRtADLiJ5grSKYyfLON8jtYGkd5OMAElIckR4byMkw2mbsODrCX8QnjWCMq
IPn4UYYwkxNCCSGI0cfvB+L6PZyNo703wgS492iODO+/gsSNNgdAG/QxVwhFRH1xUzP4EMLU3U09
naNxlAf0EzAeUBwZwnoMpkYvtvPiEMJbO5GRxrnykvDG+AQpqkYYGgjv9/I1jvboKBMwH6U7MuQv
NtFDfO9GhzC3+QnqNzZjz8IchPWu1a2cYJlRReFgsm3r7HcxNY75/hATAN8nOjK0/wrXD3F2EEmu
gIEtYw0E9S7GMnhWGEwzmY8p7OkMjcM8oJ+A8YDiyAAWZVEcQlPzE4KwAo7zC5oaHGhCVIrAk97d
ypMZGsd3l3wCvLsER4buTY/uIbYvSGoFYwzojRtiAC/FBKkqp7vwTudoHN8B/QSABxRHhrAeB2V+
CBMM3GOZYwVs7SfHCmIhu3Ian8jgX1OuQmxsWxdP52gc4QH9BIQHFMeG8DpYV5tsnR9ECyNOYRcz
9gLI8gnV+mWgDrYxxGKnM/UCzntDTIF6j+jI0DY2wYdVDMH0fx5tFWLWRAXjqnet+s9e3BNiZrKq
QNxzEPh8F1PjaO8PMQHtfaIjQ9sMPhhxBib2P4825C4Y5pTg5yA350MBDoY25wi86NHI2LtYG8d8
f4gJmO8THRnmM0j5HMR7pidMQRDrRM822RBwiHgzjcA/aKCxp3M0jvOAfgLIA4ojQ3gebKLoADsa
fCosE8QxKOOhLYa4hphCBoJ7MifjwO6ST8B1l+DIYD2P8w9/RfYm2BzCFFNPZIKxoqnkSTnv5au0
E6wqEDRBT7bawG1+J3PjeI8NMgH1MbIjw35Rhj/i4KH453e1CmpYo+Ap7+9q9QTKCxQZMtVPS2LX
z3oPS+Nw740wAes9miMD+mYdfRAbKJ04hElGTzQCURGsPO/xoYaGqIkqYxlWw8Ddeh9X42iPjDEB
7xGqI0N8GbUHwlrGoK+hfOjX7t3R2Ug7ATuNUk0bpLCm8jOO8g71BHx3fn9kyELpU+Tmwbo8hL5m
J1SVweKiyguhEwTxsV5jswG+7+NqHOWRMSZgPUJ1ZIifbbJDGN7kRGGPuYwnT1ke5iXBs+rz1RAS
H+Qlp/IzjvIO9QR8d35/ZMhebLJ7qGbU//EST3aiyJRTjT4bWUO7G8snqoY4mN3qWD5yOl/jGA/o
J6A8oDgynM+gpvgQ4pqewOaEos5f7tXQ9IItTOE7SGgNt/BUhsbx3X2fCfDuEhwZuudr/wCBbQXE
LxQAMhmKBh4/I7kqjgiiGhvY1VP5Gcd2h3oCtDu/Pzpk83xzAN0L7rEK5X4ax0/QysMCT5DPFL5W
NTrYuOfrqRy9hO4O/SR8dyiODOGLdeYm8UFyzQxUrIoZ0Z5BHrGvOFWZhmGLP352IyHv4Wwc670R
JqC9R3N0eD9A1vkAFhc9gZwzhKrZc2XBEG3Y0TKF6k4VgZLeriy4WE/l6CWUd+gnYbxDcXQIZ+4B
RLbCTjhTCcD7nHrcM6nxCVEQCGw+cI37LTWJoZfw3SafBO82wZGh20fuLuDs1yGCW48CmzGoxX+S
x3uVBHCCCmtQzKsO0hTvYmoc5f0hJiC9T3RkaF/EUJX9zwtrqBlRuczBMaJPSO+lHuUTomKo8kRg
mO0I66kMjaO8+z4TEN4lODp0D1IxAClFOCrzO/SxVxDUn5HDmsbB7BqCO42fl7Ddop4E7dbvjw/Z
YpNt2n9+6yoUDi/D8WVFfi7u2/OcoEaXUJUqw3OuF3C4ZypPLyK8O8I0lHdpjgxpUEH9Wams7A6C
NZhcSJV/iekRkwvOWmiyvFeP/S6uxtEeebMJeI9QHRniq3VyCP8JpDaHSCaEKp9CInv7GowvCIjI
4E7vSu2p/IyjvEM9Ad+d3x8bsptqfZDWBKBwKWZwbP3ZN97DFrKKCEru985VrCZz9AK6u/RT8N2l
+H+A8Oss7rxy35vir1+7Z6STyHsbiTCwtFRKOXo61DaWQaSIYYYg6DES4dpuffJkZI/xNI7sNu3O
Oz694uuT8v+ua8hltoYSvQNoWAWqpaFYWqMvHGhD0FWEwKFF2mO77QhN52gcvwH9CIQ7fwXNcAYU
R4Zw78qfxuu0nBYqemfHH4hdQeRKxepzKHpEAGMOaUTOnyT0AOx3MjeO+NggOxiPNwMaIzsy7K+C
9f1BzjNqJ+Dl9vv7WT6PwA6VXNBkBD+J54E/PJ2vccQH9BPAHlAcHc4lNB47gBTnJ1yhDA7FPKvZ
vcClfAKpRIh3KYMzElfBVI5eQniHfhLCOxRHhvAnF8405u7DYVQ112SiKM/VWvvGFtT8wIlHKPUY
bON3MTWO8/4QE6DeJzoytG/W9xl0c4sOUlWtnRAGbYFUOKj6+Nnb030Mu/8HSvj6z57Kfg9v46iP
vN8E2Eeojgz3u/LHISIgfZ8YBAfdIDD9+Nmr94HmElDro0Fsc9cWn8rPOMo71BPw3fn9kSHbG5sC
qm3X2cNhegHB4RdoL4A05bmma2iRgb+FIcgFVtsuxO9nbBzsF8aZAPsLlEe4AAx3Yx8ivQxN/RB4
YdDYb3DQEUBHVNFgVTwnnvexn8zTy7DvDjER8V2iYwPbWeeHaPQG1X3Qqg8QVV6S5PgE4JY1rT8d
tx1VuZnM0Qs479JPAXmX4tgQfsoDBeuDlHyBwQ0nV6E896Uie3QC56AQxLUHbhfI0n7dTWXrBaxH
BpkC+AjZ8aH+YQYR03s3v49/bbCR0DIYWO9rnM3gUKssMwD1d7xk5/QbNHCECBsimjKivn9zNCUA
8CLkf7/Y72GmgT5CeISwn5du/uHyh5snh9DgBFKQmEKmClZB/wGfaxd/qNoG9xzav43g/07WXl4B
YwNNXANjpMe3CkC2inX24zBCX+23eF/l+XI/Eso1RUXQROzx80sAPXVbfxL972DvxXUw8pbTVsEI
4bGtAXeTHUTjQ68SKivQuuAp5jJ2bAO+hOWhjedRJvP1Auq79FPg3qU4Opxz323j8rcqfDGL/F5V
33cVU0CR41+3KYBA3xX1+ITCMWkCNf2DDe5O5+kllAcjTMJ5QHNsSMfBeqtc8h/DGfqJ9Q09tb6g
cFylQ0NIlcN23mteMZmjF1DepZ+C8S7F0SEcxeEhwqraiapwCrVlLxWMPsZlqApHcwY7OZ7K0UsI
79BPQniH4sgQvt0460MgDOEWuAeDQqOpF0wycMug1ye0n0FP5Q+DVMl0vsZxHtBPwHlAcWw4w/Ej
uKnqAEoZmkrBeXeIoT6b1ns5MQx5buglB/19d7fy7XSWXsB4MMAUkAckx4ZyCeGrQ+S5oaeBIvc7
9eWiQsz7uBoZWF63kzl6AeNd+ikQ71IcHcLQhTs8yI03UI+mQZ4LCs5esLpkCJBjhDS8h/F0nl5C
eTDCJJwHNP8XSL98Yd3vy/6MdbE2H68J3Lqz7vVvHycJ7jYckD5nJcaDpk/W9/Lhz49Qq6/0laNb
gdR+oJ2cxl9PN979Esi7ZBvIwPz58fHmQbXvVqPBiXgNmjVDwLzePH8FyRIGHSRlRcGygjB8FUEr
aQcuMoRlBMY5VL2o/SkRaM3/8UMel89fQdhdgXQ5nLCHIgno/fzrTa/ioLXj6Pe0PP/5Q1SGV7Eb
FTm8Vt8uJXn6Xc8vkQk0FYYaduhGSiH8Azeswff36099FxX4+f9ojZ3yUnPKS88tklMt4OpFFjVn
WhSkOimzLzQMjdQr/EUUs6DbOHGeStdl24o27VxdQ01wzZ0kEoXfXhe2ehrnYTxLg9wVqGsrwXwk
zd2gUoWaODPbr5xlnRaybieWKvI6tx2dV2k0C1kSlDetndxxp42FBEVhghWN6+kJztXTqpG6U5JE
jWPprda6p2XgGy22pEUhZT9tHnW6K8nWvEVxKRzk82VQ2tWXBMTtGXapf6EpUTJH7k1SKk5iamEr
zxKkuUaVSbLBKh4ZsdIpRhC4WGDKbZEhfuazrDBTG+mkwMWMNMlKI04lKiXmsyroGiFZRTPLnahe
ZHW+QnnO9SJK77LaPm9RbTpya+AcX8iqfVZ3hSMKLymFa7Wp8DRNr8u8NCNAWNiWVJjwMPunVcf0
e9t5lTVLSeqIUpY6XXNytOBZ+cnxlRvNk6NymVBHKq5dFKULkiZ6lDp0kZI2j25oIfNMOKXFKqEw
S50rqK48QSzy07fKetmHHeZl5PtGF0ZXrZevqJqcRoGzSmV8phXSLM7rUymkRtzZszyNhOx1OnGT
hzrCn9yC321fVLmzJu/jpM1c23m+XPT3H/9zG4fw7+PNlX//ZX836d9/mm/iPs6YD3/UC4/fv/r7
9st+s/6+CnMgAp4uOP21a97z5TuEB/jV8mvCYydcOhQhT8S/REjfrgzD7aUKaBUGpwNBc/wWIRCX
Z7BtQUJAkTNU2fwtQsgJQpB2h+OiXIMYgAob/5cIUU5UiuEiRWh2B/0rYdj3iBDwJXcFCIeuiXDs
VGXQDZfDZU+7AkRxkFQXbaiunPB7l6+a5ml9PN1jOiKiVATzNngCHJ9ScN+DAHM4ADsQUaWVq4VF
mnJVdsTEOPnZJuoqsLxPJCt+FhkyMi9zjVBVUgNJ0RIzvshSzyxZkggq0Xge18o8YtlCyuVbr3Rm
ap48SAFyBebnJckaPS/8WnROcIkqRPxzpSpS5dIO87gWjVsJGyZRJ04atjMlbrtc1DJZNk5u/ayJ
fKEooUONtnCZoapu8JDiwBJ+hwJTzbEmMtmWvnmBFBrcV+9LpwlnBWK2rvpOeoZ4HQsbaZcsYZIZ
aNk3ntmKCWfJHJGoan3lNTUSCo6LGcoUT7RZdFZl7ncf43NoT2xwHrbntV2liyCKF1FUdEZmpbcW
CeZK515ojq2Irou+S3JNBFKbn6EvXRYNj0Uedt2sVDXDToob5oVCkpOlkvLvviwtoqQ8LRI5Bg3Q
Xje+dup1TSTsLjNQ4Z+mjK0tVNWiYN7C5pJR+u66yK1Q5AzkPNEWge1dSh2QR7XhWPgu9+1TXrJF
mJJzNUqJkeHqIlA6g4aKmSXpgrYpE7HKv3huVyw6P7jKrNgXeeecFa58l6S40FvJO1Ul9bYIkC9w
p/hC6dQbV4li3ckbxyw1d9kGqSuIR4iwPDqXUzcXMfW/lyo3aznTAQtHgKasZo4dnTZdpnO1+qrG
il47ZEVzepcX3aXvqp+c0IpEaYVzplYXTp0t47Ze2o331alaW4S8XgRVfe7g4IaiOATBHnzFUf4F
WewrtcpZnNFTrSMzqcm+U7VIRFbwuaTkdzG8PG7DZi613YMfMLNljp5ZxFD85jypPU2UqZ0ItY1g
UC3HQmWWsCn7Drtg5rnenW1ZnmjywptJZQnLJv3Zxt5CKzxTVZLvZSbfSZJ8kzPQMb7lGVXDdZkE
PzrfuvZD1Amntc99L/PnyE58oUrs1um4nialo9uu7Qk5DH9wFLpCSpzK1DpGLrQmj05dl3aGlKDK
IPTG4+q3MsntmYSzRARJv3u8+kZG3plUJprAaZ0aJG0yISHyqdEkWy/bMjirbNkXDVVykwdJJbDq
Wmad05VdYGq6hH6RqWYbPLW0HxkvKtOBsqNYVAktYX9nlZXrYStZrfDcyl01mUvP04TKBoepEIqf
2HomgV7zgtgxVIdlIigl2Sw6NRdRYfmfYo3iQoSlfJZQIjSnxaJIs7OiaC4TNcmXUdmoAimRJxBO
8wXRNM+03fKcIrsSuZ9Ec9SRudV03OwajESpBokZF2mMRegGlyyQA18PpPy6q+CNLSu5J137JbOU
NfNBTyvownNQqHMkSUYbSOeWj2WBAkSET0mjF0Ec3sSklGCrMiv4WvrRp7rKah1jeqm6mgDJomee
aigMlUacRGcsZSAQETDN6uuoVGw9YYkAGXVqp9YiUFLTq8CC6orzwJPmDnEu5ED+6meVrpTyac2t
YB41/nfVs4jI3UKvNYueoUJuhKW67EdSS1jvuhSMOTWtw1sfhfWscpW5wmJXV7pU0x2t883OdbOL
TvNXCk4WPs+vUUpzPchz0YRlJLqaGCDylhhZpWkrNFsGbfWZSsltiEO9DEUZGHlWOmZbFyEHmVOe
1jKNv0dqIYH8lX6muSMbbZkFAh6nGllC1ctYCeDq7NZn1aLynGoeqWE7B9HvfLVSeAIug9soVFwD
/HF+WraZdxp49irihOoBGOXL0seOUGN2S9LYg//y1E6EOE+NVrWsGfHTW2q1t1pEum+dFbl6UMb5
jJQ2EqxuZkWrSfNErqJ53KaxHgChyCpSfsvcQJs1YKF2euDWDmglp1ioVQQQ18lM0cLMaMP4jlbJ
MqrdWcNas8zjS7llp37afpYdz6xc3xZx4nwuA3yrlSk/a9qmWsaSlxmxFbR6Unq1SGT5DhK1iqE0
avqtpAkykjjshO/AQmdumYBxqnzDDS9uLEyamVZKXPdKuTW3rJYR9QyeyJZy1nonBdqhg6nBoQAQ
7rMAj2nbf8BhCOVithetCt8zSNMtCa2v6yyfvf6Y3uMZeU7fpogpkL/aMwIK1oW+7USrMAgucoo/
g1S60sLwO4jLTNQtBwDaYFE1ySzQ/EWOnXOnwkLD0RlIqnNi5cLj/rVjlZ9oKpuKU+olL0RkW5u4
pJVoYQuonbaisr1+nfVRzuEICxwWVQkccoCM3fYMkbCMwWr2o1Ud2sJub2Uv1J34/PWH9K2YducH
KmshHYChaSLMESz03afkpZ+0oV9Wq8R2cvCf1KUSg2CQrRT0RlUR05Kqb1ISxNcRhzXI5WWt1aqI
2wQElSJfd144c6SuvC4dhd9EoJXKuFpJMgpgl9SgyrHXCRLbK1dyTxuLwJxj2Dc0rAPRctJ9IihY
+0Wgo8B2512dCitH1HQC1zf9QrmXMgweVFbqIJWoaKFBjR6nytxzMl+AKgLTxqHLtMMbV2XrBry/
ksiuaFhw0XbgyTDWSgsZ1d6F7CSh6JrSAbupcA2He8xArv3FKlF4m9YE9Aeyz0mYkFlOk2JBwRGr
YlBxKFFE6zHfTGR8SWQWGU3X2CDvg3NLXpfqrCRsCXLxTpOCEHY5WrSeehcomWNGSdSJhGZCAW+x
U8H0AEfUN5hdxkYjhYusCIkIUXNaytXad7Fz3wZkLtM0NFjgXOC4C4SSpzNXybkocfMppDRY8RIJ
RLvmLGX5xevLAa4TGVkPsCE1WA4aHEHvS3O3V52lSHEE3xUrhvBa4XlodEkVrKiU5gLk6Xc7J76I
ckdHtDE0N8gESNQLmJVOWI7PFtjOLwqpE3WHL0isfVPUyJnlIUlnZSmry5DgUtiuH4pKqzRTjtVw
gUGpGzVyU0PLJLBHQBDJYRzpLklv7NBtdOTkMWiDMhdFkoooSWc07O6zmK45NL7RKxQzPQvxZ4pb
sJ1b21AKZFCIOOgZkXyR1fSbp9FlbeEHyhpfJDWIAR4saNTcWtw7Z1Wmp7FyQ0kLKyQRZYtvSFVd
+J5zk7rkU8j4nLbFN833VQF2o2zStARbMK3MvKwrXSO5IxRPMmQLg+ag0lqCNaEnXLlDivQNOVVq
pEWnmA6TZ1UnQQCgiU2kZnNZ9pY8qkwcMwHayFB9iHFoWn3GMg+mpMpBzSd6GRS3Sp2suNYs87hd
K7V8nypQ78eoSVrgs4wMv/IvY6c5ZxGd1bFqOAxiIG7EdMzdaz+R/GWrdWactyYNLCNMwKCJqQ1+
CWzGSuLXEF356TLJEqyVdbX0ZkVR+jrNHQPbhY4QPae5MneVFFBCdmiqdqfXvYXql865hCzTR/XX
OC6ELblXxFGF7cQz7EtnIWhxp7YXGgruqiSfpbaI+FJVDYRAawZWPStAvUdZmBillHpG4Etzr9bO
Os8XjLuJqJFd67kMQrfDaOYhTZBau7I0tLCj4syu0/NII2D1FoF0GSR1smgDdqra9VmCPYhFxQyw
SVyk17K3cJL6QsrBSwio7imhGZcs0q36ihKT+TXYMauwmdF2FqsLiIN8TWRJaKF8QUmWmY2lnntO
nYvKsqyzEldMz+GSJp15VjSvq85IwG5YxG2RGy1li6wCK4TFRSOYVZmVlaE3VNsbO1Xp3d+tCBx2
eOvxxC9XFPR+lV+EUaM3VSis+tLPLhB4LK/Lht2IH2hs0BRbkmEY8cOOE4F3AZIhjjeIPVTNp4qf
R/a3Wl28/iDS65y/Y4tPT4IuzdAqFEEdgkp6zbj1ZnVeVKknV82qQ61tJm6T666Fb0lux0snlmDN
NdVZkriyiJGMLrRUI4J6sQTORCebNYyr50j6qcradRMpGgTeyi+SG1/GMrsJwHwDr0cvcnzT2Hlj
RIU9Cwv3e+SpXyUnSD7ZpV+ZxHGKeUjKM+LJAgwLs0VyrYOJN48KhX3lmN8kXWBAJOW0VIqlq+Cz
zm6XJOGXtW+fZaC2meSf+TiCzSQJydH0JkFfwyQz3cBa1gkSXtBooiDhupNboge1fZc2PPuKbasw
ca7Yb8zqbrxlf1Kh0H57Un2qRm5mac1Ka7473Y9WO30dtbfGHygOWQrARrb9duVqN4nHRap8fv0B
e/YQrL+tVdFnNLdfIKShL/vYblcEX7kqEjBNstPqrz+kn4X9pQftH8AkhWonOlh6DctrJ1fhLTjW
cXFf1CHYJJ/dhr2BRl//uvUgiJ9zAmF6ONsGwS8wTfu72rbfpvXcqLa7BK/AjLkHpWbcBjPLkMxK
uPpXEYmvS6pX5z8+ubrzpTHXgdn+gB2dL5Tl6y/c54+2GNnb1o+Mbm02Xrk84TaIkWJWGbIum81N
OQ+vnRk3uR5kMzSHeZ4hPROycExuJJWprqL717noM5V7XGyBS3rhs8VFYOWBhjOY92/NEptMFDN+
xcRlrgrHmH8l+jk1wjlfObNmEd2Qxa1l2PNmAXJPdPOYi9yA0JnBDem8XETz/NIRTiNs40ssypWs
t3Oy5Mv4DMLtn8PZzeusK28t/IEFLeHcDRLJhXUpYpHM8k0yS26RkeqeYRmO4ZqQpTiN51f352a5
JDo47N6pJ/ipt7J1UD4m9cWDpX95nSu8G/zc2+50oB1cN64yRoErZ8mFo3eLcG7dRrLw9TgWVFgi
01sRzLVVusDfIZBmvv788c369z4aSBsQNVKbJ22zkrvYZHV91kn+qirl+A2l1EuV1/brQOporqZU
VRe0K7CpRVXfy82ipj9axUzlAkJRs9ffahzq3281dCalEIQ/Sb1y5TAfPL9PiX393z1g4PMpjRZQ
GoID5ZMz7EEckDPj9Se8AQzrN+LWRpPCRItYCxstTlZ56M8S/K0rtTdQeWueBsItR0HuVcwrVk2P
ShfovPH0/+49BgusjLu8jPKwXdVVo7t0FfqN3oVXrz/kjdXFBlKJWrbUQnAOtEFDdZVHph8Ul4pS
6qzNda/Gq8p235i6UXygDyvrj8XKvE+/bOMDJ+gUK3GLcqWGPzNv5isOBPnmr7/WKDxbzxhsmsDm
uZQ6arMingrx++swfCOq8NYDBiKx88NG8eK0WskgtCEY7SvBG9P0qB9f2/iDdey4kPSxAljH4BuI
VLdPq4V/AS6CfprpjmlfliI8e33WlDdWA+3femvrIIj/oQI7oKO+QWA4Aql6YcOzRb1G592yEled
nsAXgpihjoR2LYlPhdlr9au79Eo5Ba/dEZ7ZFmIR6c78LfZGFTnUCvw2XYYrx81qGVmw6dBlr8gl
kc8DdRkhXfhz1fgaiVNZtGc/5R/gnGWf27Na1G9Ir/7+6Fel8QD3Ssqpk/IWbAmjMjqj7SAnLvhZ
YHziK3quzEvjDs8sEUHEdpbNk7mmS29I6LdYYAO9JzWlpEZ1Uqyks1g0BkQ2vQcyQwY7KzfNIjHD
czaX5tJP+07Rm7l/aRve5o11Mq56fwPBBuvEr5RQzSNYmtmsmaUCCbe36pa+flstm+XS7Y2WVRGK
r/IsNsJZMmdXpciM0oQaB+F8D96QlI+O2d5W+Xu7k8GUaBKH3FAEIiU11Tmd08BoZt2sO3fPkLi3
l9bM17VlsoCg3nmjs8+mBtZBZBZzf3bjGr2R8GwcPNfjXD09+6mcZDvFvp1xP4LU/XbyncA59a1V
slfys92c7+9ioSeq3+l6aIXQ3wsLZTsQtdJ6r/h3uh7OWPWtIuEqOkjLb6frVajGR31rZ7nvKAhX
voPQ+pWu79vvw4BwQlMDtQH3lr0nXY969+rvVdQ7LFAtDHfrUCgKUKBx2kCnQ/gqTtKybFZRrXCz
qi0ngdAfxEV1n9XVNZVIe+o1VeSbsuwXd0WsVp99NW9SkfMo/bo1e88LaKf+qBdmA26gKQRc9QSV
CGp/BHFXFqtRm/jcgbA1TiO0sv0uskTJYupACKQAh6Cq1fKOVWCXiyzUilRPIXdpC6uDVLMOPcKi
B14U8iWM4ZQGDgL0uSOShuYtJdYGtRJq3hJMuzrxcf5UaNQMN9yAvweXvQ52IeTFHMC2LVZKQ2zb
oE0XfK7goIUyK1gbE1G1DfIMl1ma6BhtXdH6sjIPq6yFQoUqLh6cJs8RlCslxMgLMO9FEToyRLgz
4tumDXG8K7/kp2HOndyAyn/+JYdCAT+oSWO6uUQv3MypwjcsiX0YoFuazAAICmtDwQNRB8F1u4bk
QL6CPCn/EtsagswzZMgSkUBS9KpuMoiTWCj49jr8u0YSxNgR60NDkLaAtQj/07O1pYmJ3NiQd7Wj
VaR1aIV8p1xFeaa7muV8ef1Juzr/6Ukc7mplcPEQ9KHRBussidS2SzMnXmmJrK7TOs6CuVVokAH2
E8eU0zLodEVutRjCiaQO31o0u6qkfzwslL5GR4GuoiAdBo+HQzouVByE7oqlPlmHXknWftDzQLow
N2kGvlwrA/TzOkhrLFI/Zpsi4Pmy5q16DhnzTNaV2ot93WNR+FnJEqwYjta2m0SqEgOKxEKmEx6r
GaSZaVe+z0p75J/1YgMyiliFvTowCGRakogQS7pAUBOxdrMih8SJ5BcRxNHbNrJPa8f1f9gaT86b
LnVmNFYbV8eoYj8hcQeVIK1jM12NvWrjZgoEHUnisLcCV2QPZAXKhBRoLsVBtvbRmN3lRDPNlTOn
UC48NU0srhkFd7p5UzQKnxVVWepZk8rXVdgSKBJ0HEg2IAgyQAkDGFgJ1v0gDT8lAQkh1AthvK+1
F8bLNi8KkUCN3Wea+5phpZEFmTHPc4VbKJCHtbwcMnuJlF+mEmQGbBtxT0iQMg51XDnhgtAi+IQ9
+8puI6WBigSWrgoo0SlwKCkGrTBMpNtikA1q2XVCrjXvPHCIdmfJpXrqUA1sUrupOIS9HTXUQba6
S0nL2hBynlpnoJpIRuc190meFjdQLQhR8jos2MzK03KpWhjfpg6q/bnFJCh46hzf+gF9HzIwZKJU
+l6GLDSSJMdLP46SJUp58OBCvQXseyX0b1xuNUxUqWqfZhbk7lqYhzlSMb+EcoDGVOssnSHUoMoM
IGNr6//L3pc22Wlr7f4iToGYP16GPXb37sndtr9QbbstIRACJITg178PTuzYjk9SqXtu3TpVb1JJ
2WXvhs2gtdYzycw0GXJDWFUK5aMVAozKKoe6IAmkPqDUkDnvXB4Buo3bt1a47EzGtH8IfR3up5Q7
BKSdWF+SSI6lci1fd6ZJoDOx1n0hqp0/K9r3Yb4S7U4gb4mhO6u5xMsxz+VCzZTsRlmxotW+gIyp
DzNgkaPEhRYG1Izi3Mnjao6B6IOszgLdVrmvnU7sx6gpaTAt7t3se0FRq9FtM44nSe98Padqb/3Y
XkXNurbV3QSaRYhsqdulGz+xihGyvlOzY2PBsnTEUi4/QubDtT9mk56m3gU/rjHbntJ6WPcmnXR1
FGMNWoSTVj64seMf+bKNpCD8oR9bBje1uF0iSYquqlAPddvMA0Cmmbr52GqvurDBjWJ5aJYYQoPF
tqkGt6N9PFFzJT0159DLObvIYby6GLw6Ec2HpE82yrNRYte19Zhm7YDiVZXW1FHuVPCGhwBE3C7I
JQRdIKrTaa52cxu3olQVuoJd2FEBSeoaYsXsSBNMuWCj04K5WKi6VbUjQMfQOvnsTCau3cKVRO/r
IJmSm9CpaHXq/FjHIc87q4Z1OSgYUUGxgraORVkpsw67dFRdvVvaSCwHVynRg31e2jqPbbi0+7Ee
aifHbSXPTi9Wr0CyYCMK/OeCOOKuo3DJu+6ZC5GKow8hUVs2TEf366R9f8cdSbwzAzwcd1nMCPiB
ajR994Bi7J84XUmzm3qcAZQ9LV1LSJwhkEr4AspJJAsebTCr/VhUnjedRj8M24JWPp2KuDO4nXUM
sVvWrdxfX9sG/r0iwQmIwl8EG46eWwcHWsdNlJOmGfyilnVVrFPVhJkzj316y6uZB7lfD6DbRc9X
5+xWbbDz+opCEc3SuC+9ha0gUGpvpmWTBgxiEPy9zEvrtMPjQ/0ht3MN7hb6aef9iP20Fyer8R6R
G2/t6rXOEhM4/uPSzgSsU58usujSQV+HU4eSRFXc4AOp8HG1qpp53TuIGTt2GhbRQu48hysmDk31
Y8BJ+BLaSlRZ4uHh3U2djf1SRWuNk588Lgqw/Y3Kk7kqaxDD79p5RmfBKTcPCkKRD/3I/IOJZ1qV
SRO6JOuSCj8nbCW3u2403g14XD+4Uzr0Hj3t4G/MkaOSXHtLbEtDBK8PoyVkPnYxVeRSO3H61LnD
9nByPqh93Cqmbu0S6CR3B3A6GZs7nBgYVDwGqGDpk5+4eLoFVskRnGhq5VGrtCK3fJya5p4kXRoc
bcDn6VpbvTWfbLG3YeNEtpSzwKGlXFeTWSL0unebePvy26nPWJ9wXr3wboKww7eYhhCXijWyWfO0
MXh1+pY29V03xnjlxwldAcWfYU0lumOXwQug9wTpyVzc7nm007VwGKCJ2p0Gu7ObVLhczEC2RQMv
U45vhAXEpt7WJ+tOPFXET0+JqaEdSxg0TbldaPQydz5Ow458ufe1ddWZos3lZwjKGv6QoFrsVed6
N0NKh3fQD0dDxgJWk5NMaDqdKyapKZYxHiD6ixd/30Pt1+RuPCwfm7YJb+2kXHkY3MU0z3MkqDqI
yhGflzXd1pB6aEFFR4gMK2uyMLXrI5E+Q7svdmLu6ZDFAZa5ZZzZfS21Oqei4WERkpFA3deGAcoR
I+nTyB1Dy5Z0eE1WKJ3ARHfSG14FFuTlBLcD3o15W7FLHjq4otaspkSRmaG5HScS5VXaaoNK6xsX
rffA34+pSR+dBW36aU2hKv6kVbcoqDq82BzrmeBHWeGxNQ9mGtFjj9sy506TRrtVGqOv7RK3D9xA
CJbE6hAIa8LDOke4OY3rqXXft42U111kgytHu4Es2dAJc6bL3LNNeSDYIzoR9clNOywjWDqVgZgL
FoksnU0yoAosw0NLB69+68nVTwA+oANb3vTad1L8MFWN0CU4UNo6VT9/YNR1DKRuKmqOdep6d1Y5
1bofJ6j5ynqd8JDWRHP/1jbtGt6IqG/bbOiNG10HHjDFfEF3o8qZ9bhrc9LVsESsMXShiVJt6Vnf
joVpSTLu12TA098ElsbFUi2uyqteRcPzHC7eI/Q9eNZQ6dInPOtC3XZp52GBJX3KdwmE01BYT+9I
Ms2JlzWNid+EpBvmAjoeHVwHVZuY+6FS6YjijicaJDJkhzsMDou9qn3dyKt47Jl/S6zbRsfKyhTf
y1qHXjej08+FUBXWDHRjk75u2wrnP6YNbA0saVgxW9c9LkOA936Johgqx4rFvylx/tMYyXUNnYuS
n/XP/oYfwJb/PhOEi0noWxTVn+CU/9P2dQdY7g8oZfNdhe72qW9wCqJJAuLDBr1ttAGj1HdwCnae
jIGxhOFvoAmmkq8GqgTB0fgHscJQ6QLrAML5FU5JsLU0VHKbXDHFhnfwTHy1gvyAeME69isA409D
B6I0oLbDCcK3GWB43rDU72ZYOsYz537SXhxveEdrjVVxaj94S3hsPdFlPFpziFvLGNIW18S71adX
6TLczAnUgNUshqOoB0hgqZOP8UR2NHR3LjRMc21ImcRyyg1drlxdFZEj0V54+qlOSJ+3XnvFwqHN
jTMe2ka9iAhitskLPkG7pPLeETSnoT3bxHxqJm/IkwZuJNf3y2gxEBgv3Vq6k9MWowhtgRdQ5/GU
TnmwuFGuZbfsOrnckiWEXp2258mGUM9R/dbHOFVgZfwk3eiESbsvBtv1GTWqyQTcBiHD9NnF6e2a
es+mWimsTnWDccuZszbW+G3E63ylPTTTgkKmVB19qndLLKts2JTGZLZPK6PXOu7OfdWfGb4TZIr1
CHkuuZ/rpjAUuqWmI9eVRx6rpQXhDbtnBjEssBRlMK41TpIFgX8Q/lLnVdI/J+Ho5JG70InmoRlq
+qAJ79+jIXha1mA+Q2p/6X0NpN2DnpEP43tLsep3zV70c5QFUyizYIYxbfIrkrEquWaUPPmD8rOp
ni+QW0Zl00xrQcKVlmuKgkvHFPi0nO59h30K20ru0XzkHlqKMwRv2r6g79oFffSiFl/uIdzft5Oi
5djPQj6lHusewFj1zWtN10+zZfer78IjNvVQmDUjS5KX0eM3FZ7vo6s792A1kRcyVuklEJU6LWkF
ogt6rDmODnpcIOxnLjQIQbrc+HzFWldLMe8xtj3PMGnEtWDXvpWvWMrJwZV0k9NGCVt/AxL+06vh
f98650d/tc5tEbPfUvL+vNxtH/663G2RDmhP4ApFSjbYw+/RYx8Zu3EC9YyPFe0LRPx1uYNfFJtM
AUn941Nfl7v4X3jwsbmUC4m2h91Oon+y3P0J/MThgwDb0CGoAJ4yFyf+/WIXtq6b8GpcL6t+HhJA
tav+G6hp+wl/AMJbuhQSqBJ3c6NuqCC8aT8cYe2rqEfL712UdeCdwihQZyr8ZMzhuxvwi4X7x2/y
5+P8BINLx+uHsQ69S9ib3Buv5vjTXx+A/Ahu/vkIP4Gb1Bs6AjG1dyEbhhK8idPP0lny1LmkE3pR
4ubKvOunw1Tfaix+Xv3K4ZClt0Te6e6Bzj3MKecopGUCKxLF9MAfZsEKm4q/uRTeVqL+6ppvuNp3
Jcyv4WOdx+1a+GW1CrSBz5Opc+jHL3NVZ1XVZPXyOXYATOKXSVT/DbMV/wjc/Xap4IlHBBlufwhL
xo8n0CWQchs3Xi6L4VB4eunYXjVoCmD66gHl5ekXzys8s6fRqiyc5nuvxbI8dxKY0+aQHTevLOkh
v95pujlb9DTuW/GWCP80Vy6WaeJw7431Bd/7TQqbVZVA/M95OcIs0k9LRgzGLr0URi97tl5MVJeC
ovAMTjZF6JtteivIbbXyXTW9VVWbUfWoaHLt6zYbm6gwHU5glkcAAnkMuffC+6IJH8G1DEXk0wzo
My6il0/edBW7aKmhbx3eKhjvFsfPhrnDSB3ccX7Nrdibjsg3ImyBwgFTlOmjDqIi4GHGDYp8WNOg
COohKdxEBKVs2ncaYkoh1jFLYXQoGhr8jRDgiwj1j0cErMePL/7PrNFcp4prq9aLu/cP1XG90s/+
PjmOFyibr/QBCu0yKdIcBkkQ9ycBQtS+c47NTu/dPSiLHf8bgfuPhMWfX66foN6gBZAqtkdWNkcY
BVHCRlD4u8H9m+XoV0/m98vRTwteUou1ZQzHcbqsfbSfBprXaJJIEVV/8xL8ZHP980vwE0eQ4pUd
/bQmF+bn/LaxxWTzEVieKnma08v8d1/tVyugB7wcsX8pcsDSn1ZA6DBtHLc+ucwcaof1g3Fu/3oF
/NUC+P0Bfrp2blcDEqOEXJQpJrgNZidXUO3/3x3kp1U2tWm0LmjRL6k5r8NJR48kev/Xh/hVSfr+
e/y0PC6o1SO6ZHLZTAq2nTM3uk/5TQpp4pcD/ae7o387K24H+p6o//3A29j1/9kL7+Jh/osxULx8
kuOf+6LtU9/6oi+zHrauTgKYzUO0MX+w6thkEf74CJPYTzEayb+wFbKL0J0tOem3julrW4R4PA8b
h4EQhHseoafxP2mLUJx/KKFf1kfsFQg2Ey6vOMHegT9WMNmHaxMulbq4rf/YSPVAVHiGfOSusfA2
zSZgJ+qCmfGCA18WXoimqXaVieZc26nK3AGGmHiZYetcnHs3WNec9bGXwZkRwQXt3Wl3ACOb4md1
sWRly3vvmNKRZD1rH8YYltW1k0nmSXvtDFBnio73+Qwfau7YsCqAuPOyNQQtlZ6HG7cTj9iLOLyO
zdpdcfLFREIG5FBgAiFtvA8UIjASI+c8YgzFa+weWZcgHwO6w8wd1XGAvQollJaqAaAbB+IVtN8T
KBMna0l4kL7z4KwNxN2Dul43dHQN6QdIIng2wFOej3KGVeTIvSuP+p8Mexn9XKf0IGVFi9lM6DTW
ieOKNG3RtbYpyKr6sl/4y7xiCrZ6/DTp+eTpfs5SF18I5uCjGpPbxYEBdulKZ72atHeyQfI+5NFR
ulDIpUsIr3AcXo10vK2FtVlgEogfrHdpIphLqTuVXgJ7AJwBsChRqo7xGLgZiJB7QufgLnXYR0u6
O9UlwEFbv81rj3k7shmAVWy8HbytU9lXEnKxBsafqoF5f3STK1Kz4zLVQRaOrOBJd28bhYlsnbxy
8MHcJgqBKlEKSi0CjlrSQZsHql0/r7z0mTqSZ7Lu94PLT6qJH4N0ffEc2u3F0mQaUyE3LC0kYXBE
gUrJ4GU+zK4heaSHk+/hu6zjsE/R++RN5XXubR+gwUyqAQdG1ewbeVmD8WMNm9+RoArgAX9JZS2z
kcMlzxrv7TiY6xFUUOEkAbQNs/9q5+nVxMuyU9r2MJQl1QHszAeBVzSTOJW8QerKrp6nhxBOsrNI
3JPh/F2/plilPeSJSIZYBudqWJY+U6jA6NsqL5NNNWejUjear3h9zCOj1YeBxcmh88GHcUc8VCuk
lJZMz4MfH5tBw5EUyhNSTVqgBJHYJao7RjR8MzKXnYzuoqzh6wN+5nw1mNAAHpey1DQa8y9UiBnB
aXnpdvOsv+RuVEWFVwXPSvIxNyuM5Up13UkRVGPrxDEM9PWQtarV+WqVfEvdih46xsZbHoVpNiOE
wnaLB7+teErIyjOqIXY33MsUkTVuUN+VVcsnIOFNjbddk6OqJcskjxhiEaajuybucUjYMfZgz45w
LtkQ+UuGZVHDxASKjesVfWl3CPRw4E5UcIkpjHOYYfrW8fCmBToHU2LhsmRxkVJV6MAD14VfOEF4
y2maSWXeeJafw3E6SR+62GB8MLGZslWJPXPQ5XeiWrOu8W6Mnd7UMkT7s7BbEUx3DZ2fksZeI0EC
jTAA+QZKnUxI/gQ2+xRY97Ao9aiTyM2GCUp1V0o/S1t71aihjN1R7sSSqIyM9roa/bumW9oSKRdl
TPoTmeAXX9T0OQir9zX1LpAM3EDhcDvwGBCWUR8qJIFkU7O+bRm6+mBIkhJ0znslYsC8S4WMHdI/
ShacrdPL0rR4aiBpWZonf+LhoQ6izt+jGyIlkyBjw1oW/09q+H8fwrH5lv99CQelql9/UcHxoW8V
HGUaqVVQQrk+QWTB9xUc6retcMIZFPuQH6HD+h3Z2CIwYa6BpOO3Mr35y7+WcGy+DJEH1HIhLDge
NNb/qIRDRvf9FLyVcHQIEVR2SGJEgNt2ft9Pwaa3Ctw284E8BC5ebnOclwCRMtz3gYUNO+nD8jrq
5TlG+EihaPBx9JMrjWerCDf6isNYuNcjEktm6Wad21073B2zZO2nwiqDvIpIFUE6Sjg3pg9L2r1j
NS3Bqd43Ad93iz4Rn9wPPWo8H5YpS3uiEENFrjoBdpg68RvVpMgaSAUSUubqzSr5cwjWHOvtavPI
iktI/Ys3R2U6yFPcDscmXP3jCstijrSDJDfM7qGwK0nSf0Ya1/000/AEA/weqU0fknrJUrU+WeR3
ZQ0RBKkzTZNFgegKv69y1wKKjnv2NHvTe/j2gpw17EAm2WW9QtSGYJA6aKy3ed37N40YTm0T+Nk8
jp8Hw7zMOhIrZptcajGiM6HDhYemP1mhwQbVqPqxwBzXsJHmqUurGxVJF+buaY2yIVg/J8TAdxLE
H9caF7evBLsj4JoypsZXpt30msv2GKaAKCrSY4LvVHJRtRVlHM+4axODVppqmkPRPoN/xrCOJTna
19s8HSG54RDYmN651Pf2a89pNtC6RROFwR3KEpnVwqelu7T84Pu2LZ26JrCub5qxFQqoyIKhxDIH
orPyCs8uwHIDVe8Ct692wey35Sg02WsJp2rn8yukdp1XzS9N5x31QteiFslnQAtRxmMM9I6qfcRd
LLxEnMyybybali5nyP8IvAUxYUO61zwCkg47/T4l4AkFHSECA8N+D7w32U99yEpsjsoPrltVhTGt
nynfd+5a7ACRiRXfdLBRlNWRG+0S6uicL3OSLZL2pQPeHkRcU59ClMw9JexxIeoWpu+uZE6yZFL3
H+SW7VEzhKgsQxqc+hRLMfU2reO6XaKadO9nFfI3HUQKmWJpd1gmCDuJpTJrqw5AE5KJMtavFci6
GNd4dKZDMgOVZnOAJjie6k+NqGNEj8VVaaiA9x+JN1PYllXVocqCrkQITwdDfuCLDE3JlDkwGyMa
RLR5ZHh0t3r2jluEPcyiKRXhHiI8SHsDmZM+gAn/rDHxas+wne69KWvTdryuwWrmvo2KdhyiY7TM
1VXkxGYP/C24J870VKdSwxyuJ1vtGbEeFOFT/3HGWcWwRUEXwNtMJWzYw0X2iFgsb2cZjXLXpKdO
IOFmnhcvS82EcDq1ZD2EcVD10LLuOufkBO6h9v03BuU9Ryzeoxj4Kebd7Ryr3HHiaxW+r2JynmRk
3qItfp0jfWUDx8k6EAFFMk/z1QRJyyFNNc/qEZwLbdwrgqOxnp2NCT4PUIDk3gqXPwwGmUnjpzWB
gK/mK/yrSnxSMVR9EP0cJV/uIJRGNlYNxRkzftGJRO6b2oPKwbCwsIu0manRDY34650CHxUrP9wt
C26hN4jL5NCH1lbvXTm96wMsD4nbmyJuxnM9ey+2iSIMDoirMUrSnTd5iOYDCNYEY2k4fCbx6gn0
WOZaJfPzhKz6InaC29TGSSZF3B2TMMTf1C5HJ9CavNfyPHH3ALK4y01Q7bgrh0udaiQFQRAEl35a
aDu+qgoevdDUBfRa0Tuk4YmwlJ297oj+KIMY+T/hW3DE4bEWsPWO6wco26DfkvaAL93uGIHmDBlK
RRvFN4xjlUnhVSYI6GlSBzFF0js4Q3RYkH3ESQ0VYL2F8ogrpMOgk6/bDzpJD3Hn3yDvYu8Ew55C
t4V7CkzBw+/DF5bUda7q6bOq41sIQTWCK5ajRoZMOcVt7gTNHbQ2DmrBFqOxnJlu7wTyt7yaPbYQ
D7OoO8RT2xWTqB9b5PlA6DBmXaXiTCzrAVb7q7rNE1dZaLlJjin3tZq6JUMdc5a9SohKMBc1bU6j
7t6t4ZX/397IdTe+GvDjv++NYBp4we65L+oX/RE++K0/AsKx5Xwj2NN38T/0J998A9jmGMl3vzM4
4cYxf2V+sJvqto+qC2EudMU/EN3Y4X5rZUAZQba7xYj+o/7oJ9sU+qPE35owHMkFN5P+bJrsaIJC
YhKEFbktPfToGxgFzzr683mKzYI4S6Ku7ETk3ndXNNl2uoUXHyWyEx/GgMhCOeqAISIsUx/RTXSO
/IwHbMhRnOHucWZSMJ0ga2HYksZmK24Hmj6zECltZvTh8nHXM9RhV2MYHBKZouQ6bD8s/XOVUJkj
jOp6HRdQpLIxByRtnKjgyEALwtMKFBcESnwdkeANDRHBqevkLp3jpujGGtDK+ELCoIMIhz4ZESKp
AmJtyBNjkzdmvY66+NlWULF5vv82beVzhNSCtPFAGbWPTiiudTL3OQRLb7qxwmLjQXhaIfljDe67
ju886rwjCD+hA90BxUGkwdhf9bF8S5LoxmeCZyy0e2MxYeGheNEtZqPOtixzYl0idI1lyFhtC3+0
iM2phqVMkm4qjTELtMfiMs4WqjnqHyQjyMuZp5u5xRxH19nbh43e8WgA2oAUsLDxutwh661fRR+J
7h+badlBdSMyn3a3Noh2CxPHGiK2rIrVbTTFb9hQIbYhWN5GNYj5eg77Al08Is66Wu78elFFR2K0
vOvdaLt457H2ZL32la0CIiiNHBc2wm/ekiqPZHrhJiaIbYwPNqEPw03AjhEgHgiez9HCeY7dZ3Z1
bMCzDxAo6ZWX2tdmP07JWxah25lAp2WtrPdQVXRZI+THJo5kwTW4bTJ4SH2C/MhFQ62XQw0eCXwI
/zCO/ivSkl7RkdMDHYKbTbplDbJLFteIki9t8OSHDVSqwJChRQDp1Q0nEUbHNvSgh2S7MaHAByCV
LRdrkSVAo2WffGHhu3DS5Wycu7qfP6VrM485Iot47gJsWQdkzsWAXwJnIPkAQCaNtiGfILwPsTwJ
kiKTA9kwHDnaF4g4H2tXFkaJ0kVwDPQNqB6AfqRv/JxtaBBav6GsU2rLJgZbhUE3RikHfqRbzAt+
2N6nBmYUUvkZrAbHLo2uKqO8TGw4FOIY8V7E7VQmwA13/oZXRXjTd86GYblQg50XwFoV4C1/w7k0
AK9kQ74248GxV/guTM9Qu62ALQIALdRdL1LiTeEbioZE3dsKsBoTrlv0G9IWAXJru+i9BgSn5F0d
BEhABDqXJKI62kje2AowugGClxL5KVAtICRgeyIQPfJbVFM41mmKfoMA53ADPgfEOrHV2QOh4et7
smGG4xXnSNGZy1oOSz5UeAyMqF6WDWwky3BdbfBjBxzS9sGh85iDXpU9ObR5bSa8MgTcYQl9+E6l
kOBssGYKrgSStvYREv/P6YZ9Uovnzt/gUNnRMoCzAVZ0YC2GDt2VQ2x47QFIdWox3FgDySxE7byM
07VCshSQ16mqZE5HoLFsNtdmbBKghEBq27R+YCOe5jCg3nFsOUNWEu44hLSwoyzrnaz6CPHJPnpn
YWBGBSTsD+OEDh8vFluHKnM25BgZvtXOLJoXctDBgeF+bThzA905dCrDHRJRzy2gaLdykQgKpMMj
5lRt2Ie/rha0uhxHfumtN75t0lDNZaS6iOdq4udpMgj91XBAEoB4VYcI6Fq9S1LKfmcW/9Ocx38h
XgK+7S96AuSuq5dfNAT41LeGwPsXknqg20DQTYxBBqjIt4YAW7uAMdzCvcLgSwj4t4Yg/Rc0P/gj
KJUh+kDx/wMwgSgOOjU4z6H33PiQ9J80BGTT0H0nG/gCmLheEngInts2Ekq2P/9ONmDnikIEXQWX
Zu3j5bhGUvgfDPN1dYHA1hcCAIhDDkm19a4Te1gCEOrIr+lRNiYEX1ZRncHv1JQI4gsKFQr34M5I
EUysD8TCyBdvWREcGtYviKCEBdiHIW5U0bkVFPrmit/yAarSLWanFwgYMQmUrcmyYo5KgbRA9FbB
/NEY8I4CUaKjbgsW6fPU9WnmxfWz8aI7pMfCRyvGXCJAyKz7eoB+z7gC+Rpc3q1AOmUkj1gAw6xu
JUT7GsGeKbS2mLDWl5SPdxHSBA8TpjtAnOSWuLq9noJV7iBn7wo42yWcJMNnv6IvE4fGTjhxqZdX
FO2wgJumNI5Pi1Z015YEz31HAYajmzjAdyxydFZ93vSIAvYlGq01ScfcM/aMZF9eknF9nZJqh5S+
LUV478WQ5vdyrxCuOsLwgonXYLrsm3w0/qtGu9/MQHRTd4vOveowDqwhbDATrRAWHuvcYGRIttmh
bfsDkhZLK/lji+FC6+6uH90zw9AB/SxU2KG4M7il0zaXuLYeu712vGSXRP3JC8UHhMqBGImrK8y9
V/BEIDkJMz/ycH0y3nkWmMh7PraUlMqXtLtzVr30e+FhDkE6rPsW4eeIJ45M8xGJ0BigxxlC5elj
qtguJilFthf+uJ7mV5REhDcom2bC2INe2E3QVUmJznHZDZp9nh0MPzxZ3kUuBBSrvUO483s4506u
XN/VBqR6FCq/jGnwqSYWkaN0ed+yAVoX3cOr5qMhNPBJhS5Q9nC8g2D8EI8Jkmni4XGp8bWQWA/K
jCaXyipE4bMVqHVYTExjyGyitNTR4h7W+LPHZQD7g34yGtp30UM9gJCcm4am/j5EmuIIXTZCpZCK
DJdo7kj2kTYD8kOnZd0lM3g8vtA9cdS7epYHidcm75LOZvCiAENQK8gMCDA96LztHFSgdJzbpXLe
jto9RRBSYRblb8KKQUfkkRhkFqgEWOOg3D60cRODJJKnDqt/xuCzmbYILhY1nxXTl14EL0YBBGlB
YzQLvwG5c+59ZjK0c+cOpqCM+L7JOTiAkdUIRdBm3g8Wgm8N3RPStbH1WZO8W2NZijY8ugpm/cbv
H1YnQnvLEtjhSPgmdtiDBTPppvNbpFnUx56lx9UO54om/bmS6m0EvAU20gcnio7MTy4OImaZG732
wXojxHhoJJ7NNVoQ3eZ1UwFP3b0xwCtgQ6BTvR85S8vGpl2Gtyd6r4w6MsKn+yoxWxp0uwMmeI60
av533P1dng2lx1+Vtk5/2aMSW5D/osDhs98VuHDbTxTCRATIQvb4Q4FDnn34lZ3fYP8/Jl5vIxAQ
O4+Nz2BN/a7AYRtjqMiwEX30G+H/zwrcxnD8VOA2pzAmXRi68e82kX9f4FIRrwh1DM2lNcj0rPJx
kO6ptV5w6gC+85xH4s3CKQYH61wlHdpHHgrUGx4VrHNQ4TR/tFSfm8Q+GNdeLRX4755FyACdE/hW
6hV2QP00I/0mFv4xrCN0m5XMhk2NbO3/sHce241baRd9lf8FrhcuMqYkCCZRonKYYCki54yn/zfK
LrvK7XYvzz3ogduWSDHc+4Vz9uHr25nrEYl4NFMuZ8xcuXId2jNn3NIRfwHehdn8LaIhSuACQ6/b
1ImouCqgmcaxzcnLyIqj83kyWY01qT5tmIplrlKXd7rJchOonUprGKy1cgawNbQrPaj6dZ37j6kj
XbjcLOubxjWi4c3sklXswzQ1pPXOQi5ao5J7MrEerTDM77XR5vxgaIvB7skM9K1tlTNQRs0LOZNW
WgMh1OwNty/sXTMSKzLpPZq4fnybCv8tA8KtFGHF0dk+R4oTrTM92SbJuGdUnHtyHGq37hmz2UH5
EaAidEeZP5WFQfezTCj9rv00fXW+bJLpNSoNyI5GhMPXULMVQ9iNyG15o7KpcHX8oTBJObQKLo/t
MCRHaVQ91S1jBqZ9devhU17PuhVRl1uFl06ask6xi27skCI7cGZ04NDeT5Nij27Coe3Z7OddP0Xe
2aI1WdVNErIkwMM6KSDOc6WJjjR4YLqcob1VjX5+QJsRuoWyRAU0qXJic403YEiS56Jmi8po1Xyi
HcxumlpW59BUo70t6/GicnyalCktDviyaqbeuh5f+ENeLrbE8aKr51RdzZniv412JGx8NKLa56py
nRSO3IThUN4rEy/81gfG8CJiJ/jSbRrDbIkhIceh2yQkk0wZYpBmCSvpl9iSpsbwR45Jywk7gtOt
yDdpyDnBm+msRdVd1ksEir+EoVjgHmk+CEixlqgUncwUfQlPqTIF6/oSpyKdI37WYJUsUSv5Erpi
LvErs55It1giWawlnKX4ltOiRrfWr8EtRLgUS5gLy5D+wcEVuzepsFfhEvoibOJfGnJgxiUQBtOk
uwC4f3WX/9un6H87u7wNyTH6i2N8+akfjnGNFS2IA5VZJCveH45x7ReQ/TQI/BuQRj8uduUv9A7w
UWwT/RyVA7/wt8UuO18UXswsIUOQTkqT80/6FOM/tau6Dq8DaZZpMA8F3PHzMU7yuaKVaZWeldQi
CEeHPyz14aG3zGDbVuIKf2WNyCo6JSmiiXqydxVBRGQfyMbtR/uz6KITRNU7PcnTdS7R3U6aQ6Ee
IMOwtR1fH89scbyPcjdgdM0ydkH0HPiS5XNjtGsTEPxKI6ECiMpraMWnqe0+Lbr+wdE2NBSwr2V5
qkb9HW7MNpiciMMS1AODhW4Xl/WudpxjEwebQjW8WY03YlH5SKO/MJEJA225HFRw5lOtR0iX1dcU
2TwpdE9QRQzP8n1spkSXbGvI3Gt6RmD3ZnMwRlIwbPw1rSp2jhZjkY5v/b4t16OmQcwux+tc6gHt
SOnh4lR2GU/uqFkqiQD2wIA2R1IiMuvK0dIP9E3ldlLReEZBoq3E5N/VafGVlt3oKvnAjqqJTzgE
aYYCNdnkfZku+jaU0mMxofKyN4mYDqHR5m4wpPctbp1DVrHHsIvrsOZSyG3nIAlVWFlGe3LyBWrQ
bdV2vI6wOG+6WTASw86CduZLCja8gnHWGJKhodvOcxzLGyCGAvU6gOku1bL1ZGp3cxY9J3nlDmmm
rSI7sZicRRc4zY5xpXw1zWzuiD3RXTXqpk3YcGRJX7smpOsxjHn+wcQyaQ6KeW0yYOpMZGklJl/A
B91nESd78MTuENQrfZmdTq1kD8iOK1K4LSefWrTIwyd/ym7GGrNlYROhNWvdNgggElY5m6sWqro7
sKRm1dM6rswSfZsVHXM3+9GQPu97060SCZdHycpn2UUXbRxdYLSEDxFIew14InJ1FZ63g9WZxlND
JNSWW18rLvPQuQCIbe0Jq8Bb0ESXSlw8V3EVEd0F07uLandkIm4OPFGQyLBN035XSeWsqnjLjCHb
JdI/1kG3b/LyvhP9tmjyU1gUnm7SkNkZFrSg6Z2Nbg71ykzJb7CV/mmuos8GYZqIx+0QlZMb51W6
ys0lAIG/arLOBVsv1mn9rZ2kjMsPFYSt/uQLcACKQwBLfiWN/Kz2pFsY85XoTIfbsN+q8B5WXcfY
oAgxYc2o+cwYQ6vIIobPIsRb5pi85PxS0MflmiCQDOx1B41U6b/CBIXhmGmEaZTLVzVp3kZquKGw
vyx2yEQvVPHa7xxnK3NjH0oyXGZfz2rmjBqG2JxyTIgx2Bij5q/hVA+eI+ABAWlZBWPYHgo/ib2s
1z86o6UwC5MPBrtPKBzfZ8yDwLzhzQfacJ66pdmLzH49tWYLpFBl/IspX62PePDaI2cPq0W7tNia
V4xF86zdG3kWm57WkWhy3ytc3ttQr+W206eS7xJQJRj6Y03p0gWj3Ni50MdV1auavdPx7DOW1bDz
XwLAmLpbR8lkezs4tdAw/HWAVg1ywZ7qWVf7q6Qtd0XQynXJ1HxT6InuRZGBUkJBjVgHN41PK9hC
uND1vPNqUY9bW5hHwxojF1GvTsqH+V4VRbNKWizlWaw/MT0iQaRnVi+V2TxoBR/mJLexmOgMnyej
eCEl7jWMa9VtbZwSWH+/QLqQXhIiAgEPp64UpQcM35LhNCFJm8rGHSOcxYDST3peXwu/Q3tYvPTR
8DULYn5GxsQNQ4hVUBrputHGQwjtWRmyFVbG1ygpbswICWKrLgoK/FmrtiXXRsVp1zgXIp6e01D9
mpFWcPwTqNZnwAYil3A6dRpjV2ct7Qf1TTJy9GC4W42jO6bHFFexkqSIT8fiFVowTSwTrlEAo6yi
mb2Pml2aVkIckuEgMxHiWuXGdAfLQBqC6x+w9NGBs7DmVSjZIJPJ1hRKu9X0nrOdeRp8dWvD9ovv
ki/uWqLdjOBRrRtG0mS7uKFYpmqJM/Dg1IxO4uw07JlonFLb1QZmOoM9FlfZWA6sz4aLkuXNyrZ7
4iqkdRUN+alLrQzwtX+FOZ2hdENf3b6azjBt0OXcTqmoNnOGTMV3uECMuLv3u65xuyF/LChVY5Hw
HLv5qasc0rc6kzFgSxFtKCqu16L9bBznngPaU0p8P1nYrpjw7yBP3ld9hJjCGjHBIooctDOC3RvH
KN4iLjqmeMqlrrRHYjf8dZ/r/taf5bKFqfeBYD82tUOwUg2HFVuS7B1jAiEe5OvYVqttQ0ezjvSG
tKfuTCXiIQJg+yd3ZVKFsL7RsU6dzrpFYXjIGLQivssHORjwb60+hiiTEDojhNyaamjvW17QNYOv
K6VE2Wtb7aHLkadUpnOwmvGedC5lQ1DTKeHI8kQ0B1vkIceUPQ1NFwqYmm/aMZDq2ZQU3KJBDt7m
SrafVbQ7gOrlatIqnxJaA7kfncMufhDYND3ampzwIZ8Dzhh2MxbZFYvcs1rDsbelBhalGN9ZdTxq
RnXV5OindO19ZPVTNuZTkQRPaH5Mt9WivZ+VTwqtmYYUdLDVIzkIKAQmyA7pAukZXoMs3XaW+ukk
84GxCgobq1o5rXKb68shLgyPsz5c/ysZ+CYZWIyd/32Gcnqto/w/hyfLD/1edZMeqgPVt2ybMQkJ
4T9X3ZzgTEEAYakoI38cnqDqWKybtoJ2ErvE71U3maM21CyCazXDXJJq/pEvHvHBfwxPmJosFB59
eRb8wp+rbpachmkKFoXE4z1UGnrpFFLYkvqBpnJGp12ZW4ni3JjEuh+dh6wgWE3pqBEzx7yLbf2k
Fe0+w6JX9TamNsvKcmcTLR1suvSyBU1tIDARtBxgDi6BWLyBUmKFlkutD4+kNWQjCXSKT/1BUB2R
aVj6GMJfK3mpuYT+3A4J5ny7n64cI+WezDW3DKl1qrG4mybxgOj5XiOPa6WooI+VetibYroKI/sg
LQR6YfNezxjek3xYBbFyU8YqB4l4UPsmR8nAANRvk1Nf1gmbwPxrqpmihiRfIJkOXLUm+c5QxytI
I69VGo+u0WudOxXhB2it2W0Vws6c0d4ESjusywKbAetuyyfWSZ/2w1iINWEcR9lZVxrTm06Gx7mz
1opkL9xncPvY9R3rvnwMFedZ6KSo2Sla66LZtEb2kESgxup4vm9rAr06WV5Kf9hkZfGlKtIlYPDG
6col6DS7KINsL7PpIWm6oyj6L6U2wAiIiUASaFXMsPp+JSDBMblKdlUjSi5nSFJTobq+qnRrQG/2
lTqV03qeqmTNzpcUL3arrcNiuojJ+MmUSUD/gYmTMwXHpW+9E1IHJkpO29ZHvtWMkom3uscXvaPG
u/LTOgfWF02nsKqrkvrR7LJti1OYwXsK8qmt101jQOuhlNUKOpYw7xFj+m8JEYpJOgrGXiO15/ga
mIhOl7qxSJcIWDqHIezNVaiJV6UOYnYn1JUy0daycT6nJLFPDNGJxVOazlO70LxIB21Xxnl9Sxqk
fqm2WXGUasDNaTmxO9fdLuxHhhNmqmO/sVw7yyS3RtQiV6jMyy6ytyjb9qJqHhTD2Cmd+jD01Fhk
OCku0RbyUivV+KLM6S4CWvBNaEDC9fuYlmpcOFG6WEJvpXJZjpp6HZE/s4u4mBwUB9MQHLKEVdVY
qa9IhAwXqX10RRD9QBuoe5OdeV3bDC7CzXRtDPnb1BD10kfcCfCinBYeWsj7GadTeqXryEVxpv5w
qJ1/9Y/+iP9czoA/XKW/Wh4xxEJENC3LsRdT148D1lIb+yQVjrxKMxijH2xPhmz/jx8CrZKpgRfl
JFS/zXh/WFJOZTA2lNQsKZu3LjlP5V3u/GqO/Xc0JBmt/90d9YGo7S8uKX7q+yX1LbpW1eCzUGYx
f/lxNKTAdWF5/YMd4PuEnzH+8nGwdbC3vwJvv4+GNPMX3kuW2/gHNBhRwHX/AbxF/4aX/eMDyArb
1hcSDMJ6Fgkwef/0ASTebGrUVgZXvpN51gTSr8UEgNWlvsTY/VgmYlWOdN9zNB0suvVtngWntOh2
ipSfuuir9eAY61AbGvq+9Ah+yF/NTnzKwx7mIYV8HpEf2xY2bWKWPjDWRiYcOfTFUfkuO0aVrQ1l
GypJL/tnNtEsCxPuhUXCG4QvppO6AqjiA8YgBVVZcgyywQdgaPQuT7vwui66LEDuUairzxTpCDUi
GrxG0xuX/acOHNH/6ofmU0sNk9wlxdzYBU0mQKbbIgmvxyAntmZ4EBMlnGMG/bowoplpjHEwIAG7
HTHTq5JIbpQrxZttxO/Eal5msI9X9cCf2DHp3jSlPKMkInczOBXlfIyLqN/GNardJlLPRhyflQV9
GUXUAIPdjuvU1O0tOgBumGZ495uYsEgGGKj/7dSbQy6YVInv+n46Rx36N8AnTKPR4VwMmXPbZMRe
ZRIT3lB7capnrnDmY5g6h7Adj9yUyhoeYgPasd8HEnFUUGAJNNEIrooOHqKIGpzqoTJjpyiQS3PB
bzqEO0SSt9qBoir2nGT8oH8gRRPnwlrJlcBtstjeaoMtABVqF2Yl95XOZGxC43M9iRyJT9U63hQo
CjqAzFnSs1jTdnl4XZgCkRcomMhir1C9TEo5b5sA2XpahpmXBFYEgVP3rLyuAHb2E3FmPm64akay
lVsrqFnvNL2g6C36hFTo2SbNl74y819Si5oE7f8pIv0PS4pG3riN2T7KmbsBPIt8iYY4Z9ynqtUN
/UvoWmrP1TcafCA7y7hUGjA5NajKddDN71BotFXZdCyohA4HJ8kdapflTolVQPCTfcKf4CDQMD/r
si82tSPBSOP50Fo+yoZOGRP0UeqVwWSvpTBv81B76a2EBLMMxXtjW+mubUYa72C4ZUrY7GHpvYMm
ZsqU+Tj1ghyoQdfzMXasMxhKZhV6qu9EZjw7sfqmJAX35Uiu0ticRCa4FIVdQeZhfxBWeGr0iTff
qiw3bxzzWpnmVj8sQiqjX/HhjTZjPVESDJ/IUB/HgO+8moD8TXE3rOAJepPWamdryJ5ZqBBFY+Ne
8Ju2o7eaHsbAZJTrDwSIRfTVg5O4xKRN6yQpHu2iG0D3apj68MP4NbAiydLpiG+yYpsXMuE18ru5
8K9qs7zoRofeuMi/ora6VTXUeqp97G0yGNv4OM/hVk2yQygIa41Z7BdsGFd62unwQvUbBfm/K/m9
XjXKo60RdmbBlSws9BQQMJ8HTLTNoB8VoXyZYGDZhi1HE5QIP5sO8EdeVShIq0q2BnUuYhekkuaB
0GXPHoORUXFste1jzg6wQHvBgn0dirq41QjteyjGcXge8ddgC1KavsboYRsvQVIYh7aB7nZOgzSg
Fa6E/uIHaBFPsRFBUHKS1u0c/xGsHDl3I04k6S+zAj4vOx217maIqa8HPncbg7Xnik/hc6d3xEBT
zCN32IUmRhESjZUdpX6+cgr/2p7nqzFHUDOTY70WQXZOCa267yQnXFaySK2Znm26IP4C0HVdm0gB
xIBBIWpKNMhI3K3SutGc9iOb+ofKKGaPbzFOj/phdoiWZKh1dvTo2CVEepWl8iqXHPAiH67iIbuR
g0zXbes3uyoVEZ81/wrIt8rUDscU8/wRQe4gk31eqOQGa/mrVfSMk1TqTKJ8LqIkflPtgdNgfBst
1csRMbOyJVlYh/AbpEy04PjdsTDOe7qhBIMrLmjESWgZRG9fBdKIvH6Kv0wtPMzMAP1cYwedRhuZ
6URK2gQRpn2lraxsuM1mbSSDm9MPq0bg5RrxzNNEagEWhU1bjKQ76NlW6xW5zgbyzlkr3kSx4WCC
sS78sjoXDdyoamAuSnPD3F1FuSvZAQfCI02PJsXKHxITlhoqSNRg+Row2GNs9+/xYMKzZvw1lCPu
iLE9+uX8aFSYTcroiukehOTWPJQ+m2kGnx6UQrSm9oui2RESctAuEM8IWc7kRa5FDEKnfoVX1EU1
cGs5rBmkqn+yO6y9Yeaw1ez2GGdw4jPoqvyHo1eb9UFvbbqjCGt0VFt0EBbnM50Zuu5VIqJb3B6v
VUc0ccX/104XfSEeEo23WrGrTd0VLcdN72Uy+IwdZ2fQrhaCf+uX9lfbxx9lI4+ZGv5aFf9bT0qm
Df+9ntxn5WcdvaZ/UVHyc79XlEQomFRrjjRIudUWPtR3UaQ04WMxk2XN+M3wwE99ryi1X6glKfBg
NBDJg5jjj7GH+gubSwOs1ZLgRuHxj1ykUvu5paGKpNhFmcIQhQoVsArP78eWhsO4zkdRTadRK9Fa
ywQR56m0sFB+KfOcG8CbsezTzmmRYs070umTgStjjJHfmnpy46vh4NoYCHa17K1ppZnqe8CifU1p
+VrL5Dbxk+xMK8ohNZuqpxmSZlNXmlNhml9haccoEtA8yBwDYth1CNwaxOutidiP8aZxMXdNthd5
Sk0lEzrC9WiSAhvHQX1ZIhvF1uVcxGabHB0zyt2mHCavNlh3thXddJopFI+OXHY60rnU++mQGNGF
XbT+kQj0xEuEg/EMKTXEWdXEQgkVwxsdCg9QsyjhtTFZy+QbNTBl2WSTeKro4jk15VVpjvnBCrs7
abIu8jMdKnFkluvAmcRlHZvvQ86epCosuUX18TXH8Ys1RA07vl5mhMKiOCz1eLrHa+m7sP4J9dGK
fRfGny1Q52cVIMD1nLaF15tp5VpNil+CeQsSPid3jr3w5cYcFHHQy1G5MKIcanWoYrytO/Oitqxr
Gxn9bSbT/RBOd6Q3sMLTc32rsKO0TCTXjs9YgnwPxD8FDOE5gd+hKxAgxikRFzIEUWhNdWiQngo+
1le05Nj6k2y32BunMF3NNQfWVch71+O8jU4TwGSo0AGXJRl0/CYo1I5Almc7QKkQRwljX7aTeicI
O48gNzCXrfvcuYr6ifFxMdtFsML9rzG19zlNIfQ7X710kgu1YJ8IxfsWAY4c3W9f2n9PL/xTf3N6
uZ/p/12iDfr8z+Nr+cHvx5eq/YI6CruWtH87bX4/vlQdP7vKIFX/ziX9fnwt4TBA8eiqlugFRV2i
C79rJeQvGrQ8AKSmqS1zYPWfNMR/PrxY+eEyc9BcMCNmx8YJ+uPhRYBv3KRzrp5zPI9KEl1YQbLW
+v+VGY/C4s+DH+bVi7YPRxu5H2QD/PxAJAIkCBGS4cxwKNmDbLP1jTF3hyyC0FuoAWXUYGFsbIsr
YqguqqS8t9SaZRe4kfUAV3+TcBYee04mF7ER4RhTG62EUS5M1fppaEqOKTtE2rx418MmvS15wLVa
pudCiRCCWuyx7EolBFn0iN9oa/BF28eKkTGwOdggIJtdglDxeye555u9x5ybMpa1mdskI8Jb/VFw
sjs6zRJ/5lOopwVzbOMWF8mNyMZLIYzLNlIoJYYopv909hCmLwc/CxBbyXvErelKCXoa+UU62/Xt
NaBqj530o2PXn2pgvQTZ9FwvXqqEdGOX4IezUftH08oij5nGzuTA2Tbkp6+1ur4vzGAX2XqwBld2
hJXwlg9h4vWc1+iroKCmxVi6oqMOTHGzgLqbX2SWLTK3+Eq3UbCRWI67RXMrM3npLHlfN3TzY9aR
zTvdWFW3RXa5wz4lcPmTHjDorL5BMsMBUA16ORQRWVvZa8t5cVpsTFSdXcXh2nQ6+1xmATbGBN6/
eIuB6cueEEUopnESfYcwOAcyUCGvl9Z0qQ4gzCf0/EMoIy+R6RlieOwhStnOmX4KAj9YtVLfOj2v
bThwDwqTcUhZOS9oNXfgGG6KfJ5cbW4eIhPUTAA9esU057YZur00kt6tNeWdNEDWm8P0kLLFJtth
BtMIK6YJ4x7Qdf0hU/VDHVJk88h6mA7vgUlJNPTDlivtOiMKZCSm6MLSZmQSaf4+x+VTaHGTZmZx
h3qdZXBlJbuh07YgCBiW+x5mazjWfMTg1+hDuJFjWL3mcRHU3mwLWknDHGkclTGhxJzUGnI6LHQu
SGvwpD0szup6PKSpATwFkqDiYx7StY8BYQQgSwLJixrmS1L2D4mhLf7vgbU6tMBFlD7KyE1ida+h
VZGgFNrFKWdXr3gwbmQiPm2Ht6lCV13wacTx3yNcbVpgOYNbDInc04HDLhj6CxthjyuQotLaYbZu
+gg3ezA8m7HVbMagPAWR4q+bcsT3sYDjm4syBtnbNmij2idyUfA5OfG6jxX4+sUpMfnKanlyRgl+
TIXYg9sjKzYIw808TkA1+ujDHGja4yHWQIXLG5IctiM74wR3xnokkzk3yye6cohWe6QPIP3Fjtzu
1zFWXmaD/aWVgnGf0pdUv2USBomgO5TcjKnAHZDXa9XDtRY6eouzStsMmr7rVbQbMsRlMJf9ViP/
0lMolWAc6y85DVY7FoPrixptz1BuO5lfTcXwXBdg9KJJf2hbxT6VguSQu0VHGth67e8Klcph88MF
8xfT8z9Bx/jSgFGROvYFHMH4hJYV4I/HddMw5/MnczoPjD1W+tY/jLfFaR+TmPqaP5abZI/vfOUf
meF3LuDL/zFaX4ajfwxPf3v4Zbb+bX6KC//nh6/9zuiF2c3n3not/b1DUqszvogiW/393/lXj8Pe
CUIM80nosH9G/LXcWREA/7OMLgjPWqXppxPsmUj8j8f5+fb79e/h9eQOlGSxQbn6+e+psGkaLNIU
UuSPtQkPmqme/vj3f4v+Myjutwf54Y/504N0oaI0KqToc+81D2CyNv1O+bBdm0HPKeMztrqpN9BU
PHV3f2m76eqyh5750Gz8zXV8GFY7VNAXrct/6BYe/9s8/P3zU5cX889vqs6KmD4GUSf6zJ9fhJQQ
Iqw4ijxT+V7618pGOcnH4MDOCEMjKYKHZ7kd15eVN+ygIWZHxrPXsDg86N7/rv5/s0/wmv/3NniT
/p9b1AAR/6KQ5Ae/F5JsVmySrug3dW7On70TSGt5C+Hbq3TDFJp/9MEOclwi0Byc7ksZuVgKv9OU
FpCAqtMKg7ij06Ro/SebFfXnL9OyWeH3cDIpusZ3id/78+eoCvzRELIHiKgXD8NCROtBowlK35UV
N/WZiCy4aVyWT4ZetiwkUxQvlrDYk0AzakSfH+YAChKJgDVXnf6ILdhya/xc6xLNgzfrgIOyJcyG
oqhet3pXbCrf6dfVQnqLQb4RAoSfYrRDfBTWvQMWjlsl98xFHGiBjOO7GuxqIHJtND76DKtAApW3
dcGywxSRs5NK8J6DoBs15QgV57JQQmaTC6VOqWPpTYZE8QnCLh2i7bQw7Qrgdmjjnv1WhUNaNoQM
dbdKH6ReUBHg1A0Q0UAFvZl4NHbtws2rR7pjpxg/zcL8RLkcu8ByOrcBt+eM2hMU4PxQdmmxYkv2
SpzYNZvzYs/TfHfy7Cox4KpovbUWoVkUDyM2sQ3n6BZpZrE1IMvDPvGCAkaIzxZnNrJPmvbNuFDo
i7Tc6nDprXq4Gcwk2LGZsvHRQZtOhnl240iYm06MV4gZEa3Cuo9g3vcL/J41a8G6yS6QcsBgjmHk
p/2w18z2hQgdMkQ0MPodDpZ5AevbyvRgp/Fgn8cG10DZjjNTBK5E54Ld8tfchQbYtj7eNHFH5tQI
P0af03GbRRG9fhQ7+7KawmstUe+hnMDPW6bAKhrmGaHx86xYqxLpntPddWYaXOJVLA+zktUEoohk
VxoFs2XlRuJVp8iw8d4DLVglSvSwwAwA9pCYrQkM1FpAblpplsgwCvLehCjOQYyoymxw3pnKHeFp
WNFjqJMdjVFqHvQu5yXGSePH42NpRB8WWglfxIDzEGmCvWLCaonuVWfvQfOuPQs1faG8JnkhsLYs
KoiYD+OdqoBCsApUi93sCZU9SDXb3pQjR41ZYqTJhelbhO4x1iTsj2Fu/qWkhb0h58xcmUxE12VC
LlQv4ndpiicDgfgUjjdp2F5MvbiDkPHScl3SJDirqhPHaqwvFc2/H/P4OA0Z75avPgQZXsew9u8I
ezu2Ma9QqQa6p5XUrYntXOaq/uxbw72pyJl1VBojXaSkJtzrrdGdm6GOL4Oy9lTfgRlq9VeD1G+0
ib8l86PrupF7wkjXuAMOAbTOzhyOpTDegql9WNqVIDfgehnIauadVmerUgGvmDTTk9GhZY0DdptJ
hHuVY45tTyWQLy7wIZ/AsnUf1U91kx00pz8lmrpnqffAyg2VH4lAzJqGfVkbSwwhatFSpDdwtd7I
tQPCk6T1ajZtJOSxtoGUY2/8Fm0MJi/Q1Q7eWJ3hUFxmMbFSKOIbeI4q4pDlxOWUksUm0ftzAW58
pVat4nX9dB0oTPElZlGFl4Az6VqbzFPcOe/IHxajpnmvmmiadKTEWgcHiiENBqDliKuRLKNvvFWd
3EstlkVqyVSrAeLGEDTdZYiAZcoWKshac23yeevm4FYq+puV4dcNVPuU9KGPdFwIj/79BnUSysMg
kQRCWW8qaWMbmackYpjlZtLIBcsiVV+csR7ax6+6nf3buJrZ0dXyLo/6nBQRK3ovQ3FpkmyEPJkz
IooeUcZc1U64ywz7a6YE3rRMKYF4KUDVKoQ7UWMInNXNnD1m0OqC06wGyNhN9oQ4/Y6GXd85C6Cx
XlCNZEK+FHPkbEq911YtPEe/B9Vo9c2b2YpqPXf1WY/SyxAGpAYLcoQJKRc4pJbXh3RWNzDOU/a2
xjUsyFPnEPpmLmjJGMakDWtSEXi56gU/acB/p5Lv7jTIlJGPgQ9SZbwgKxNMIzyb+Yl976mppofM
GK7LIT7zeeBFgHuZwb+cDXS87YKD65UcASRwldFpb3OomZLFKhmFR10Z73MVY55unE0om6Wj5/jU
+FYvAE4rNWnLDKCcTFRVcFuAOnMFmCdnrIsKfoeed1cvUE8razh2TAJMFuAnIn9IGt8goGW8nxcs
qEjIE/sGCl2QoSAD1T2gr8h1FqBosaBFE6XGVL/gRoORMcECIP1WjPw73lOoUP57VebVn03+VyUZ
P/V7SUaykEnhwzwOxoKiU619X02oAJxwKFN1EXHwayb099WE9Qv/DJKBVcIi4/wx+Nn4hUEh+wrD
QrdEY/KPVhPWf/IanEURCibbktDeDe1P7WKSMbJHD2Jd4lc/BG3V56d2UCdzHWd9WS7T9m7e2gO7
hizMgvGhQCUxuYWTw49r4/B51JpbQgwnNyQVfT203RYjoEsfzmRCyVXceykeCyd+0+Dg8EU1os0k
GpLLyBfDP8b2PBXPJObdALR8HLpCJtctRMlbht07Z2BparF/xpECByASl4mf2wNWBfZwmQiep7IN
z6wKI/McphhFjNxm2KLDNNBWJrinwjX8TMnvTEuQWsg5NWzQDfotsaxNGD10XMRsRZPhMVGdEHxn
UuyiMI4nruD6ROTiYeiMGyPQJ4hs+YMyp3edjl+nCMt3JBWkC4UdHtU5Yn0Tc55pb+ESPVcL/dLs
VJBQ40MXRsZaoyAUvXBFxhEQLNYfvSyla0/sAZBf6xuph49QemzmRAkgG+M2sVkqx4RBTyL6IOTl
Luv0T0VHrNBkvCiG3V5bWsLdB7ZoN/D7EceXycukkZWXDNFOmZnRVMuoLUvtuyqVqofPBaEtsaar
MVZ3IaFLed/XbjZEey1EAmlkoQU20JpXjZLkGzWuSMhUpgNaw2tf7bL1rIXIaHV1VyQMmlQblYEz
jep+6iVDwk75UNgg2CySiAw1fJBEzRZx7msQFkfTsY6NBqkismETooq/tXwQfQ5Jf6MvPgxn9lJl
ZP9RXgaIIdC2125Z47X6f/bOpLlx5NyivwgdmIF8S86kSIqapdogJJWEeR4SwK9/J2VXd5WHdvS+
Ixze2CpSIpj5DfeemxfKaRpUn13JZMaNJcJMLX+XkRix+BTPPNL4AsTg7VxV+vN43dhG3S06vzx3
DoJIew4uZKDeOCGc5TAyboNKo2flRl3oY+Ms4Y22rP2jVeSUz31iNgvsLIeOT7BDzUmASLwdHUhk
rl6X67lAb4EyeKydJ6PtzqKL75MOU16st495GN2qSERgR/3WCF1tz6HN5ixqbicvuAeveDPXPV8R
A1fwZGBCEHE8IdsILn0w76Ys0HBLa+9NrUWsv6p0OzlcUrMhkEH0OKNDp8U9rdsrEiDnQ1l51wkh
npvSd9AC94W1zIesQxojj1C9vmdZfIh7nyivNj65GAZxmXlXUwlWUReYoCb2RwZfgJVtJK+NXsnN
JLpr0djPg4Zaiq/6sEim3F1GvfWJD4jVeFXe9nO17HoPTAjRKp6nwnILzG5dOjyYci52ms3TGaiS
rs1iBDXmzOXoPTvSuUOIOe6HMmXq3Jh72kRrZfn+MRo0E6AsQ2I9t+2NrJPrOHTJNUtv82w4hxHP
tozYmkk0cHEuLmZY1Bs3o5+QlWQy3YwT3jj3XhpY1PVG/wxMG7lA9s42VrlDuOdDdC2BZn7YrfbY
Jp5Y5nn+mMvOXJuiv0P4YGxjN38pJ/vK0cpJ6YIQctsHzx7dG0t5q+C16BN51fWbhawIyyVJWAoq
3zv1yVXaoxkREg7ut8YyX2pfWDuhdEoVgqVZKZf8LgLv1YBXdZWuCe3cO1zqdq973V1UdPAXKz3b
TTrGx14powDnfqtc+67LSSiV5BJuyNgmzqRnhJxUVQGmXD8PEMfWTHU/hnlC6+5QWSpF1qC0WSxx
BSlw6LUE/hrk1HRsUFTfGa0jGlP6Lj2QzjlWmi/iKUdWHibrWARhUinDJswqawOxWKpUY2gv0J6h
I4udZFpNSVSdckRmE2KzXKnOcqU/M5USbbR4WqsmeXeVSq0KknntIFwLbUsp2NCylYjaUqB0q8hz
s43v0/hxHs7bAhFc4zvEu2oQMINtqVRykdLLOWUsoH9LNBpdLjaj0tXR5AQ3bmFWG0+J7hDfAR6A
pKf0ePTJpAVAdF4im8M/2vff01pPNpFS8pmVBfSuAlmWonLcRUUxP8wy57ORE9IVpQfUKO4XIRmy
CwexIKGoTN8NH/KKQy4ngsIAYSFenRwnDf1NkM43hFmuQC7f+ZrnHueWTi9SCkXq/0vVR/eFyeIh
JS13A4g/XvRop5aJ1b27NVgIDLT+dlT6x8mA2wAcfsRWGV06RJJFMOurVOkmKwSUEJSOxAusoMBc
BqWwtHCkAhOi3Y6RXwpkmD5QxawNGEh4SE4xWjhkMziw3P1pHSgdZzij6NSRdhp9+lqm2iVD8pmS
JbBEJO2uk8ZAI2VXHxmAmjDX7U2nNKONUo/28HtxxeovlVKWDkhMA9ED/DP0YSXrBosjQtTCxxOc
jEn4WEcZkQDBi0sztTD56nrIWFnCvziWRhxgd66+tiFd/h44plgTU5wSLpw99koVWyp9rIlQdtYr
faVl8cmA3QDSOr3K4E4sbe5UR+lsIYh8jH4L3zQ4+kqJi/7/AFdIrOpUWyRO8ZQj2h0LEzud0vE2
qOP5QA81Eh1MAd81JDtypH10maAQfb5DdvrB8m/TKpVPS6wyBrR+IREA6YlO5vpVntCroA2q2vRV
9MlbRKJ2NWg6ZFhvD7JaPTWIi1pURnMr6dxSPh4lQEoY/YxKkhQHJm0xKiXUTCRQoVuKk5D/Mwc4
Uoxj3OA6sZXQCbJnvKVy+0YFto/HclMrUZSFOmpWMqkevZSLbioQ8smw+MeVoEoGyVWqJFZW3r3b
kDJDD/FVhQpL93J4fMUjNhjkWUW4dZRga/KtM5ulh0ZJuSol6tJQd1WoPSY695WF7qvXgC15iYMz
EE1Yr8RhA3Zz18AeSXfhLwBShBtg3cx+lKwMjOddroRmZCRD2KLuxGUSg9pAjlbYzd5DnybRqUVK
sBZK/3oykm2J+hXtpOlvm6lYGePRR+sWKdEbLIt8yRp8myRDhR6TQsaa3yyUcq4M34gdO9pKQqcF
Olb6qn4lZ0KlLkvygSt9aK74+tyHE2M1+rdHA5cspMGF35JMtbPCbGdCCB/wRga+Vd0UbpOT9oDA
BIAgkWTaUzSUpb4k3qNtDuz8pDKFy8EfNmU2aNPNxKdT6E6srWzEFPA10Z6sfJEeSqI2FmNKAjo9
53YWIQ19iczYIwCsSDW5iRGy2Hnar4KhfIbBO68LH1noMIUGAcbJg9UUdxLb9IZtzmedNE927DmL
nMJLCzCKQB7YR579WhXjBW8reCYPqFcUd/mSuqtFf2oDTZGDge2+HLlOJupCnYut5Urj81OfHbV5
L+BriehYN8RpZpW9GjvvPHQxYXTeUQFwlEf/1RDIiIV9NOaJ6qas3rhb4MJn2RJf7kMbx/ah6/WP
mST47ZygAp8GjMRDf4HZGlHkAbKilVhQ10gSsorvDU5xCw35Ejz6vKlb94hX8NZE81l04FWdvJQ7
zt2jkKxJ0cguIVG1u37gG52YvKCDoTC1sxbPLmtbLPkL6OzbyqTaFUb6La3jpR1dpyhSE2daEPi8
dxpY5MIfzjjb4QZU3XXuINSbGlYmBpDaCcF8qJ8dwjezYjjb5rXLqI6I6FXTaOFh0MunVIb7Lopf
Oq97qETJmnDW1wQdj653x1Z0Sd17nmrzW1wZO9FqnIx5uJ8nb94nffaNN/gQqdbeoxZcR2gdrzgV
vtl5OTzlM86gsk6uRkLAVy02UlAr80kOGPRr13iuBp29ZXojZfGaVj7g27bjSRAvmVMeYyt6yiUz
0L8beipKNhCs3v57Q3//Eb3mr/++Y1E/9aOhNxHXoKhx7D8CN39v6BXYhEhitoRkT33JEP/Z0EMv
QQBI6DATTRY0ykf5+45FAHRkschehBLpa/3yF3Ys6IZ+2dXxGxJSQVoiryWABbue+euOhZmepWe8
jetBRGm7IqgCvDG3suLJ94DljQ79NrcnpGAw8KOiz+OPdNcGQPoORN2yAlGyCZPp3tfKetsnDIQL
g0lX6cLGBW0ffkHu5y/gveuWvbaywOC3PmhjIKNy6zZucIzsyd0no7dya9NaVt7QnBzT7hdOaJJ8
4xlvCKU/dfhMu0oW58ZUKH63pKrB2n47genHTu3e1IrcH6Yw/PWs4Aj1XfYEivAf9ogPJwG0kcS6
tT+mmyTstZ2hkgGSHNyUT1iAUZgje5OBtMquSIad26ISCVW+QIc9csEswbgOzKREQUAOQacSCTyD
27fi5ec4KxaNBxIf8gpjYUsoqLUyfFvylHnBdVJGBwqLXdegxekKE0azRTJniBmz7Aam70FyWzqc
xG6JjFAnacKl9ITVOm1nNCwUEVxBiGGWTeQGa93XHqq5vRNNs4M84+8dqrxGpihWXPFk1d572ZTn
GpUz4R/RgYXdxemC+3BAOSGBYA2o+JqK1N9enBzi4Vdmq6GcKWyPiPnyOZHZwS3ilzHp2uUktM8x
9Nk9YU6Js+GbU4iPqvDqPWOIeJkUnY98gj8LCREoUpFdHOMYoWhKEPM3CLkXf0oeU+qJhcxLlEOF
M641X2AVRWJDVlD75A5gYV0AJgC+mcnGPd1mHIFGrB9LS7Ch05EVjb6Lg0Yf70uVwvBFtYgHcquK
GUYlQyEouXZ/qRQGQ1dAjAYyBkvB5wFSRh4W9iawjO+VgmhECqdRsIUKFGAjLLxh4yroxlwTXJby
uG57ndkT+8KcLliBOirb2msK3RH65F9ZODX2I1yPCb6HjSXQUsAPEUhvbSRwh3u3/cT74fJuscTw
3a+WlYKGxLPHBChgdwmLB2gD3xGy5hkJK9xIQLo2/ma6Lkgk4QCSBLThtQWjxIRVEsEscVN/r8Ew
6c093X0gT4J/s7W7u0rhTlzGWWnuPnmCnZ4CokiL3ovFEps8ZD6KmVJ0z56CqJRjx9giqcS69Zix
lKITiy4pNmVanUyz37Za/tCGPblY4bHLq3xnwGuJTYK84bfYPTMVTyFdmnG8zjNzPvh69hKBf3Fc
+DOuLr19UntHU+TnGFRMppgxZJOZyxJ7Ll0GRBkGKz5+CyPe9+BmTLAzRl69ZIpDw+iQ8ho0je05
TzjDrk3FrOGmE2yz4Ng4EdS2RrFtohDKjdYjfSVeBt8ZG18NFI50g6dZsXHqCnHHzPhtVtwcwAMj
UrNshZJoH8zNR604O3iyKTTQpOmKwRMpGo/gz4rD+GvAdtNJFd6i2D1D0tqrdGjcHd3hJ/rHKxvQ
TxwxBBsV+ycDAqQDA5qBAgW0FstGcYLqjiy7FHSQA0LIALUOoqW4MRVdyAAz5Ip+281wh+rCD9aE
sNw0IIkC0ERD1J70L1ZR5R/ihlIl8PKbDCEX203tEAE4ih1IR3o3HlzQRyyIWZOMJhOqmkLLLWS6
zhQradaj06zoSU4AnlZrss9wDu5rDGiLyTBTfjmoS2OUfG8q5zos4THpisxkK0ZTwYb/SobavOuw
qeGJUgm0882EjG6tKcpTKsK70YrXvcI/gYESIscjXTUHptWsFrAvLesaapQlXYaybkncXz4956Cl
UGu+1u3ItMyEOuWDn8J+/QDU7gjokx/FV2IP9obwOOIr/KsYgFXSBmQW8RARSQj0l1jG7eQZ7zPY
KyfkzB4BYbkAsWqj+cCmj3O7fp0B6niKnNVOBK5axkvpFyTqQYcBPLwOUn3nAd3SyY63VWQ5SjdO
7oqtJEwTPPkZIkLvvgLdNdvOR9pxUMaWqxLBvB1fblLBAH4ZFnSisRXstSBymEDBMp5bmhib7EEF
s1CJiXzRbhoHm7vrzeUW99Qrd2ezLuMI/F40lWgdLffa9zV/q2E13TZt8xynxp1T9JnSBDwYXveS
pDCIiG3Hmwnxa5F5FdayERmD6b9ZgQ/PER8L7++tSWq6K7/83gakCAsovitMdPO5SGlzlB+HO+8k
2ZEvpBrLCwJcOqixVqWVa5H334k4IaHRq79bUcFcWbTLgDg3UN4BnbUL8DGcIiQHYliFY2cTIdCj
PO84wQCDnyNP51tWIZAFXgiDL9zBKI5wELxZGg2p1Iq7qcSgFmvJN0T87xCEsfvn+ZaI6C11BJ9B
MNwZDttABvfeYdZonzuifjjEiQ2gNCIxcZ4w9hjttZjtVTjlnymuvqWfy+uRSfGi1cKjbpE7I7rq
09fgruu2eKEtN9ZanSNKKtzXNHKcRRVqz3rdBzeNX5w4zVsRnOwh2ka0cxqWPqAsepeK+lxmWRkx
7Ij1kMykuB5meC6ijv52gf9TrsSe6L/X0dvso/gPpBLFHPmpjIb1Yat8N1DlXxuu38to8zdsNzb/
+aed52epEoNhSMQ/tEp/aN4tgebd5N/iv1DqqTiUv1BGG66y5PwheVNltMNNTo1PJQ2nhH/uFxll
MbUe1aMvuK8aEoMcY67Aqyo2taUVkbl2orwNvrH7b27As0KyzhXUeoZu7Sbi2BQiZeySvqUs7JWN
ejC7cDPZNmdhZWWj4njP+2K06nU/iBvWPZ+4zuIlLGnGSiZnholEmYvVqbc6wUB+wZym0nZanL05
DYlUXlIew0TepCpTyO2aFXuTnadz5rE2IjoLjJEoATYQSMTddjaZJMYm2FcZkVnU69NuUilGhWa8
JcQajYRg7hvfeyaWaT838p25wgmyeOaoaC33RWE5OpWThHjmAxbiKlUJSgnUWKYKpCrNiAyQ1hZL
czB2NcFLEBwGloEQsVJLa0Cxk8+EhY/fFgTuqi3nJzZvJ2CKFJFJa2LMJOXJ5G6PbDLUrD7cNCoJ
CoSYt04Ih/IJiULrNaxq22MeW/YvOUFS0GyZnpfXHOro/PPA2eQqdYqUvb1UOVQiJtTIQKW80qWN
U1PlVVWKC8sOKV8CqkGGPN3kTrpvCWKBw5J8n/LB58bkAG3KAJESyl4rnF5h00sqb+MTMOLBoG+C
inpMVJ4WcCsyJr4ytiRpW6XK3ZpUAtdIFNdMJFeuFfKZz/Oqc77NuXsC/bckUIIop+Sgu8GdVNle
lPpJu0LMywkEprBnHBSnnEzVP44p4+vMGkMHOF/r20xOONNi30faDfZenLD9RAcvLWHeUVlRhCWV
vrZ14mGjwBd3AalWAtKOMVJFlazVBmeyt1Xj2Nkq68dwa2B5Qv9WNObRI0Qd67Lr74jq1Z//Hit8
jRXsP9UJ3HWvRdxmr33776MF9ZO/n4k6ZxhUZEYFruV6v9CbjN+QdKIVgIHqfJ1uP3xAlv8bVh+G
5Mg+AWB8nVQ/5JvebxiHmDdgHmLFihvor5yJELj/9Uz0ydzlLRAjASoKQOuvZ6Lma1bajFl53VNY
z6fErJzkTMZUYq67Ls8uHvcoaQaZc3aoSbhsGUGzcm/M/H4wECzmRn6szeYlm8pD1ha3+HpWnWai
ZEyCk+84J0bY6bLwSBi0WOKw5DhGunyak+Lj66tcDibjdjpq1rnzBl8z7CRqnj6IGB0zXKDfSk4d
6v8RvCyGjqEw3kwNbwG0jGwjw8E32LixhDmYqduFdFIaq10SCSg/czZDLh2kTs/rDtXei718W3vi
4GZMNu6toOOMCXKJaF4IlXjSqPCTRMWg9CCRTIhJg0pHISfF+0pMyb7SU7zG0Vai9Ztkl9KYzuu6
CfV6TZgQurhMjm+9m1NDZcWTh8582UVy6+Ne3uJWRz5fEtItazIL/UyCcyxPSJXqpdlSo1VRvK5n
FsQRZXIZsH/Vg0etmffoZW8HwHwF+kubYfqgdcdROtdicKeFX7kqewnyafxKcXiV9Z7GvKI/YSYi
DFirdj6T5AUIh9uh1/auYa6LoD6D1/400Y/lmtwZcXeA/boLg/qISfKcm+MZPvabPrW3ImKinrgP
sDpZqHu7AIiKGw3tos6qu6xCzFTEq6zSt9Jpb5vOX1mjZE1uP+Weu9AFd5/fHhCG0kHkYMsT8Vkg
q7MzMrFkvwa9ubWhhxtlewri9gJC4IXxLxBBf1VRChZedJ7L/BpR5EI4VMetDVPcfJpleWJlsaCt
PPNZwqqExRlF5yQoz6gSrmZCCkmyPSQOU2RX/2Y6ycaPu1NldW9h6ZM5xUcfeuLebhC0wWpitnFE
xdwteqGfe/amU52cG9e8qScYVrP24ETWPkvUJ9yXqyrN962B9RUxrQjqD2FzARTZE7DfB+TDt12k
bYLKOaLp3qCzgLo6ACqdiBKzx7eBN8G6xgDTZBDeRHPukZ6FkjP0DKgl45Uco33ZMoPyp+aj8cxb
FHO3zYS0MwgH58ZzGnbbMjoTyXKa4J5fN2BU9uT5scCHDGWhV2ZNunDG+hrr1VEaPFK9sPfZ0GqM
n2W1qlrxfQrHsz4iFsitI5vWm7Hu3NVYxSoayVtZdf0NiSiPn+XSKQRb6olpo1nBN2TVJynGaOPn
/T1ZI2tLs5gk2R2ySpR+mI2BWVg5LYAWgetkk4byJDJOQA9ubYgZSzbLEGpHPnGyOS5JpW1bNAsV
Q3LmZClB9q2XbKBenLqk36ZBuHQIAtGZOax5Ovi0VD626NtLDVNkWdjtlWkRHRdNLYEx8bUdpEer
1ra0fOvcrc+VicJT1vl7Zed8GLO2MiUsrCQgVSPu3Bsn8/cl6tAVvh6LIGwisYN5JFg76SEcmGJp
RqDnk7g64ntGpt5py9wsnzvPpjs3MdZp+XzuDevEzu27a9UEevnmLqgKxmEIjxZMKW9Zaz92wj1o
DiHmWp9Bmi+qpR7LkyOMaTHYnAC5llVLURFrYdYBRV1c1Zukn45lbciFa8XXaVo/DC5BAVE03oeu
w/POzLEg1HXwU1hp/GmiGmeJ1SQPYsiLpYgjsaBHkse5tLKrCAfm386Nf7RCxp+uFHZ9TvLt9+7f
b371c7/f/LAIUAGqHKav7QDdxu/dEGwDzEdc+7qlYpWY9/9YKlATINwj1snC/wRjDrvFDwcwsZE6
qAvstD+0hX+hG/pX24btm4paoEiQeJHhJfx673c96aVe6chLrx/g3yXTbdluf+oP/4Nt7R824j8a
Ln4LzCmol6BtUP1gt1LoyJ+YbAaHR5KkbXWxJGZbUE1Oi70usszCukQ6cBtlBh3Tm7mMXf8cMah7
pjsw0xtfd6ZlpOejSfxBtWyx2dfReIyDbM1XYT3HfGv62VpOU3YJuI2zUttPrdhpdXnX6TgNp8hY
z7V3O8btLphqoiHycVPEnQG8qD5olbzW/PQNQMyrRnByX1V7AmSf8SewEo+j65DDzDezvRe10BPG
5rPp1dQ9lquMbmUb13bP997IFp0jd/XAnrb3kgfP39VWu+TXew5dfa8LJvkcxod6LD6yVkQMgrjk
p/wjqMiK8/OqW5T66C/qttmQMXSkHlFICCVoloz9Kk9/G9viAPsvRyBWUHCFh8A0H5qRyt6Mu6c0
B/oTTfK9de3DZDfFpk4qmGSjXIkadKUTB84yKJs7IKTo+O2yW4eTdWLUjpGmtW4yKEL0t/2zlliE
Unjj2jHZAfhm95l4NQombhNiOkts4vYVczIbFXcdL7K0TnauTqI2+ptwOSZ9sY4rE1U8J9GC6/zJ
yEsUiMxdWSXdOoyTFrmZ3UP1In3PT1+0urEXpqz2guSUc9ZJji4tPbRazEjLqG3QNuEx7N4hA28E
J16cS3NpjzUqB6qqYCaUPKiZEpahcWj8vll1g7edPee9ipnayqm56j373W/zaOUn8aefs4IObX9e
we66x6PzacMEVvN2wAsS6VSyi6BGrAyCTUoIQ5Skb0aSQPCwkVbiC99DnOSiHLpN7CuDj4Xd0247
ubY1XYAe7S8I0x+GsCfBOeugPkeN0n/eMXmrVyCb+mURYD+wCdod6H5n1ZkJP4EJpZJHic8YxfCU
gsbGV+p+Msz75hipShPEoApIgxhAyuFTkWfNMuQmWnKuPIRTfVfYTnWIUus6zDwPGkXEyHocvw1J
xtMja2IgJX8Pz5tfUjfArEzvPlB424Z0N0OjP6Rhxq6fgMJRI49jCDs0YNpnp/kvBICjSU9BIFsG
yt4xwCxB+LVb0hZYU7qvvmyu0m7qACwmsk/88vW9E0qglW7KUy6y9CHVLbF35jG5uJa8r2uT/rP6
yDFogTHLFllZfTe6Gmkn5QcSfxRpqSS3rYmTJ9vuVpkbABBzH6HBjtspmpJjDk4l1rTbpk+EmjJk
NRHPOSFog/SvNI9ReiOqctlmjA2RRS1Di7l5aZ1sMueYw8BmI2O74rvJCqw6t6X3HPnOB6j+esGx
Bl9sNjY51/AQTVeMsl61sb+SXUxOaP8S9rQmnDm3TWGsSde8LQ1rLw3tlizslauFj/QfL63voI7W
r4QML2yUL1POZL/tNjMi0UBM3xE8QEX1QLe0UDeJeF6mNUSntqEgQikHa+3sEaLV1GmGpHZeoTSW
i1IgdUl8jU5Gu5665jGPRboOzPaj7aKNWY9PWvvh9DyJg+ttLJts+WVAahd+qUAywKKK0LS1Pkze
oxcO47auG3OZhFBaHL/qqnNqWc95aROgOddrbyhCQnASVUSmpV1Ni9yZrW03lc3SzyiafQusbN1u
mk4+S5k9trX2ghHLutF7Z75w4dWbJqtfa9PYR431fQz863qeziIToUoXZymAbm5FV8l2KQENk885
VXjuT6cwj+7iMHxDsastZdpnVw1iCwZNHe7mAq2m3UUvhcmnKKP7OC4TFrfsv4f2uTfKGamelW8C
5ViH7N2Ct+HuWQoo44yGMsbGfUWOQAfayk2QPU4T282wAf3Lt7x9CkTbr+zOy3d8m/1VnXUr2x2G
3WB0cou6qyTmsJy2stDZFWTsqMMO1SsyNmcnyU/aMce6EGh029qREnhsk0ENp7TgPS7RYc+ucc+Y
7bkxxrvQadw9NInnUkgycNn0nP/82v1VLPB16WLi99WNaxKpoga0P1+6btZXcDrq/lL6oIaM68S/
d3nXDpPC5H+5nH+tItRrMeWF6mqomQQGBjVx/emCb1v2lKqcvrAaC9LHetpE2v8wKv+vl1D/+08v
QW5klsk+k5eKL+aEbzQavtnV3Z//zf7jiwiGzB61lWGqquvnF2nBxo9JIeXFau7r8jhqZ23Y//lL
/PvHwp/qp5dQ5veffo8OFWRo2KO82P5dXm/Aua2pQgrvNZn+xyupkc2vVdevr6TeyU+vlEWDk7vE
+F5q9jRGQcNgHvoc8dF6yMHIzf/QFb2P/xd+QHMDj1EWP7N9/921b/iwahzCzBkv4Yr59eU6MHhz
0xmS6eez0WHtcu/D6GrKn7/+fn/7kQwag/++dtkX039wI6mf+dFnGM5vrhoIYr7+ylHi4/7RZxg+
OiRdp9LXLc8ABvN7n2F59BksaUCJW3xqrEN+7zMsh8hZKnYfRRQm8b+8daEF+ulxhGVEbL2l3gPB
3hawgX95HK0oq4xw8LpznrrRpiyzeDWWOdXYDfSRGQFoLKJgdtc2KN0IY9uQyrVjdCbkd2IJCrm0
p5j2tfbjeoLKiMfKQQoknQaL7ejWPRdUFllbSD/4nha2ncWERmpBMpgrLRBlwcDC7e2L1/eiKVae
Xg321eg4sh0hl9ZJ++rNJJvPGBiJQ0cYOjaDIDgKk8c2aSsBe1yPCKRp3EUtpf1Ql+zUfXQhdV+m
zsJOE4rzWg5XsXJuYCEqzl6W9rfkdMo3vXCcCh93FL4NdjNuslbPj7GblhSDZXBONPDceHojrC7k
/iCssKYbwzODPWJleWK6KM8GFsZVg12mlBihkMGazasfs3DIOlSyywit9Z4JRXdvMuRY8hd03v05
E9shyiQ1NJwkhjIoPGzr1p/1bD0qP1HW6wQe+Qa7FKfrMKm4+nRusLtvUshQyAMMxJ1ti8+bBoas
33nodnWgYzI0KsBIQkTmN2uu5ks0M8ldpGZvvqVUWVc9+pz9xOLj2XJaiyBqE817xdU/My267vv0
nT9psSekx7gz2ljPlglArJMtMQQ4qArOE5G0bIsdpCpx226FyJp1Mgv/PJNjtCMrijt9Isc3YoXz
jpg2O+L7bB97EpM2rUgKiAKxeULulqFjidoUCwzyLVQr7g0ltbah4m8vUCarFfrW8gqJ/HDVtukB
OcgMKEfzN7UzjZ/SZuzpV3l4GMvY5r0lnsak1tUPJB4BgCon/DZdBzGunvxiW4V4cGwM9YvRaTgD
Z1MEh6zR3EcagycmgubR1PzqmrcfbLQUvFFbmkjxm0a/nuYI2A/5r/swRl1dYlOnYK2m26jx5Qpw
cr2e4n5ch8McbFqoB+Hq75P1a4OjmCf//WQ9fwyv3/+DMFT91I+zFTsn/xI4Gs5CBjkq1u7H2Ypm
lANNUTbUVvsrDO+fMxzW1hRfeIpd06Sg4Mf/OFvhcuiANxT0nKELdcZfGOEAtvyXo9UBE0c0Kspw
F5Eq7+LXqzfo4wrPdDxdx8XFmrxuaQaTXMAxfxhnUy70iXRHYRZHDoRbGro34F3a0tNmnFcRcTMT
DqiF14lDm4prbvcSv7/7hsT0lPXicZ7rB5xRnz2b21rDwRcL7yWr8gqlmItPX85b3cyPJVbF5YCp
G4KHdZY68sfMRRsJXuzRDd15YyEyhe7LjoOUbCTqznOaeY/hNL9pgV8sA0KKaFUf0ri7NMI+x36g
7GwUSen4UJYjcJqBZC2pnAJae2X4zGVHYh7yseR3hmDhW5CX+33vI3cBlcZev9gUkfaEmQJtibNg
zXbO/BCQCEa+wkNNGhQt0yEJKimuN7WvspH4zhq28b0U8XWb4pgJuWyIL85X8QBhwKhalIejyzFg
UfW7Nm6iQkvWQnNe8jmFyAyVEly0nh08rE2rWpIoqBFmDDqMQCY5rDKbkDdBTw1PeuZM7e/cCafX
3DiPjMHIywjjxr4TXh8i9OvxR6F+commezCkxLE/+MhzVg4IgmidJeiAzuOEgRzsXZjZK054GBoD
eE4Xd1c7bfVs3M1ygOzRKilMGG5H3R6W3gypK3AMdHvVsMw9+6NKnFOmt2IxgIkjmTMChMGDEwX9
Q1cU3+LsowmcA2huMpzsdg9S62psQKi7SQHpStfWUVpxDXtgTHT8K+lkXUWR/jTZaCcqpmK5M72i
cK0fcOXehrl9axjE5lZy36PgHJMk2MVOQI5gHOxIE0ceWltXU58aC6FV3n7SkG/Nuf+oDY2/cGtt
I4WJH4h1PvzthR/I/SzIItTLyqWTKlaCxdhyqKttHDN7Art6KcyAJZuzUbfComn6xznLnjLH/MRx
kiOKqp/Beh4B7j9MXvQS5s0FxX68HDuf3d783DYq36uMdnBbvSUM+nUxdoe893iak/l5QCwBBuS1
m+I1I9ArkcQrrKAvmFq7VWBJ3BQ65oSsUSbj5iFqcWtUvd3y1tKrFIthhTIOzsRLLZiCNL17aqBV
zxGwUQuM9qSNyNCmZd733/Cx3ZJ6s/GgkFlgNMZKh/ThzuYRBDPgcrdAmTCcTSvcpMX3VGX7DRiY
W+W7i5XRDtnDqnQg7ZMP4utshIQk5rfz2mdAseMycM3XHGEIfWLaLaHFH0iRNBfDMN27MwwFRLDk
JjbefVGEV36tv8x+dMrEeGPRkBu4ixeiFt9xZu9yAbXFRXqMLZEHMLjPSFdcB4n54SREmMWDcc9j
/Ox10BAB2MBOdG9aYX0X88RVr8lLGSBfzVuDIV9oMtYKWKVkLrsMv2sMxgdjBhZX3KYp50oEAXUf
DJG+xkcjN4Ur3sage2UVdgkMOJKB5wQrjIbBMp9qsW4S56ryW/syW4j4UEgUN8FQJ3dVYWDexM0U
ppgHy/JozeGbURio6/tplwdC+3/2zqS5bavr1n/l1p0jhf4Agzv4SIKtKKqzZWmCsmQZ3UHfHvz6
+0D5nNhOV5kng5TfV6ElkTjN3nutZwVdZl7jsCYPrsLirKRXEB/QveHZnYNeMK1ulp4WaESfrii9
Xi7sNHUcWnah3VzNBsQV08C+S1sk7u4agJDMtKyDO9vXwO1OZc5vmWT1BhkdLItZszcqijZpnDM4
FfZ/R/7/Dm4YMfz1kX96a/5EwrYkWn078A0BJdqFh+YKpq7vFdNvB77+C8RUAyGH/i7l4FT/duBT
Mb1PUgwCSyidlmHKN7mGTTEFEUIXS/oN/Lx/h3ZYBia/l/Yo2HyaOgZjG5N0JJwBS631XWkvjCoi
+WnurkUr4BvBxYHEE5tyI2rb34nB+4wfYtzWFamGhppTm3jV1uuxEovETJ8SE8vxJQ7LngQKCPk5
vcF01AM4Pb24qehPjzfFWF1XVpY84BEEdYIkVQBbmVuwyHH6TLwIdVuhol2lh5RoEU2skE1wqepM
e4633fsFtXampifkQsvB7hidkO1THkO0qRBizyZ2QwsBftJuzWJKjGOej3N5H83gkxmtsFPAq4+a
nW9FKNwEvsZpYDTdlGO60zJVB2PNFWHISEkap5pbSOZC8x/i3thnvnLnwGp7FW2U6bPvyB7D47kS
oYb+yq40/NnV7J57xXGzqczSvU9ct2FMKyoMkEgEdwZD6O4+syRwKU56eZlMNzZ3teB/q6gtP82j
TdJgBXgnRVQcl+IAjMHSg/9u5e+3cofm2l8v0SdyIlmORZd06vDl//3fX5f18ppvS5SLt6NzASSg
l8aTvQwVf1ui5i9c1HVYdIL1wR9/X6LeL+CHaZBw+ca/7CxX5W9LFJoLH4/rMQ/FX4VE9N9cyvFj
/bxGF40pFHrXJySZmz4/xPdrtGvGtMDuOV2qLiRTx+s2ImweOjMHvm6qbgN2sXzgFJQXs8vz+7YP
mz35RP2+n0MDfgMWCIIvFuqDdW0xDA46CaxYifTNmkmM7ShZT3E9vPj9WD2UCppVVsvpxo8iUMh5
IdY+SS4PNlrMRu/JNcU5PSQxqZ/Rwisbi+gOMhmAIzYrasoQzLFhfMjxsu+lJJg49a0dsqWDpTxG
ZX2znezU3CCfSi6SYLC17frPmu6OkFy8j8VsJh/AU5TnmFbNtiNTY61lBZ0V3oJLYnjhdtI7f18D
ZrtEowlUK/fz/VgJciciy99XxdytyEL+VAKgZ3SYYkzr86seS1Xma0+jY4BhLfs16T2Y/OPqqPc2
GJJIDwhfO2aNdsJ68JF381yW1PkA95mpYlNAyBE/O4P9eXKhTQHTe4zq7HEJ3wyqOBoR0iT3nd0y
ZZEa8MDCEGs3ivbZDHtFc/M3K2JEByf46DbIR7oZpxpu/HTbIeHYxiEXqsKZn/igaUe41T2d/mtb
qhdvTvZWiF/FrqwvoWpvMKcOV4T1NivwW3pQj941qBSU+OF87ZR8pB0oOiRG+IKsF+RYCJuyVy0E
7VHG8ZEIuwulBViOyugAyjFC10bzwJDWQfg+Ef0U+Rc6shR+uY0Xzr0C5OwFpbBCqFLxUxXNt7Zt
k3MNG0WbZm01FKiIeD6mtevVmXexlJ5aLxx4jjqIDq+eiKOTFtozamaUuhvpYJOIhfOm0UqBPcJo
VlOgFZdCwqd40Ad5HFLcdMJh2M1Q8MoSyGXkkvUbclShdsbxrpws8Gr0Uq02m3eN4wxUNED07Sh7
rc3KZlyfKEggCrhV6m91PUMAnc28yUkbHjTV1usIAMp6ZIGvdZ5UK6ruZAHGYkjsw+TRr0ORpT8U
cdgC54J8XELqaJyU4afv5gtRAae7DlRMhW9KmftE85xD5jgPTRfifyu6tcgQYAuSDloH8D/i8VU+
9lTH0j1oXmNfBBMw/G1NB5UycbeEed8PWVmuw865QsiDdKdQ/loHzdDIPjmivj1RNgGyKBM+pQ6p
rvWpNcKLNkbEmBBBRMtr19XIjdd+Dt4bnPMKx8bGq+VLLJ2tR5uxM1kmVSUm3tj8mWvncRIMzTNN
AIxNDONCRqa1CXstvqOSJUnRZvzee+H1UGslUm43MBXVJvZnnnMUQcSZTLfKaMeVqqvsyHjAW/VU
5Xu97uzAa0t7pyIQAToxheAYi1MU64Izr7eOpKLPxzo1tJ1d1npQ1tWtCxtwO2fqqOnRp0rLrRsz
TYC2A4o8aPTM1tSGR43mQDRFIa6f6qkWafS1LfINvKnevhVp+janMxHEhU+U4+q/8/P9/Fx8xn99
ft4lwxv4ny9vfzxElxd+O0QNFEgEmCD81QkBEByv387Q5QZM54pmEpMDCy7Z72eojSoZXjADv0V+
vGTy/XaGonUy2Wg4+d4vufBm/0Vjy+fb/3DNxTLtMr70uO66pIu6yzX4u2tubAJ4H3rLPDdlXVfi
SpPvwRk+6Sc54dp2mkEzMK1sg8/W6ME3ANU0lCLFW3WJc/GkLi99SXjGmE/awXEK69xnmtqMZluc
qObye6iV46Wf7OoKUVD52kXdeDTzMbtHG9GcbHahYt1N4i00E3tf2pxjRtrglxM4IZ5jQhz8lTZA
t2hG9npf7jLTGDczvtmXYXCNr5qVzHdm6yacXLgZIPihFdI9H6qBi5rCTM2Vo6f5mjZFdpPnffhg
pn581wOvjO/11MmidieFUc+HuYrZaxuwSnA4mHFEyGzsXh96anM6VqhW1OiV6jO1As7EBny8viob
k6YQlwX92nW51uZOUqcftBQyLG2iTAjoF27dAC+1VL5yBlU/ZwTIHOyBoeRMy37DSGTVVOrodRUh
voUDvWpofOeEdLX5HKaJa67gT3De+nobrbQaHfJaJYVlkVHapgcVu+xcJe7x2WgBeZmDQ/NBpK9d
KuNj5YbWfHbSujt4THWGuzn1wOxyOKPoinkwx3Puo5DUdv/tCO87gsHw7q93hFNSRO0fd4PlRb/t
Bv4vyAodqlvDhdm1zAm/bQd0wEnNwzTFlZpRICv1W9Hr4l7gH8Gw0HPfK9vfdoNlgkgdLEzMXgI0
9b/ybQm2lR92A/jWYI9JKmGrcsEt/rQbGKHVcToKXIuzZjUfwPpJ1K2Fyo1NHGtccT3sRsm59TLr
U4WeEHvVKG91zVoTgS1zWEdTl6w7oRM8qDy3rQ952RCHJgYovb3TUqK2bXgcLYkJlfJkzm5LwIUV
AEOIrs/TaHI9sKxr5eIftgtoh5zfqMfr+KUUGA7NhYmIwjJeKV2jddjvEP7R+zSx+o+gFGMj/MTQ
Cxdnqadwo+Q7dDGTJfzFhcQ4OLSOyk3M3+quy151xdnWlLtXcIMTOwkB7sox0DuSTMJiqF7oPD5H
oBTWnZuH9KaLbTuhZyvzdF+n2j5J6CVOTfGiowRm8Bdam9nOPySR9mqeq0KdSxvqsCV4e+SMLEmG
D0bt3eYE1/v42tP51ujcD+OA59+LAhvCl3/+byH+uhBZHn+9EK8+Z29/sg55zbd1aC5R7zrGRcPD
qsjk6Lt1CIfEt1lQBOkw67H50reFyLiJURJOIcEX9fc1+ntpCy2ErDLo8KwcztN/cywTyvvzSlz2
AFajR64BR9zPwQk4Iymk68K5ZIOkTIjyOryfJlAGe9ckAHJkVAbOCdhzjQ4Okq482A0CS6fXnH0W
ognNUcyfx1H34fhIT99OvcLDsVQMFqWDt9QQ41JNkA961Jb64n1kMUl96+bgrxFdbf3Zo5GM/2RQ
QEnD91LFpWgppvFEPbbVvGFxQaT9XTe0B3OY3Gc5gRpo09gPRrhUkojIGWHgaEZ3tYHeXncZI7Um
KsYib/bdbFz7hIDDKL1NLO8y196BMv8ezOVOK9tPWuRVpyLkeh+T9BPbycHwx0+yi9aeFt/npvMh
SnB/02yIEQdYFWPu6Ima/WB5VZDq4ZPl4yqLySZUQx3iJxhGwn3ohSc2DXYLRWjDEGAlSv9UW0hD
s8bEJimva3oKMLuic53bn3GLXChKvxLE48DQK9dzOXKrD6sjoYhinZfd3vEhrCAA8g0T1+SMvzqD
QSUqy9hYQh3nUPvkNfGtGm1yk7r00EfYNmrRzuwCbIPegjokk3OdjuUeacFTRs+PAXq5dqxm3kZK
ErhTxa9tjildVYazKYhxh6d/lKTC7XLPvC4q29yMnYw3SdN8rMLYDqzma+8qfe9mrh8QdwaryXE3
dGK/alML4sn3L7Xsa5AQ6BYHUT94jQdn1Zd7GPi3Mmr3/tAMK3so12lXibUTFQzK9Eg9qwIfTWR/
EcgOghRjCZai+cluqiOs1+dJn29rpH9DYzyNFfi/pou/kgUFanPMYFO36XUu1D5rJ3/V2EZLX3R8
o64EHWg4JKpV0TY1+1cVNwgiHGsrhuxV0ailymoWInriti8DIqkrhCU0DvLFgNkhiJebcbFl8vvD
PX33aoZOgm9zwIBMa8YTEFCJ8uSTMgUyVxwtEhQF7/iMV3SVhASA0Cnb+hoQvFWYadGaYyTeq0G/
zCyGW+WlYpdpHjhrCleACebRslKLwtpfWTWvmZNKuzAAJCN00svA4mmjLq6tbJUZCj+plUwHNL9M
SSlUj543zXSRnRHoQdJRlY8RVrphO8L08/ToAoYRyaJpnK2+xlrm+7dYqiG+yPS6dqtkZRqP6HPU
fWNo2VNh4Kcxa1DXFtlzRthUgdfxQDaulUFGi7C9QOCfispiHsqaxajIc2P62kYUQB6MsR+uwYeS
NVSCY9HUOTOZbvqolfu6AcXIlBkRfPvS9IvZp+I+bDWHwu0tbAbeEWyMczQiZrtllRoLuK55NumS
rxxow+TFDkwMl4OyiAVUw7yptlolAeLSpXmtDfNTmufhFpPfGIzN6O2KmcSmLJPOrsyZhrVaqtOB
huBgmMvnGzKKmu3wVPvxTo7jdcKKAoHRH1OYEvHIb01nYGtE5clQ1i7Jwy4ofWhn6dygVfG99RQL
TFNezydERC4kwi0gZrXNi/w2dhKMjymIU7CwJy/qIyao+i5xsicu5btea++Z/A2k5UDVjwlIKozs
3PYN3vSeniMgyV1YVXu3b79GVsgUmcMDbx1JswYqY/PsTflD3qbyyo8H5qVJuypteO15SepERAgD
2qJHrj7b0a5Ofei9TaVpoN3Oj102okoxpp1w7fv/bgi/3hAop//uhtC2b382oeJV3+4I5MH4i9zD
Mi2TpbbILX+7q4MxW/5vms7vILPf2982STGevUDLdYxHlPVcH77dEWCV6chXULLwxUWW8m/uCMgD
f74jOAY/mAOuDDexDbvhx9p96P1J4xY+XhR3XxHEQLPQzQt4g5FKUC+Y4ambs8gKVDoM2UejN6AH
MFhLukM1JzrGXnfOrlrk2XOQTmZHSP1YFSWt68JyndeJfNMlUb0J56CLGrY4pHn7yTUi/6uv50Z3
r9oWP02XCDvchGqe6TRX5bhoJbRlCFS7kTljh81GCJ5zadgoVvtoMoLcjJo5sIWRQ2wBHYlALDPA
TNG93TVDZDsfpEEAyxaz8YFBGhsO7B1YZ2DX9pOl+vTraHkTlDVkdkEUpdTShODo+xgs7RGpi3xJ
4C5sfNLatJWq1BBoElHhsKDN0NwAr87xNVMM0ENwUPrNc47uXldazOYc2TtHxV/dUSO/sPC+ctOB
B5NHeSAqvkYKGbSEoYddKMrxFEeQSb1lU42S3FwRAYtttdEoCQQ8JhP0AJBwckRXDfHhlEAkyxoq
0fc0OrmHhEAJDW/Rz81ldKwaTd7YSsYrORn+zquKt0zMzs6SVkQvfbB3bdklgY5BmmubgJnu9PIm
0/HC1HhO82qgV1DXYwB6jhucZ73FoBT31Dw8FuDIoB3YoN/LCMGGq71UGD737iz7Naert4ub5qsY
wxAUJFckkXPx24wNcROS5uiuLPP2SDRRujG1OD3zMwNvKt3ymI3DOulTWLqk+SEsHNWt74fObvTL
PGiXLJpyzMHtNra3GvsQSuXc8GN61idZZKgAaqLYm8bWCZkUgBxJllt1FSzPHjX/Dvp9fYv9BsZG
NHa3IuFGMiujxjqmsMag7JPbWfenoB1KoNn2VAWTIXqgqmRWhFOR7Q0JcohBZ77/b9v8ddtkXPc3
22bZ/p//KaI3+fZnfQ5e+tveSW+TwooyxKS+ZUr4+96JVNpHQM1g8F3nt2j2vtVX9i94JZd2JO0C
LiHftz3N98E/2yoiMoFY+l/BGCj8fuhzkOCFOJCyjzkDe7i+fP27rmfqCa4bhZ9eo5uZHUFq0c6u
H797Y27+KNb/OZF1qQWRYTumQ1fHJj/b4T34/rvUIWWZMwN56Mo0kZvS0wvAeI3y1qFlZkFqteDm
uNsSCYs6rye8aC3n8DRQftzpVXwrE9J0nDi5GnWd2snQnLXhwZaSRqKv9Sg+jGZ+6If4nAyM93rj
Sp/HW9By53ouEY9ZFzQLRz3NMBYNizhNr/2tWLYXUgYVhZv/hbhMHM9Zzhc7EliBl3xN0BMQq+CC
qyGNkGixkNdPghgaRfaDexy1GTbVCJuy01rQPr6JUrqfOTWyrsDHZ9ofQ8sXOyEd69nMiZ7Q0Dvu
Ej2L3SDu60oGpWJAWJYG1iCPjIR95IM6PxgW/Fpult61q1rFVQda+4KiiGOAk5XlfZzN2sUUaspd
o82uszPKERsVQyIO3XrdO3mnwpVORNrFq03tzN9fbRbxWrZ4y0qt2HnctjYuQ2AOAYQcjfAYIUo7
O/Zolr0bvl9rPTsqEvjcVTmUHKPWXSkaZ7qJDbhAdaT8k9+44oj/MHqiQW8/DkzxgJspgp+7orcP
Hkp1AjBNZ5yBQQxUddjpfdSVaCddVBEBUQ/2xqwmtJs9GRB1FKnDYDrDtd/3Iuh4z9HIze3nlkJ7
UrBt1eSZKL6Sg8bML0BJQz+MdLA7zKTHVFcy8EvDv0PHzfg2RXfpKR/tf5Wjr8/szVAaKFaSRy8H
JsdHN4AUTeaggblJIc69fpJTcnQJDQuYu827rpPGuvBD+7qNB5PM1LrdudawH+0CfdhktrcRl3xO
mPycFPI8NG2xzZvk1i6dgxf36SZ05b5MSNuKLP2m9cf7Ds3iB8xw3lccuPQGso07Tu7XMuk3Tt5u
srA2HnSt30ZuR1xXmSH1zLeZx419onJp3epL23ZvRdK8KSAJtN02oEmO/pRv2UBw2s47e9LPyhs2
lt/tmZlczbTqo2Z40Z2eEl7bytHg/KG136tX4ECcW6+h3hub0ZUWpzihQpkzPDlu8iJn1w7cNmuP
VG9028f5ysxJeI3Ms1v1G2R8TxUfX9tZ3Ok9EYSDuyUsat/r89MUtkGUw9Gs9XplkeJAblOhH1IH
pJHBuBGF8Q2/451D5NJmSuaIWj2Exj7oyTm2AQbEoXnbyaI9j3V3grvJw0y0gqwnHdgqZ6OXq5PP
ItJLsTL9ZjOR/+BV1hVcw0dt7taZI+57M7ot6uqKqQKgPf8q74fb2KdTYFaByTSB2xIjToXsM2Wi
ue4b5qpRo19nWvZcZsYzs91j0manUnrHtDdu59HYSND1AN/Ojp2ua1mr0ywEdzEuCR5BDHUm9v2i
uG2oSuOJWKZ5PHrlrA71XBRHokS+5CoUYP0Kic6OdC1nsrJd7Ve7sMXTOSut3v79zkvMzx/3d6Rj
7+Z+na96P+3vsTLIiHMlXOoayfAgfYXbUmUb0pklEE9r3IiBXIUyzrk1zW9GVbe3dZ3pD97sIZye
pru+Sa/0KdxkvnjUp25Xx+5XeIERQ2KsxQTZkTuo9G0580zLMIHfD6125EK6smvsMMLr9sDPXwiE
6ddJ2n40RVwHWBxROMPmY1C8Hut1Ox2MKqM7ERY7hl7QEgdCe8tdm4svSub3ON2PPcEAcyuPdQ9d
qiqvvNb0d92oYF2rZG9OsbMmMHjthkCzYzvdRZxLoFbbO1v1xrqK3aMe+6xrFF643tE2pM30IU0G
G0Yo7R9TmRc7IXC5dhksTUl2Hqr5OmaylI3OzsGSu0kkus93MYNHAEOOvhvfROBE1ZWMyGAQBfIT
OZ5kn+8519AnVMBDS9Vuy7S5ZKm8Y/5JC4LR+MYttASuIpe9prlJrHbY5PPCToWjYSuY69GUfAbU
dErQwNBiqdYeDTBoHEsGBWoxWIW28ZTmapNbxLb59n5kH7LaEjW5uNJrfUDQo30JDXdeVQjyKcSn
VSZz46BVy17WXSXC/WTqEt2DIqaE1onKTWOdognAFBVdrJnpGXy6JWIo9fbEWPQfS/ieJzr9zVly
k/0HAyHjnp8vIi7uZGKsSDXx7AVP8f0VgabEiAkqJw6iTzZWemzM/tfh/F96Bn8c6fBXogIx6COj
s3xHT/000rHcuYC2GkXX0oWX4l6SPtkn1R3SKZ4EuU7ceuunwT8sQPNHJ9ofv+vye393weqrrIMS
rGlnXRX3Do6PleIPnIqfqO6A1TK2WXee88h8EvEy0VfDBAhOFuOSpZGU66KZP5WauEo6W18DF9hK
fzRevNgWm1xPP7iwLTdRpk5C2k9umE1IqC2352kqyqCfRRF4lcY4tcL6LAqlDv0krJeyIHYavY0V
JEnyKnlWg1p34w07sNp0nquvKanve1vONPqyD3SuYAtH8DNU94Wm0J5D6aFtmq3bjsSFO+ne0mON
RjM3FDkWxU7Nvb6uySRhVr0MsJPpzowLMsASIlStCE+Dj9m9Hb7W7Wgibk4OjU2w9mg/TDM+fD07
Ol1Jw3RB1yWhhWGrAxvq9uhn5vREZ3hTqNDcWFLHVR9m7LL64wA8FU5hfvbiaVc0YzCEM0+wHmRd
lGPdqjZlmnurisHvppHhuSIqCBAesh13XnvRdI9WlAtcpT30HboYy+r09Sy6nVYlWEn68rMb1ajb
8ltg4uR0Td2qNY5IBtA3OdZe0FzcVIjaChXvp5Awm6HprytMKeTswERs7DcE7GjDgTfVjr2LKvtK
oNX/h8ftn55xKorvn7bR5ooBbkg7p1fFTXStbetT/ZFs+4Ozd688jp71K1YLmpTn4nk8/f03X4xJ
3y3hb486U0kGuiaC5OWH++5RR8PqFRlUwXO1cVbFlbmutggLjZP2KLZEPX+4aOurxyEgyXz4zL/k
tbrSV8dkG17DSsv/4af58eD79YexdK6XnoVLCdf4jz+M0kd63EYaX8f6DaTMVaI/NsOvpe9f7ig/
7ll//B40uL7/hecmRwYVy5jD9S1q9r66/ft39E9/B8HMSyx9NFpcP/79+eTONOFrDm/tpvZZDw53
zl93qP8szstO/Nfl+/lzk1Rl+/mPs9Hldb/V7sBglxkn8iO0CpiKf6/dF40C+Qs4f5eG6CJm+la6
C4IVebR+MzPTrPzW9oSjuCiBqbQJdfjXHMWlP/DdgkOZzyPIsYamyqKPgIjix+cjbbTMFLMZX3Kd
QQByWNCgk6EDJ3YaLDM3pTY6x7mv3Wc3tkceUK1g+kVQ0fjUzKL96Md2ee/7iTMTJNWPJbl3onts
rd4gK5Fsu8CNwffbifZxMiFKTBHQO2ma2dqc3BsPC2pPgGo/4L2X6vMYzZ+JuLVXbPZu6+UkRek7
U0JHMxVzBiNzg2kAe6Q1R3ZaQviAMXPjJkWIcNvPWd1wNDD2QBwYLYkskFORCkqUrt6SpTIteVre
yun9gx01zWoYYcDk7p09OHd54sK1s7gphtP17KEg9Qfjc13U95VlPsceI6EybDDqFGlPItdMDmXi
52vqWm6LtnOXuuJq8NpPEOW3mVvIK+gupz7OcDiFJpFercDi3URMzcbKW1dzdofdCwXyXJ2tZihX
xPkZZEos6k/YSMSjLfMuyWixsyhupyKSVwUtwFlUn/AFDOvW0KtNrzdvc9sopkuTRAfZ72Wb4kGE
qp91m0qAo1Oav4ZJM8FGMrcESTETTHkPMCKgb8Sdt08K/mQPU4+YsfxYEGggfDhWNorOSr4aWfzg
luQedl1qXxGleGAudwviDYqwI+I1s/GQAAz3Klp0GaW072LXfbAbEss4F7+4ZXGaKfsr5VF26SQA
FhgZV9VQpmQbTqciMdadPjIYLYudTDSqKbsHXInZjkHdx9RtueW6Y7I1piRwK0JtHXdcayOK6Vj3
tnYthut+CUoTqvVQftmHDnPVR8rzCVtTfzsjals5VnxdALIh9Iecv1T1HxqVvoTDyHkWN8SA2PoW
1vEj2sJPAmqf2RifZR5xZV5+DH240xTm6nC+yIzIy8Tc+uEND2t5bQ/9lfSzm1m5z4nr59sCQsy2
mRKAPFisMGyoU+fy2BlOelWa5cZjXEc333vURKwtCK5kbaRTuNaahSCUQSrNLyRTngCT3QytR5bH
MjSOhA2/sH4G5AvI0vyQdzJauaU4VoN7UckI/M/tT5pPCTbU5SYP2wemqy9EAZ4bt38zw/yh7cTB
IBAuHTKoo7FAgiP9ljg7Pge6uV+kMbLEZlrZ3iQZshXuhV8e0fsYf6qRI68MPb+YoXHDtWNb+9mL
poVrr/TRGcfM4nIrv1k4IVeFFZ9E3hWPsctRI5U0V5peyJMG2wUVPKSiEI3IWuT5Z3rjWdApeWu0
4ScSNtSaERGzDsoQ35uvZNGdewMke28/Qfj83FkGUWN809G8TWE9ypDQKbKTWqnvbMveW5VE5x3K
c8/NfYWguNiqrNjY5oI6QIuvnPjo9511SoymuG1hUyFKHoylwC5IvoPECBygpuOReo99XkjaGjmp
2AS8t9ta6t2OEpiKqigx30y2eTMpG/1wYlzHLKw1n7kDEgVEiTPgbHI7MT3ONY4FMM3ylNqps+t4
C4JRanJvMBNeVTTarFWE60lfDW4X7zvNYorCDZc4zEqHp5kCdHw/nf47phe/zN8c02/N69uXPzmk
edW3Q3rxy+OPI3N4EQO7CP++H06iNoY54viIkb5nHsIicTHJ45PzERb7yCZ+P6XdX3C4WIKD1WK1
LsrEf6ErBp38x1MabTOCCvx6JufJT6e0pZkjxLEsuxi63TVHwl5JNU+G3NYe6ZGKhRjKubHu67SG
w0FMDL1srpb76XDQw3RXIOWNqZJScufiJYCuIokONFJz0kEox59CWDg8tWhSFM33NTT5i8qI93QY
Bu4r06GyRVRI1u5l0uSwAu/8ORTkgTAMO1U6bmV3okILm48kYmLCIUmt96aPsz5+cfEFV1bJXwB2
Yx9NDmxir9zbrX+LJ/XrgOQ3yNOcrcYg9LEau+xDCMkO6gfHgK7ow03GxSvD2zGH1+Eq5vp480N0
gt5+cJll5tm4xwP8ZFd0y8YSJwboY2ItynoIfJps+8rK6erSnma7C90gr+NPfVZ3m8Ih1jZasKnz
st5Io4De/L4Ix2U9xu9Ls35fpiDN6dovaxeTeBVky3rGfCRPaMqiO7GsdndZ9+WyA6BpdC7JsiuQ
QWNcKzaKetkxkFOTYL3sIm5NSQgsrt3G75sMDgf0DGw84bIDFctehGCHDsuyP3XvW1W67FokVFkn
r2rgROe+aiN+hqJOjrbQXOPgZ62WbU0cyPDSMuPFqC1708OfFnWanmOs1mggIOdjsI5RuCwAr63u
5Lc2So+RKJIS6VeTvcmyf6xhXZe6Hm0IVt3JjlAUTKLnxtfO7QLIjiFlO5W8m+LiWEHQNrXsKh0Z
DdRm/oD/aAwImCUeqSYeV1wX+dR3CLXQizupSswApZiFasmJ0/nMyJ9MGLg5WYUs1LKH8JCp+NDn
ZFeC7iuYWJhekM/R6zyNqEh1Mp4qP8y35XKSOn5BwHbjvDp60izHeIY+vGs3VjwFvYF9LVcfIBlO
G5SpDv7tIYW7iWoH7d11546kpupOuUcNSB4TitEp4b9EFrWKDT8QqiLYT3eKlXSITwDVPIDyS4aN
PunXwsF7mjXE1aqK7raudyc3mbC4OdIMEtlqjMTNZ3cyQPKq8n5cVLe+Gn1ocK1Y1YzM/WTRv0Eg
XbVCvOVh9EWWXFRZXWvgxbQVtfSmdwqkcYMZGNjhyPRTeVAai+OzHP2tx6OvGzZoOr3pkBM6HRcW
jaChkf6FKLNj0Xblw3/nx/uU1qTo/rvzo/hSvibFn9g7lxf+doSYjFvJQfVMGxMI3unvjhAMKO+s
WuItILJ8j81dOC2cO5Cm3EWKvihXvxV6MLBoPOj/S9P9F8eH4/7UVcF26limwGSG4N2Hd/dT21Kg
8vSQiWgXgwes77h16/b8Fo5M2zJHuqve0rdMVraNIsoKUEXV3PlNrt2aYtAIqRJlIe6iyKf15aMD
2/St0TyGXiLUq6Nx7yZ4LF+Zi6AMbwQiM9Obd1ELJbCl9txhO8VuvIjRkLNPwVBp/rZBqVZUmf4a
1YjXanOqtuUiaBthn6+GReTWlfy31iJ86zOzea7exXCLLG4GE3ccC3FM04ZEM0QtxJ/QAERN15v9
C+hdblSL0I5wPiQkaO88NHjA4vxVLpyAC+Zw7S1CvXwJgPIX8V6jUI5CtoZfC9wCDWm0shSoSo9C
b2UuAsCZIYfZTe1NSjYurphOPlE8qXvDeEzsNkFXl13jZIs33BNusYbh2DONMx5FaB9crYFiv7YJ
MbEe/UW7k4SWLWJFscgWO3Jaj8W7lHERNWaq1YP2XenYUHByIUf+OFRMLflYtAsYWwDpqCTJerfW
XcLhsggos6EkJ3ARVQKaz24ndJblIrj0F+klQQK8KJvnZEsJgQR4bRWAVtNFr9ksys35XcQ5Tba3
ad+lnWmMqH+F9D+8Z2+tdsN7iAcPdnEommHgMozoMnQ175zY8MhWHdFGGahKrzgbS+KR0cdPMgZm
GhOGFDVMGsaWrRGm81NmdFEQEp1EmZqviZr6/+yd2XLbSNZ1X+V/AXyRmIFbggRJkRJJzdINQrZl
zPOMp/9Xqru6bZW7HHVflxUqGQIJZJ48Z++1j1kQge5N5lMmc5YiApeixVzT4u1OM0pXyXuxWeYd
DIcFUYnKYO2bgewmTaY4Dcl8F8lcJ5yGW0MmPbmN46mT2TsrY5YggLjHEGGuOq0nx6sZRs24HsxK
uZp1G6ktaqCz+UF3buj9ihYOlu5pLSwvLL3dEQ+BWPc8aCckMZbf1GZ9sAw2cqUstyWgAfimS7+F
FfeaDQzxxaTCepzaq3GSuW1DqPqmETg3iMh9JXe/aUpLJk9+Kfv+IVD067aymVFoSnUzK/G816Sj
n0V8p5ijZHKY2b1IgmDjOO+dMh3ijGGOYR/nqGSHSqJtPc0bi2qLeyZpoDia2C2XQTmYanzMI7Kf
494Mrgunate5Vel+H4V31H8hUOps3xBDmdZ8ScQsXFUj2T0KkZUrLXXewn7kDbTi0zSUQH4LDnNK
N+Se45JzbWV78EQbp2necvA2I5NOFJ7fLTtmacl9ukI+IFNPDG3JOFfcVlDroyrZ2/Dr3BGjpQp9
Juro6Y9T9uBk4sSh/wHTl8ND6pbWKUBHeBU4y/eqVm/Npd/LUAU9zzdWR9qQiKaDqaQeKry3yNK3
VjNsoAVBmjWdc5sWt06pfXNT3uE80987d741FHKG87q6nusFiBmhC3zHDKPQbTPBY+rmDYR7M3jM
vyKEuse3TLM+TfZNH52XkiBC3KkI2PcEKu7svPRYSDmYmuJC4Dw5u7OnMZ8tgn6N4ZYQEGVLs2GH
0d/LK3DT7eQrppxravFXyyGqjmAL8h69NMKiWpWnohLOphDlFnQgU6Q+PGskCcZDuJuEs85L5QjL
Bm5L/MbQcjWnk1fziiCx9IJGXRsu2fIduKPsvQz62wnRR+KI3SxAMo/Fs1kzvlzg2Rlco2s8IyBO
GJBn21mk0plrM5xujcmVqBttTYoyGtpRbHOj8dwAtzegX0Rownfc/PtMD5kVzidBymsjZ205aM7D
NtrrKjrCpXkWascR3bnDuvfsRGCThvnS59+KuXqvBSBXZHgrW4/92Kr8NiCGPjQ2EXTcUI8uehNd
l4N+S7Piu6p0K60RUGboFAmxU9xh57SKL6LsLiFmuAMERWuM8wb2acusNoECCk/0Pq/iTes6vqq3
V3owc8F6E1Z8YFPRrss6KFY0QL+OffnMP2X4EwajuTUq8quiem1Howe08a0tWq9wlEPWlXvS4ZDX
YEEfmhRALJtEVMEDc6MZu7Jlb7VueMr74rXDDzHDfbJtqL8RvoSya3YFTm1iKmjtmS7z6OF5bMRT
2ZDEqqjbwJjoVgAroNQMi46kQJOn08ZSNVxgkhwqZsiD0t9lsb1zpuCE8XBfGPkV2IPrqGT+U/QQ
iLP5XAVizwsGNdu5JI17RLL+UlloAxoGRZrrPAQNlKKmPRWteYu6X6yAJ971prkeKurrZqHvZ2bH
zAxB+dWC9JfwupEL1VI+z2l30BpzW1EK991If3f02lGKeosDOREP0mipauVB0Yi4JvQ8+IJSNrtr
UQ56i9ZdNUzWlhHIGu4XRUm+RaH1kHS5vdcYhHOI7F4MZDYarq6kxOURq9+sXFkVXf2cNtFeaOqJ
9RaFZpNu1bE9mIscopFi7y1CfYnMtvJdPb3Pmw6m5ZRuU109JykRKSm0dopk3UestgtIER41Jd/E
S0ladePZ4UiY16zJ3DCS04rzFFrbJJhI0J2/VQqaImLGOyCd0vrGGwBrIRnsTd+HmyZSCk+hQki7
nmghNgkMOrtBcb4NA6iuWBCuavuxmDZFCcs/bzlVh9PiT3lxmLvw0HTmfWlikGjItyxa+nu46Eki
V64KDfQ40YYqZ7tGLfeZ0l0vtNjbpvraO1Ii0XJ6yKbrwSBgPhdsfz+UtL/Q130aE31UiPQyoALq
cur2ucHQjU3T9HGhnES+i5N0Vaa3SvTvBtT/nHXJ+ft/KUDMzyhDGeypqoD05SBN/HnWECu5sExD
VU6T86UZt2P/MpVo+9c5gt+/vp1fFbw/XumTEqAMylmFSqKcNOIZDNptNuC8ZV9aj0n/GpfWb2am
v/z0eJukMV1V6dD8fGOaU0IvyMrwPCivXX+ow69F9vXv3xHVMsUyl8Fm/ukSgYUPxuVQeiZDgGDr
fp43GVHrebiNoZtq3W9g3L+4Izg1HFrI/mIq9NnJPhRWq82ii8+YdFexjoIYclL6m3v6NPuUz8NP
F5E//2HY2wZKZ1oBF0mYxnTNESv5+q8/td/dhvz5D1eADkgLHSfSuamuyQ/y0vI+sOPfXOTTwPxP
t/Hpq6lSXL5D3sbnSSE00CS/5gykigXuxWQ4RMpw3/7mir+6Lax3mKuwNZpYKn6+rTR28rggpvxs
15dahKRZ7+3g+9//6DBeWIal8xyQ4v3zNQJTVyxnaJIzgEPai5ibSm/MHv76Ir/66HSm00wfVahD
H0CFH76fcoxsO46nhO/npbBIWGtYbGmPBHdJfzAQro/B5a+vKJ+pT2sQS9x/r/jpy0Irg7ZOnZOz
mFBdtE84U3+zGKg/fzvSjGKqNnYVEkBhVDB6//mTA0eCK2JS83NybPakanj9Ne7DjXmJbk2PxBGf
BAH/r+/q50t+rKw/3dWnS0KgzieE/sl5sBDT0ArSIH1p5d/TKnw86JCb+EjYOU1Lwq1+fJushf54
h2LoHNTES6kHCfD56/uQn/7nb8dQ5dPmukgWPj/YFX54dcakdrY5+s6ORrX5GhvE8ybJb+7lV5/Y
j1fSf74XTsTEY9pWclbN98i5mMFdvfxmefv1JYAPqMBHLLxKP18iVtPBMZYwPRfFyUTFMoHy1Hrr
N1vdr14hHrb/XOXTV582Q9RBXEzPcfo1UxANKpvG8M2099LurKTbzPzNd/Sn28IgZduYpBAhEMNk
fJpFQIi2yVAts3M3bOvmdbTI/rv968fgTy/pp0vQS/vxQSsIm9GtqM7O41KsVAUmXmL+5mP79SV0
h7WAgoc+28+XSKaJ4DJOWuc2+6ose4bMv7nAnx5l7gEUPfhEiW9DQ/TzBVg67VEtlvxMnZf3JnP3
fYzsvXDfPz6rf6Z6Gq/kX3RlkaHyPn4G7slf+qMj++E4JIKZ4Z0pQGPyox8ch/hpMNNoiKL+xQD5
t/QGxyErD9pRE6GzlHv+pyH74UWUcSE6RA9HE1AO/kZTVoIPfljqEN4YcpxnuSoseYH3Ufv5+ajL
2uicKInOdU/nYld/+PpM+6RiGGMIEX6Y/uBrjDgAiYARLvYLaQ2ckQ02vvNhGRw/7IOj0+4wyenB
G4LzRGxg5WUK4YIGcBCV5hi0S+R84dlIi5iAz9qIoCirkIxZkxZzyWIvI5tc2tQKm1isYbasjgMf
9t551cy9vaBtjetoZ489z3KWmGRLTRg5dnXYuAnwgZbJXD1mzSk0pAm+1+fR3oSOKHHWOdZaLF2v
vJux223/efQ/BhIGi/z/fvTvaIK/N39+9uVv/fHsA5sE+apqmPo/ojB4jH949onZUV1YHCp6QIcH
8w/ZGVI1Nl9eGBTOKoEyrGk/TCM4dQgJjmfIISfkf+Ph1xy5vP53o+fphwBPVWnSp2Lq/ifP2KAV
Wlcr7nyiwG19oWTFpoWShb1fd4L64IhkMmE+mQr50kFRwd7o70SOht5Jh1Ur2xZxJMzjVBCBNSRa
seohPxu8uERL6/BZ1c69scAn7iZ0VhcNnsIK06tyyOeQ2W1SPruLmng05r4WNXZJ2LSXPC6Z141l
tlYqCZ4L7RPiMeAa5SBWYUXfIS5H/P0OUII+DiH55NqFSPFsP4DcQ3dj0qqIzB15XqRT6EG7V9O+
YGRiFaYXV+kt68H7mNZ3JcTzKh+bdYNxdJ9MynQV0nvDw+9WJ9Fbr5Csbt2afyXAEQ8JbUTH0q/b
Cc9HMLrXwuCj0TU4j+FwEenymPfVg5vUhzhqX8EHbRPS3r14IXuucJIjEvFpRe7I9VI532A4pkxB
6c862nCYbUkCzDBPKLRuV5E1+a4WfE0jvV2ZTukHQDptpb4utOo5iQl2tfUqAP6VNxv4EF+WWLtR
YURsRqe6jUG6e0AZa7qwOiOXrdIXHLwjrhcg8fJq4s4ctdk0VbnV4AgKd9xqTE571fXVZnlfHCfe
mPYAEAXPl83AniAPWm5F31aegUbAI1ai2rlARlc08Z+qHrEP06l1jQ9smDQTC8d7YMMO1CoZKBC+
IZL/3tthubZTs1h3xlL6qugy7LbaOWhma2VbyAmqpLpEzfLm1G2wUhlIeFFGg4BwLQTIVomdrHtM
kvLSixyXigXt08kSf6l9M/uI80DBqFqXaQyfOgJD8Da3h5CWFFnHOaMni8fVac0ARHbIRHpexM7O
iniDAdhAAgdPIa5dGCPJGd9g7dWtdQhGpyHFt53WnRm/gUIJvW4o3+xJb/C4KPG6VYJlF3SlsUYu
kW7wUdMH0Ho6pupSrScjNADOhHd2YPNMlbqG8yK/7iQ7E28AFsQJnmYsyZoITA+ZMl6gRb2w9Aer
QlI4TXCcuaXtUERjewrdE+3Tdp0p6D3sCPmYnJJYFZ1zAkwicDjTqQRW19DzXM1AQPukf0py/UsF
HDQxeggaIVhSU71ptDBfMQa8QXknNolDszyQlFGkDGcsid8SgxRFIOW4COcvY+LeTFpxhy0u8Uhy
e8nIEGDMBsXUkTzTKkS51wUk15X1RZPQUwI73xOJQZ21gA78aHuaRKS2EpbqQk0tI/CpOnCfjVKl
T3gjnoDQzeRrQ6URySsaOrqLEsNaSSAr8WfXKNoe0cceSAG6ogOO/HwykbNWV4GEuvbQXcHD4f2C
99rBfbWT8lg2ebYabRqyUWg/d3RB8ZaDix0kOLb9QMiqPHh16xonLS0dZV3T1vz2z7b4rzk9Rfz/
3havy1+O6PmdPzZFEJF0HanF2XY4w8I0/8+mSK1osVGydKogJThO/XdTZA7PNomE+785VX9sijKM
isrehav+7/3yb2yKALE+b4oOamzyZsnKtWyaO/LnP3RD2oVTaW/21k2oF8uRrCFRMZBxotoglIMY
nQX8bo/1SgHsna2dLrBLZsw5AdN9nHzM1ASrWx8LcqrR3lh26LVwGAwmJIRAMmnAp8pkehnNDK0U
KdXh09jnSrVeREhW6yrFmFztW6Mh3MEdTGu69IlNzGOklKFvm6Qb9lPxpAkmZ0gZdp1UU7ftAPJ5
wCxGRDbhDaHS+kEv7pMCCmZh4U/OsbHO4raYEemoKkmyvF+HqswPRR0c1XF6nDHvYIpGSVxV+bav
9qhvGaiESFxiK4m91CYNKgMhu4odmud9sGCAmxaC2t2zKlA2QWReKT3FQwWVB7ajXa3H3LlqaOhr
Uv8T98Nzx2AXEnF2yGNhMlabz21ZzP5oDXjfevDP5Cl0nm4v0zrtGKBgtSJXyWQO4Ahtg/l1XmPh
rL3RGb4pxsS6GYc4PgO68YH6bZqI7wTJ52MLJxqEERkhuyRcaJXH/viIQxxkfT0e255z+RAj6mFh
vlNQHtd2r/lBSs6DkhPsQWDWnvZRuJqM8ibRylsIFIRBVIcYh1FE1t9qQBes2mQr9dkXY2Y7aqJh
3emIHrIURJ+heEMVXhlBzk7rWCvsz9CMuilBTl6mvjPbCmri7jonTcdPM2nMxKishuFTj7adBqkb
b/VZj9eKFZ6p8jHvuZ2n1t3V0MNGrkXzFJbM25fUPEAuvevCaUOa1YDBGIx9kdyGLOmxqa9TO+7Z
L5d4E5hztqoMJdg1aRB5YnLPCK9syMr6e5mp7U7FZUEabXljqkW3jYjDLPT0gQ7UY57Uq7KqT0pU
MadzU21lZBw55A6cZPnjCFBYWvB7ob+Iinx7G2XeMGZ3U2rui7BmeZfD3MihKzu3ycCDrkUHTKew
xFy24mgcnwqOietE656mYHxUjRYCORo5kCrbInJPSWsS94mWwOy+TDYjxJa0Ra+302pdp7BBHTVf
611/FyQLQ5NEBQQ9h/uwNcJd3dW3vbW8MIp+JbyLcJYYaBxRKzWcL0P1DNE/DDGDWjXFSV9a0ZWi
lFeQbN8KDAgrEdaap5XqHQ1gn5Cd+6oVW0UvzyPYZnpJ+h0RS87aiUTOcUy5CSPjOrYrxSMDwZ/i
DGEKtHTgZm95uEw7MGi7fmgM/FuO6xXAzhmpk8vSdQU4cBwFs3T3Z9PiHFwxO2syJ7ehWBqZ+ubn
o81DqmXAll3+YEsZSYSbT6pqMHiG9VY25NXb9gND1uiqyXXSrtXpPY3dWzZ1e2VRNTK5m+ZVu8zf
xwF3wDDgXSYmxfBoNWKIaKU528awGGREDAX4Jkgot4F9AYQuq3hm6F2ankGiTRpOb1bUFZvOKooN
mHQk3/W1qhjvKfKAdTkBmGlQ0XhmZ/t4n743o3EIy3g3LyVVTkjoUVTvbR1cQDWpB9HUg+9MyrCm
NccsXDP2IXyaFfFwGE605FrFxE3U2XbukgP8C6aswSHPkn3U1XdBVH/vJrddF2NznMvgZCnVfcWp
Hv0QQk/BxBPEAeteEzNsBRqzsct+3CZp+VSU3ezZIyjejLrTDOBfjRjaEfWOj27bIdcsQdwMBdIN
kGovk97pvI4TOXcUegBfSs+dNKz9c/Skje9jAxAXHGG8KWbjEFn5yzTziaouI+Sx07DWl48fKC69
VR41g5Zn2JmICWwmtDpz6rb86mrG69KI74PKw4AD4L5q+MJwAxLHnXXES4QFoVO5fR6SdAOQS0Vu
OCpQLoYb5Bi33Crqrei0gD7zTUMaIwdFWy2ZfbTZ3NeRI/YED6IRCZxpb4zmnVYFz5GNm7rJ4vd8
pGYKjBGzBD0/GUv7oBc4nxl7LehEPqIN/6mS/tU84Kz/v6ukO4AD9Lb7X7QP+L0/KiXZPjAY1CKH
t+hhSmDmf9oHOvUQDTAO5joobalY/KN1piFmJIiCmZFwaGzJlte/KyVD0FWTnQVGIoK8XWYif6NS
wgrxuVICAQO4BnMmTQn+lE/NM7xl7KSNVZ6nRth+MRgyg8EAZ2SMu8jmaDDM8tArRnHiJsRBYFun
SRXb6R58Z/kMya69ZnYDQkPXa4ZNlrEzp769GdOg+kYARr61M47pUWbDOwyBTHmVq2C1yVVlOrdN
3p2QVRsvBEp0vhpQI3pBoGbrpQiKmzSs3G9ANW/nKSM9QlWVK04oOGgdK3/onNl8QSvW3I2a2V93
bWTvaRNAfLF7BNyqOZePei86Amxa7b2ESfVsiqzYhWbrrhHktW8D8xmEM5yW7YYztJ0A/u6jobpA
sCc2Ju78MA6r9TCqxnBCsWAMX8uW3eGgUgvMk9+Vab9VP3py4Balu/Wja1dzGGtOdlQBSASOFyGr
cxXUi7Lnt3Sk6Yw3jqvQ0qNWjCbDL7PRsZFHD9WorE0tzOKDpRQI5eOe81syaHW+0VAqu3UwvVhj
pr8RgmwCppxg8oWRZV7NIDXvurFc3nTTJA4Nhp84hCPy6DiE2BVUQ/iFJyn2RLEsb0EbLe/IrJ8b
EBdFGF8pdomsTSVahExVNFXVGKqoW3oSOMjDPITIzI5pOWEk7lxwPEhxyDCPxzD2W5K5AdAMRAKi
VHsy7DjbE4b9oKd0ObG6U0pLU5rpNN3OSlrrzomqfN8p5BNWorZuJrcWcMik/0nrTEbKrcjfW8AY
XxQbMYeeocKqppwEaxW+Skd0+aAo7YT9p8Z4MAVx9d0Gybqfq6AA1ey0e1Ms1mtI2NZ6ce3kYQrS
5GjjG0JxXycvKoU+VEZ7PrYpm9jST8qBhzekXIUGn4RN8Ows+fhQwCDY9OUU3ynxVJ2jgRAvIgrQ
1RaGAXkWZY6KPcKNuk07mS1YFxq1XoipbqcN2rtrYcTL9Ct7GvXLbDVI6Gjhqu9VWS1+HXPsd6tW
msLQrv+zFn+sxToL11+sxW/F/1sB2+l+IS2Xv/mf1Vj8H4kCqD6YkPPP/iQtVyGDGZwVGWn/y2f0
x2qsW/8nwzo1dFLMoX4cZPATur9ytmGhxJHt4b+zGEP5+rwYs+bLBDFO1bSPEZh/Orb2M8EoqaPg
i8iBbtEyA8W3KjKrIGSwK/0UQq3SGrpHKNxFYHHiBEQ/doRbNc5duSYYErMShXRFqpcnLKtcaeMc
rOuaHNm4bb+QhvBYJtMrL9/1DO9/sS2HDioJuwaguqDSH0K32eYqJ82ww5iiJbWHgvqrpcbAeK0W
Qpi4uIK1aXQCc9UkDRQa+/tEDK+fjBXwYwDD4BM3S7owvlBIxsvd+tnooRTFarXOUwreJKyo+Uni
xf/cM5RstmPKgmIEOg3pPr9CMT1ijAlKasfRBKwUTMZrlQ3KfEnGwRl89I8jouBSGjMwaomKWkc6
OFzOuaX0dFTS3TFInwdHbJuKV98M0gOSSjOIdIW4BedK6RPpRfKtwzgSSAcJOAhzpXc32fCgtdCM
iFJ1vdHt8YNgPrGlC0XFjpJIX8rk4rcCPYaBuBwOVtC2V7UovtRalDTrIotgqZvYjrAw5oZ2qdOQ
VTmyzfU4p/ciAmNr9xTxUyrWkzCeC6N8hAJZnqplKo+ioExXbHdT2KSyhtW+yMqbVm23eSOJI/bV
ZAbPhHfQXEj1GS1W4veFIfZqLz1J3DcM2QlVq1USOZERqcDf8+SEXXw1xDbIRj4+lvdA8YJRz0+B
I+4z2vN+XtmICS37YORxRzDkWMePeKG0bNNklmVt1NG5XrT5IlpOaMJq63WC14bDsbiTCtWgborV
gsC7Dl1fmbQdLdgLqcn7QIJLhn4XiaVdD1143zn5aXKHrTZpCJXFQFOab37EL5QQO0WH+okg6Huy
oLcjCVOcr0PwdO1u6sN70qKOzRjfAXt4jjt1p04c8IiUqDyrNhtgx5Cz6Ir6QuWcNbHOW0UpDnzl
oCb75D2haTI0/G0K0wsMVNK5rOGBW+wtjJ1XrcEoX4hg1dESX8LgNjfraj9jCTrqinEX9+OXQmk3
eXvf9KrqubV7CaNkXbXDqqiWq8ZSH4WbjKgwk20bNzuOqZggdP2aUvI178N4q9iWX3VUQnpdrYFK
41tW6EeQ//TmBmq5EQBkFmshRZeKQzhPmjYeylZZlwCUyWr/AqSIMWCQ3C1hdKIueaqb8RiZ6mNW
C3UjtNmvwUF5carcBMLdJnlxQx3jSLLNlyEgvVQfg6MbkhGsD9khy/jfVPcwdn1HFki+hy18HKQo
1SALe5p0trDSpPPqjJnmqwS2edaiFPltROMPR7IVviQY0Qoz6cFhiO+L0u7SeHiBr+aP7kCaNn+C
7rx22BnynoZKSfqZrvZe1+m7JqyeZ5vmucYoieMRSBStv3XUGvHmBIylafTnuG/2I1LTTBkC+nfG
RUc9jtrlohVu7M3LcG0OI65+s9gGRePsUSRBW7W3sZM+JVp6pMP+YKMLZ9YqbrtIEu6y66ioD9BJ
nwjhvgMfa68glH41cl410cAs1E5Tlvf7cFb7FUCqXaaBbXG1Wx6Sq7LPeMMa3NKB8GHsYWunI5Zr
NWYaI/OHVpyp5rCQw1nRUcLXo7KHILUTCEm6htiJZdyNqMVdALcTU9wuWy7dkHZwTWsw0M1hqnhk
HeZDeZs9BKJ4TTG9GLW572DWtEZ1FZUWSMLocWjjO9Np7xFSZiu0f/5gRhgDnC+pqPZqDk5ugbYf
aJymu+KKlDbeMHVE8pwewGq9Tpl+58pun8ZxVyXQyUsARBhD7BdVdTLz8hDbzvd/apOP2kRmovzv
2oRuOkPm9/nP50T5ez9UJnjekDch15JnsR866hwh5QnNZr+2/k1u/mPMTGVCAYIani7xDwIL3fw/
4F0ulYzkmnCo+1sp44RI/KkuQVTIOdTRdcRKVE8/1yV5lRnIgB3rJteXwSf301iXwn6x8XqWdv+k
ddZDulwCskO0Wt1oZIn0XfjAus+EVOIsKpTpNbkjcBPIINHH9CGXoSSqjCeZySmxOsxqhDnsKxJM
RFjQUOpLfHQNwQQy5kQT6qsig09UGYGiM2fd0A4L/IV8lDGGrB+EzVUxouJN9Ogpx9pAFNvLgv0h
q5zGG+P6bU7Sixvpb6zRz9Mwa57VTdfdkJTeHKWgCOrk0PesQzz6w9MsnNe4q+JDQQAC+x4JBaJK
HtI+exWzvbBF4WGBYYwNbdkttfY6tPmNWxCDYNl3FFAE121qF2YW+XMPfRS/OLGyG0X51DZKeGVr
1dptDS8vhhs1AdaXzYR5xzcS2FHPDaPzOPpWgmRgylCvamu8cSWbooy1vVH6GANX0Yx3RrsLQWBh
EerSF8qOesWfuCUwXDrAZdw4xo7OhDKcJhrmBYP102xbrN7kWrHvI9RXjlZejruyswdIWP1mLJNb
jiVHS2CEMqyI/neWEdyYfWuQ1q87rWWHbsS2sZbIM4f+zPK+EwltTBEMxTYqMAnF+OiygusxhW/N
kPAJu/kilplZq0CV6izrElPAZAVkOff2EfvCKavcm7wy1lYCqLmck+MYRuAK7bVtAnPuDCxHmTDZ
YSX1IsRG5FnjAH8+BcyX2W3rEVRAjpZN2Pgcu/jT8uXsdvYb1rR9qHCI71tqIVmzYqy8jLKKtSln
LcraWda3Rp3cFrLijfjmFEpgk1K4ljUxQkTnWCsqnY7yuqJsHiifI8roStbTqqysF1ljl7LanmXd
nVKAD7ISJ9D9qZe1+SKrdOb8l0DW7ekw7SCUl37DYApktEVNWu51LU48YDLf+T4OJeuvQZ2Xsh6b
aob3ib47wDgcS6zZCWs3nN1Dx1peykUdh+RV0HZHwWqvyWU/Y/132AeSNty7UbilK5WtLHaKkR2j
6pUHRPt7UZRXPTtKaVn7lFgH2CKvBTuOldZ8qMt4NNiL9L687uXmhPPnkuXDlvP20eitdcEuVrnl
XpXySHY3zExXocF215D+XrH/jeyDQm6I/dLQm+6eR7lVtsZC+707oTfIoYXYVw27qhlXB0qGnZHO
PXfIxkvD42SwEyMUwdI1YPdki8ZAeteW7ROt0wNJ7Nc9e3kUzreFyODh8NKnWeQjPXwK2f3NsNzl
VuxQuRVbSxYIsd1d67JkcKgdDGoIppGXXBYVoai9iCqD7I5nIcsOR2TZ2qUSGSPz2IN9X8EVRTyx
5M8ouXZ2T0+XKoYIY4Z41DV6Zr0u1Dmjgl2fuiej/imaftfKeqgNkddQIS2gWeKPmsn+qJ80WUpl
H1WVIwusWZZaiiy6Gis7uFRhcG/2kyzLFOqzKIpOBvVaIAs3LD7XoyzlYlnTyeJOabIbhWqvLt2b
RpZ/zjj5uSwIYyrDWO2PE5WiTk2oyspRfoWgtL5U1JT0szY6NaYaKk8TNaeuqjcinYjVs8sNTY03
TZansSxUDSrWWpaujWr6hSxma4dMSqrb2WVM2lHvptS9aVGN65ZKGN/eVU1lHFEhm61yGQBDeZpx
b4c9oMPlS5LZd4ssrQtZZAuq7SovrhVZfgd1tjGox9XK2trU54Ys1JMOCO4oi/eUKl7TwvdUlvWo
6QXym/kIBIwaVa0o/jkF2PI4wENRgcfiiGCFYtdyZmg5O9ScIWbOEgFnikIeLiaZYzvGW+75nlib
p66Ohv1knNMUQxXHEy2xoL/n09Y0ytPIASaWJxnHGnYKR5tucfYNR50lU6lpXT4a9aTIs1DEoYiU
vjtyvpyNgDCxdhpJlVDHS6Vb1+3HoYqzJAesXp61zI9jF/6Ug1bgsM3lmSyqiSGtsRDHzsDbySwb
r/iKjhISkbnaMVjY2mHhngE1Odhch2KzKDH41KEGxzxATBr6/MsQ8nFaReKzw+AkBopG7rVkJISQ
PLpdECGFmbKOLWZwhyt0KIQEKvP3oqGdxlu8SmdImHrSqPR9J2QtWfY0lKHGZNdqsPtBCFKj1lZW
eWKhLcrD46h21amo1e45UW2YV+bSKIBMRvPSjqT0ZM6CQ3zMDCcm/IBOWjUudHxV5YgJ/QrG6llz
Ut+Yko2tocmqg9uwpjNbaxjo9QI1CikphVo/B3QHpAtt06gtGMN02vYGLCS9674MCfEBqfNCU+F6
GHFEQzoCOux3dC0AvN5jh5zXjh29sbI+Cr3ZYeE/CXN6DxL9kC98TG6EYS5mOtQqhMot5sGO82vQ
6TqTlJyTL068ChthzxaNtBMXZxOcEgbiWVreEqMbU9Iv+yq0juYU75BlrcK02ucuvMdSpGv656Fn
JfrFHfO7bmLDKGfwsUVxX8DsZISdHhhO7oVQrsns8yiFOC3X+y5wCUCP9qFdH8Kqe7IM/ZAV6lWj
s9Pqjp861VcGqJskDS9TQKUw4+pcgmhDYCiNnO49j9yjUhRey0M3wR/v3eyrpQuA1m6xL0V822iE
oGuxR8TmvNJzaxdN4q5NFSx2BRJCOh6rmR4CgFg/GGi5BAnxEQgPu0Td5b32jFDfyxJ18k2ConRw
L5QW9QrxUc3qnj6TLw3NxeS8R/vETdHN9mEGBjd5JJ1hqzvLWQyQ29NOvZ9HWDJJ9VSir2TCCvxW
GeJvQVMO3pSM/aaL9Bv0TzdBqJPu1FkbROEbI7DJr473bixcPwyh1qfLezWbN12lcscjTnRL42EJ
y9FEgYASghBLdRPMlnMq1ZIAXebOGVLbqBOXzFCOWTctnhLqftuS1BSYEXA5mtS7aLZezBHPvMtK
gwNyOk6Tg3EZNdRkLpdKsV40LQn8Kq6fBWZUGia9n9Laxq7IXTuBunPl0lPTGx5KN9qFDfosSDrX
FQ73NFSWk6I1h0oN67WG9XldNzkTxYlMjbkGx8V/zaQLqsP/Z+9MmuNG1iv6VxzeoyMBJIZceFOo
kWSxOIvkBkFSJOZ5xq/3gfpJltTDs+xt7xzuRxVZVcj8hnvPrW4DRtQ7gi8O7JZjaMIdpPHl1rbk
46jzoMUwWdb1iAu5muSlnkSXINI8GUsaxnBuLkjDwuM8mp9YPQRnQ+1fqyZ9glYg98vjDmYdH1HO
bY5DwnxyQ+BxpbxGbxJdKDNHilgeglLcGQEVTWGJJYyVhXexFllyUQVi1zmSHCEr+4BXxJjPNFh6
undJW5xFbIITZCN9So5QY7SPZGjcqJFkqbx0LmM9IJMr3qaOnNAyxg9Vqp7kaN7gHizOLZMlTRfY
xdZo5dOcqYOC2+3FImJX3/MPa5W+LZhZAGGT/T5OQag1kDJiL5CZMG9HPTZoI+oaVQ+gfGkg2TBt
bWPokT/H3ncdHy090Iv8P/IuuwIh3zb/9Z80dt+JdAFDMlJWNhhW7ngAJeKnBop1jBgNI49OcYlx
IT8287hS8vbvX+Qnn8S/XsTWWTdiDqWV/LFLS3yyFbSmiU5iOmj5URAbo8m7drj7+5ehE/3j3+Lg
BJAo7xFGLL/Gd9oqn80lXYCgcDc+huJeM/+NgfZP/n0UYrowCA/i7fr5vWrUZBeFnaWnfOCLtnf9
l1/+/SG4GrxDvFELF+bH3z9wFiGPVWUnl77DurLUxd//+4sd5X8E2f/6rL97f376rEHm68i8eH9k
ttMyLwFk6KwRlo7vabz+5ZcizMNe7DEWPjL100eRuuhKhrlITiLe42ZG11kiuJEe17BW/r5Z+t9a
jpdv1w8fy/IV/+5jF3qUsQFI01NJbGhDRefxaHGmTv321/+o7z//n/6o3IkVJuDfXwj1FNkkY7jl
Hlmu4vLffNf+5LkE4sPuZsGcm4axWMK++6NMKzcKLt781JhbP33px43lv/39n/NnX+fvXuLnr9vc
WNRK0LlOufsS+09S+z98nVEIQMQlx1GHu/fjnxBXqdVKzchPMScgQp90+j8cXigphb0Q+AwTmvSP
r5BrOfW9rRen2XkZnMtuUQa2/+bs+pOHhofSwiu0hJLry2Lu+w9ChRm5tKxeT/AhINUsyjzruq9R
LK1R3f39J/Inr+UK/gxDd1wHs+xP71jIwsMkWTQ/hUtPvQHrHk4bp0J7tTNuvrzUP5ayxZj/1yPP
y5eSb/EfHGX8zLdxJwoXbiouEDaxElv0d7IYg0WsbXCs6WJxzPNMfh13ur8tIhqTJp3lFn56fuqr
gNj9TbeImoN3buGDEehsfkEWY4rlkPmfQ/yLqwbPrFxolGiS2e3++H2sqyaTFvD2U1k2DMgpMVa1
Qk9RWtO9Hlc7fwHzDXq19svuVXQ+2NqRJf8oz7EopCgatXvVV2thTUdrhmBhwfMhxLlF8xGd7Cjd
Tr57JdJA92jPjU0FKyYZ1XEwrYsiK3ZuoPZdbNBQQF52icPz6oBkXFh7t7ZVdNvW1N81OyfhTWHF
72VwdGww+ejx/ZVbWZvJQJQGpXeXmdFBWGgTSsN9cErzisL/ZEG9XHV13kM56dOHxJ52/piQhWCp
6zQOblGOeLmFJHKywG4FaSHwysn3oQji4zx35Uve8jqT1e9mrUY70QUe4MQ9TYvYkqPHyIccbYYh
kcA+EpRnnQiSjVEOeIsM1PtJWHlRaqFnSV8D8iWWbG8mXM2uq2owHgVpIexaxq0jCAwakj307M0Y
tApPR7iuZaofiEE6N0UanemadeYz6yWQQ5SenzBRTDDiqMG+rfTI3k4ITzwmx/wVqpYnN7UP+dCJ
VTErcMaNlR4Yz13aiQnIK2+9pvWfm8C9izWQM5Fm7uXkv1Ol5ES0jjCb7GzdMNLFDw5eWpNyX4R+
A4YwE3fMQgHpjNaBHm5cy6C8AWu5BwTmeKEF1ymYm8orosY/ML3EJiVIkSpjtY1oBzZzGE1Ev6K3
tILkrdZp0PqK1XKrzYt/SXdxFyab0HJZIAo9XGutzvppWEKU0yVPObH9/GB3ZCzjFRy8QXOTQ0kA
8+iQxNxLScaT4cS7trDSal83QeHfuoOrnel2+DnQCmJZ/USdzWXIOjKtD3UV3DGuRTnbGnupYQLi
/N80YWdtepeCv8+L89ytj02TfRRjXq/kPJyLsX8sG8ZDCJUfOqOK6bOV6fV++dg3rtiQK3zR5eNF
lgmJASm+nlu3hy5KTO5gHRHq8khoD+2gC08SUhUbdC52IE8OeM7Ohf4VIdkGyVasAHTuUNNfpDaI
PKHa57n0T71I7tXIFDwDrR0YFerlibFwrFfRpo6LZhuF+YsSyTEMSGhPg3CDDOSYp2rfckF7g6N9
jvzovtCmygu0ADuOIT6bUfmAHmOtQale1UALX/ra2mi69tRLxhpD6x7NEZEnTpTk2k7kM+SA80Z3
Pjtzc07rfTnrKGajWa6awjqNRWEc8zojf5r5VunY5+ZYs+akg9aM8KYPRLdCcUhI7V2ibeTknpcR
yb896Qx+GCFAIg0j6h3ytJL0Gmaghqi5fiq19iYmPQwl8nwVoprwbJMl6+CvsyjeaJq9nxeAYOsz
6hY18Bskvas0VEfCe1kYJiecrF4n+dQN0EC9Q25xks3PSJjabYsvy8ZRayGnSLV4sU9VF90wH1QZ
vUKNIzBH19eEnig4uPFtm1qvqgYB1Y2kV+aV8xBobe7pmc9DXIRwUdFLZRVnIXHU6bhrcraPv+NW
/rlxJZfdX9+4t5y5L//h1d38x3t3+clv966+RMWTIY+slDv2BwEU0fNwGih+vpGbv967zm9cx0tn
8y8vNxXV13vX/g1mhoW0nDg7mrZfyz/EP/TzvUtlxuzZtqkCneVX+fHeVcRF2YHrMj0cI0yGy4Cx
NlJjnWKXiWrT3RjLGLIxarhxiQNw0WoPlaWDP0a8X2TZcMaIB3FpCHO5Fd0+gIeFtcxam3XBfDPv
kMowDY2d+HXwa3RDy6C0z1m4p8vw1FnGqFo5qauwyu6tZcxaDSacSCavjFvug4CkdRF9Ykp4l0GO
OTmLjKZYBDXdIq0Rox6dZahtfMmVl4CwdNHSr8bOeEfnRJicoQ13eaX2NlPeuBynrRhzOFkjOfQD
BwT4mVSrLnvO1EBWO0s0MdY4Dk1UrmHDRLueimNjYSQPWnOX0Il7ftC8TZE+44EM+o0zT7VnRv4u
iKpbqaYtAlNmmQxgmrqODn3qPOt66HjDOFz2y2jJnVllMoXyupGhVhHp6zHpwnVaJ2tlzTc+it29
pem8NV3Un6cR0p/MCi45AM6UmywSoHQzt9rnOE4hRFYVGt8i2g3zEBFv6kA77BOJKZik3W4Gm5i6
V2YApNlsdS91oDigBLmJS+emaD4Df/pw+Oc6jPn8U+zzQr15CZE2eQ2sIVaCLcoa01iZC8KURmVV
pD2bpFSyzZuaPRj9m4mN7lWV6cdqjMeNqPSSHQjqVmpGYzcbxp2c2XYmvVq7mnVPz6HOqj7eY4wi
grHyL0WDo5/bcMuk95xY26vBL9YtaHymsttiVN1at6JPSjZyl48GJDFCoMD9Vds5cuDOTY9GkW1l
3j/LYWLca/Y3faNhdZ6Hd1553Ixm+t47lX4ig8JcVfp0RZwgIOUkPKpO8y9IMH9l7U32Wq0bB7zR
9nOoZc4Gc5OirAN1thEzTBJ8sHXcl5dYA0BOBkVzPZI6i3NholDiDarADdruZ7d0hzMSkZg3Otu6
HPet6W8nCwar6ddPSrIak1PO8q3kJTizS3iL9YDlo7N4i93AZ4IRzvdmWRC6YUwDIWnOrVvZ7B+n
9zSskrWeWDdwR4Nze+435DheGqyKdcVsLrFBsIE8+hzPpTq0hfN5dIgLZMbL9KBnhFDozXVbYcPx
66NPpsXaqYfyjGBLDymcRlklNxA8Jd9wF5ngOPETUDRX+RBM21j3P9LSv0qZva9l1opTH3ZcfZ00
1v6cnldGLjazsKt90M1rjYU4lqOzITaadeQbT3E5L5aqtr0IpSaO5lBb70L4yV0hZLlPe3fSsNmE
3Jv/9IO/S2C4Ev76djrVL4Tz/vFmWkKrvt5MWEpxwBj8awwCvvgavhklSObFAmEZloFDwZL2dx2h
SWavYwMYAReNPMXiP329mczfuOS4TKAzkHELI+FXOkJELj/dTHSWi0tDMd40UOcusIfvJxSVjXVh
cIQPvl0PN+acJsrTO+Wfa2MlznOnIUxbE1P3LOPwLPKnJzfQZ6904jezJ72P8J/B2eM2xctemSIm
06QiFTqOqKowoRYPhO+QdIhfpAkWqQPNXBxxxA2lWb9Iohzf20749dbILTI7yZX2crZGObvwbYhn
tdq0KQmMXlrLflvVMdxX/ImKWhmV6Ze83CQqyc6NlxjdkUhtjZA1rjX8WVbks6Qlddd3dVaLiwtQ
M+lMYO6yFppI2g7J603Zapbk97LWpgccrnVzvgjJ94WSdCGL9KCT+zsyOfcsu+ZapjHziqbv1kYj
w4tS2jtRaldxj9ai9N3zdgkV5qLPvYCp/UXeFITTakOymWyy4mvCzEmH7U5j25y0ZHRXA/KC1cSm
cEbfu8ERbqsV5b+GKdSc6o/EbG+jVNwycsgstgltfqVVyXw0JY67qtwGpR0+FsTdOS32ksbPoD8S
/WIW4QftRewZJXe3Ubhssrq1mszsVrOtYVu6bNCcCqBrTdWOtY84YxjfoPEBSiCdXht6Hp76gPSj
CMX1ysS22o5acWMP3Lnk6+AZrlem6nJiH+n0I+2ocwn2qKlXU1fK+0aRghuyK6yn1N0yDohWKXl2
5BYjZS2d8snyO9p+XaOVxtQRNF4zIZn67lG8+l/sJnjgGB7btK9M+Ri7/PjFJidwEIlq4ktDhOXW
TAfjhWRB10OpzOz1n/Pv9/OPg+evz7+r9OXtvf6T84+f+nr+LcEp7Dwofb+I/JaJ1DejGB4yV9Km
22xdvsy2vk3EFs6MbS4efMh/X8rvb+ff4rZnJgYvH+qkw/7pV84/kEQ/nX9wZiiUXQY0WCEWyuCP
X5N+Guh5pTOc2rFne9gSld1PN07R95tUBadMr+I3HrF8FU3mHR5LCldTY87gDB9aKLbIFCUOSWqh
wKWGyVPkCg6VOGHDr3XAgGRMqRZZp99IdKk7oQp/N/T+0c2wt4al89qZ0a3dz59CZhFIAPB1GqX0
RrJyqd7KM3OZ02XOYhhV+XZOjVteC6wHIt4aNyWe1AnAhItQy5/tY5uoe7ZDNKlJ8Dlu3KNk6ynk
eAqDZl84COtBRV8boRBb6WJLiGV/NRpIYlgiQDsxxgEmNjiWAF/mXHlm1XGgS1bUQ4kmHYj/VrUQ
XxLUOZSzpbkxE39nYxJHDZ5xaJbyrlbw+Se17kxz0+FIXhEPFXlRNh3g6UivzUMXcdL8YKnPRIPR
BY3LvOXM6dtHYp1x0cXg4qUZIUGefBRefYfOYpzee4FtRHe2jqkBnhfhQ6BzyCtXQ2/EEp7F8YqJ
BPMVB5i+c7lMiIKifig06xUB5DmJFygM5rUN1L1q9AM5v9fGhFgtsOwbl3fIp89ZaUW9HdL0spbq
xo7EazLORHbjV1xZoFMQ/Q33mSGfYlZsnK0Dc4NcbstOx/g0OudEQ91pKUoOexYPUR8D+sjj89n0
78uxvkSjBvcFvEqTpu9SC5/HXrsrTURM4XjTKnsrbO2x0+I3/OvWyrKm3qtLArfmRWZjNNWHM023
oqPjqKQ68jFdDLHD+hx4gvxAHrTxDf6coZu3pbN0BnIhmoAXj12mSYGzm2MHZ0tePJu5/WSSVuXl
0/giu4Hvl448LgtI9+nb4kLv088+30hVmxlcIbjjqX3W2dO+sNvPvSbhRobmncX8KuDohzhRAVkY
Wlzq/bhm+hKuam2K11rYuavJdBfeQvIQt7xJc06ClUXDt5KZcdPa5UaVGSjyrFYbmNFwU0AvXxpd
8TA28FwOJs/cU8ZQlwh7vPgBN8rcSkzkU3g9DbU6+KQNE6rTjEi8kRaJbpBEHOkx7IMQQYxWfjDW
bBXCnaolHif042nTZkk13/dWASnCIie9AVLuJ/I2901aMyQRD5GMi43Uu1sgoTNuGQngXiJuH5Cf
ujFXeK52cBUa6m/XXUNGTs8QFTibDPg2mh/zqeitGJowj1sa8pXOh9ZehczEItZcnhZl68BV461b
jvaqQAI3hvPn5e4lH8JdE328FdCi8LxQFozodHPbDdcwAhAMOJejlCsUvBCu3U+RlW9Dl5YJTNyW
ov8Q0XKRUsBUobhKo25b9lrrYV5AfInGVevbMxnmRBMn430i7VveXZ1kcLLn4/pqrLp7lah9bUqq
F394bWz5UBTmYyaYRxhQzePUREBVzfMiSHyw6MCZNzNkQ3d1Ofi9ooOB/52E6YUYSD/ECQbQgFa4
ai2meXa5MirIk2byMc3VfRk7D2UVHSnsXusG8rbInJPdqjO7K8RKVqGJlWRAlNMy1xS+/irG+MY1
8gs+vApGAjE2beLcZ30/8ISYrWcNbrhBdbLGySHp8RVQOvr4ouVhmnj0nJm/MzQOTdD3oMEYLnac
AoZ+hqXmnOCkC3JOoEopB3H1YIcrv89oOCNoPZ1DLJLM9HnjJ+27Fs7ttlBVvG07FQEkEZe5rzRS
z7tpb6BZwl/zok3ZRZjM99pEW0+L96ZRId5OJFB59YDItJGM3gkQWTtB9TawVEfryKC/yPL7yLXP
w7J8i4gF9khHyO6YRO+13LgnCCLz/JJPI3Xodjs8Vq5PeWUPBycr/bVvd7CquB3KFq/+wHA2S/mu
IQ+kbEtFQCZmLXSCuCnI8g3tSANlv23Us5ER/3f8pyL6UhEti+6/q4i67KX5Y0W0/NT3FRFxPtgN
vtQvLhXJ9xURngg8bnC1vwAkv1ZE+OMlzEndldgY/tVHfu0IFeZPB1ul9c3I+Ss7QmcpjH/YEWKu
IGCO34IekwzZnwpnGQY5qMhJP1mQIZI9sVjGqnKr5Bj7qSfn5toN5090GzzPbbobAvVJgyvHbBJK
BWsP5afQsThiarqhjVnU13Zf7JQU5x3ZmXY2HsyxWc/dHgvkE8M9Dn1OseCkxyo4sklyPduifnB0
tERJg5LcnubPqQRXDPoowU7pPkG5JM3U1IgXH9qnucj2gwHnzbT6q2hozU1F7j3/XZzPPYQKAynv
wiPgQU4fcg1/YlaL96hsPobZwIaPhLLoktCjFLnN3JEjbCRSctI+1bOkK5oZBjJFJgJEXeb2NJ1r
MsGTzXM05qS5jT4XAtUv/0fzQV8j+R82b3Wvr0k+MODGRMSS+YxvsrDGJ1+YbyJ5tKarsLGJgiOj
zyIz117A5r7T1muO0El6VkIwBO0y+eDrElgmQlyzVS96JP1+E43k9oV5HwL4yJM9SKhqk8YatDM5
lhua6WFFs78Iz9x0K0D5IcTva92zo5rIuGBor3Ec6PxhaX3dF2YMUAmONucKbxWZdkxUaUrDKiaf
IIenk1X2YzHXtOwdOWyyli5m1IZozuWKHRWZs77yLUTGw3SNmUeSUBKLNY5WD09XcaZQ8DEHlNHR
t0S8xnbanIWkIOzGmhYc+R3s8wqiKdgZ098BRPwwVOHuqrDqvCrxg71ua689cfErxv7VBiwMlKaK
7jHCqLKXwn6HOWCtumoYNsjqDfbZ8pCKrvFgsKVXrsnAWm9yQKPaFG0Ukb87LOykSfSNtYOc9Z6N
oAQAEME9rbX0ypmL4Ix3juvDH/IXt1icfFMk9lhpeW8EzJXcYCZi6m1Sr3XHYXAMW/W1nODgF6S/
rhqLiWPravX54BQDvIKu3qkQEw85LuauhB214cOTsO2sjwj9CzFEIZkm0twtLK5wJeYMG4sqqaNc
V76KjEKF0pu9HPND0mhQNVal7DcUS7rGb5nb6ziH9cQzF5zV7Pf2w5zk7SYk7kQwmXVhNvasuj5S
oFZ7tijGdUHBx4zcac5bfxZYIqgoajHepZoe4EpJARuaKsHBUz2QDxx4YvYxfKqhYFs64pFpnrSg
+pQWOeWRq5hcZDO5XRnhe7Fwlmlt/KDnxVVcNdHzpJB5G2EQIk534SSVSDjn7hrBocssF7ZskTvV
QXX2e5j2zwyDtkPg4n1U2scQtwv2KXoytfgM58/jaA84WhvN9kArLoeIOvJWHLpEfRQ8pwAlERNk
7h1wkqtKD89K3XJWeV1csuR5M2z1qU81eIP1eNXO2Crdut4Xc3PbzOq+Cm1/I1rqmaqrYSBM0YrF
6bQzDVSTcU6x4xLSMTCrqN3wJhBwv5wADmCXmtU5dIaXMY6h0efGPirCs8TxT645HLXRrNYTXSlP
CpQfsg4paaKUoBlcG6+xm+fPdtLG+8DsUVbLzkQ5q+SZDdR/Je2iASuVvarG4swSXY5mtboqBu3W
bpoFEpREZwGy/NVYkNieTIPLr0TFN2mE91Bc2iu/GILrDMXgquFxue6Wh2cWPm3X8qJtaYWb2I/U
jvVAdJMGdbl2DawNnDAdDFSbhsga1a6U+rSZYxo3gHApJ4wz7cZuijd+E5lIvjO5UXMM9am2Phis
zetEzgc8DCeBqyUz4wvY5otDVxg7cwD9hIPU3yakom1xjrOCAIyyliQ37g17tNZxSeUepjMC68jY
GeYSXB3z24YZT60xMLtOcyLnGDkuQbicUoKs6t3A+PzaqntrH/YoVrpYt3dajLIlzmhqK3CX0FgR
InBMdf8Mf/TfSx3j70qd25c38rsQQ/0Zm4Kf/Fbu6GQbUk3AR6R0gf71Q7nj2syGvv4XfurrapYp
j7lQgricv/KFvpY77m+CMgjkj+Xy4Ej4Qr9Q7sBo/LnccSi4lt8OtiPT9J8x7Gbc5/QfI2tKwD+e
7CKGhX0Yb8q4J1lubLdE9zU8l5bsn4Y4Oy8bHgkbSgVdShR5/hQ0az93dfIP7Q0CG9rpKXc8W0Ta
uWjnF8s35kuSpd8HuwKWi4VhVab+rdlp9jHvuXam3qx4XPvqEgH0Jg7Ch5aI1AFawjZS7lnWGmcA
Fz+ScXoYQiYlMjlVKQYV3diriMGQirkboswsWVoCZiBOPV3gC0TeK2YnTObeY0feD7b2nPTa+9Av
WVY+uMFxgIDEvu5ztRjVE6FdtoLJNkGyYDASVE29sl+nEI8rgLllrQnHsScbct1BIAqz4tqwA8Ll
MHY6k+Sy7tp+E9S7LjgG0YEwuRtACdjI/Pd58cXlV7aOg4oI2cucYcc8xp+yig0hNOEwt+56C1Ss
iD+mQJbrKDWuXTIX8VJyg/VBg36lRdTYkYrUpWG6HVv4lJXibK0hBGWgytatM8g9gpzYM9MQj2Pe
MTop5MzSjX1F40O35Fhs1rIN9kkoqVfhIBN/G9/gRjTWo5FyeU0MN/TI6tdWoZnHulrsLgWVTIIZ
4AxRGOvcEak/MugdWhCgPHq0rs02woEUW/vOV1PykAeaExyNZs4+wQZkV5Eyquft62dvNCln+zGi
UrHcjwZ3xBjCQ2jZ+jOQoQdrv/Rj9UJ8Bb3naED2UPJEUve3QHf1kyOi0eO2wmxiTPm2lENxzGYj
ukf29FATnrk3bfWcRGPGJV1Gp0HGxlorO/Yrk3un8uFggsgua7/DWIGOq9b1e63j+AWEZW5Gf853
/UBicSZRDjgN6tsmV+sK2MjKbPrjiEH3jm8AsjsJcAiN7niVTwwE3W4o74Kqf23Q2547idFjAgrf
S51qYZaTwNOnX2qkNCMUxCWSaZZOq912+7rz672BOfC2squUDEUnv0sMfIilHoVIvMq7wm3XbWsz
Z+pmsvgiaw8eamF8alzLWDnJAZ0wrynf08x69DL4lBsrwvqHtBftVeTbZ+0kXka/9KpweHAn8tzM
XEzoCkpoMGgJVsYotYOmqeE5iQe4NHPlryO3zXcwO5O3hPXHPsXJtpor9ywZwnHfo/Ha1K2a5bpG
pLWyLVVfD6buX4RYQI5uP102jK5XKkXf7RQRT2bW11vi+kA2G3lz1NyZ7FM9weNpjfPmn9b79/uI
o/uvW2+kQrCS6vyl/vynUbzL5vPrnaTL33RzoR4tUVlf+EbfWvAFAUz3zd3j4AJxBCrqr3eSxX9B
aq5YGdiodL9Pczd/44Jj3USnR18PmuBX7iT07T/dSRz0aIRsNhPcSoYpflpKqNHSSkJ6w0stcQ1U
BVm7cTnXD3ZP3E1fm8At2qolE8sGmQagK5m5dvyhauJ7gAAx5RhpmZd5bch1XpXBCJfcEf01htBi
eulYStfhOhirmbzIMYWOz5CORbQ5rk2i0yswv3o1H2gi66DZtaWWhrdu2wKStZDbrXINpMNqDub4
LkOpcs+JGhvIlgRBqzq5UySVx+G2LBHQFGxv96RiMwi1Ouch14ksXAGP6R/KTLkI56xynjyZcxZ5
WlPlXmKWKGmSvmRCDddMs0prj0EAvC9TaZ/zTw/cFUPY6IjulKzMzJ+zwHMj2/dUYUB0FZlHxdnh
EnKyS8fO+5uMNfSmJiNYYpfO+z1yFItbpHKfDcrx2VOtKuZVX3f2uHLcyHIQV6bODbNd6JJzm0X7
tHbmt8zQYFQGcmpybxJIB40t0pWYp1+aHWZ3tzfbncV1pCHFgBb6hHFY12kz6dhlTN5tvqHJZ0mz
wd4+9yVcCHOeFbh6OjJyPutg51AuXDd1Hz+z62muldM4QGxtnSuEbfNdNpSXymzK4YqlRudc5VrQ
i03QiCJjYFt01SE09I6+IzLip4S1+R26nrSjVO4Q5Q65iNK9MPPWWWkuPPlDpdfxeJY5kRze7cEN
3hUcjx1mcB+zdwhvMFJYFhutofnQ8PokbtQ8hqZe1qeK05ItR/tPJf17JW39bSV916Uv9Z/ISJaf
+nZiOcDaMPSYpkFGuLWsKb8ODSGTW44pXGbaC+DtO96maf/mSKwIQlgCM5W76FK+VtELSkXR/pLU
wdITMcmvnFh/jOvghXHrsBBZqJ4wfn8SOAZ+Jao8K7pL1lV4wqLuGZc9hteEr5vol7jR9JOl+8CN
Cv8YEdSwtojs9BDrX5EVfXBQSDI4wQm92AsaLToPu/gIk2RYFUZ0K0TyuRfsZ7WiJ79WGxiEDwak
iIpjT9iBlzWLtFJ8GqAkIs14VBXDJZcob+xPyI+VNm9xvWoYEkLGObW2NMr1CnXDg+Xmz+VU3Pch
o5uiJUrCt+2HumoPOdrMVmmfEOIDzHXghEbHPgkvCB5/bgo34/lwrmrTYmEXuJuMPwzNXmTvDAMI
hV48ZZOYePSxMEPyTbwqHfbMSu4noySusx22Us7wFpbMVDlEuNFJCcWgb61R8180bXqHpTzxXHhe
VuLeFJH6TCjAVcQulMErBbsI4nbjD0A3y/5RJPkbgQ9PfmWcwJa/wW5VHgDUYNPl6HMaJ7uCObpf
5rRgIp7Jteo3ZeqCQWd7y3a3eBt0dWRE1q6ziQFiaZjzegIetY2qnqxf3bnA/E2UuH+RB3jao7Le
TsWwFfVANInaB4Z1A7aKeVb87mT1nRkFOyJpHyFLZ2uxkEH5kNQyNBkGwCGGYFZijJXNbLg5hmr8
SHHHrX2cHYXwhdfViMMzYXySgXUjW4AkcN3vZGB8dIbdHyaEQSvgqN2Ws/cx06BSFCH5LXCwuxbn
BeuceGfb6ROei2RrlB3qvcXAi7LWw71vrYTU0PMnW+GU8Qrp8K5qQ7wUScnWueRTo+caPAM8Ticj
5IyI+G0wgzu/AbPuZ9XZnBHtWsc+CtphvnFSi/mDte0qCXZl9llwJwx7RMuwB1VgvE47vnEW5E/P
nfkSTw2fYWaUAdiH+bZAIbUiBmYb+P3WF93t7Jpn0YBvxTEYFDWVH6yDlD1a3yVvbTE+uvAiSSYp
X4UOiicvfHZKRMFA/d7bjDC9Qgv3gk3rWnOS3BMER9uT2Oki6hDuaBgDwgELfO++w06/cMeiX5UN
FnMW9wc7wK1vdCiGg2xkz4oLxQDwzrcxg9HdvjYdvhxR6zbWiHK+ykbbOJc5pHDY+So4pAYoonWS
DJ8AHZC6XWtNGD3wNvjtyWgXooEdWebW9jOR3zkdCcq0YyVGOEVcc+hRPDhXGp4A+4os6fDKrMbg
iXT2TZPyFVpJgpMvS0zuEDO6hQWyElYAzFcRWV4JjXbXGq9FqrFQqCK6Gac3mQszyV2PLlS/Q4fK
jdFpNLbwUoSZshqbTE8f0mt8uWO1I5rGeEwGLMDHNC9peeDvIRu2nTcRANnz8BPVDPxRzqplFSit
Ct6H4QR3onXS5smAG+CvQ3M2QjqmzPafEysCuS6g70HBVmNXev8U+l8K/WVG8zeFfvROcjxXI7Gs
7XT4/F//+fslu/zU1+vyi+qIEh/AKfrKn4GowkLvg5cciNyiH/pW4KvfqOyhyVN6f0FX8w9+vS4R
JOFDXQRli39uce/9/4ZO7NgcBl/YARAyERhHA/CdQXc2wyw0igj4tMvy189m6BT6cxF8FgrtP1KG
2s4vYKOA2RmUcTGU/P9rpC22np86lH+2G9ykXfcMF8tjaYDnJAkfc6K4KzTnZu4eS4XGr3GeuPkp
vsd2MzvJeWs5ICIaqA1G0CFKye8w4sEzVYJzkYNxDRzhyY+RjFvGucWAF2HIywy1So/nR0NqlUeI
6Flo5Rs1xo6XzNG+6biC43x+1ANnP6D582TSXo1O+ASj8X52iwtypx7xRRIeYhkf2pB/quruIQE4
upKdta2Vtp2d+SpSicMSp9yVCsTJoLBjRagmTN9lvOT/N3vnkSW30YXZrfQGoBMAAm6a3md5N8Fh
kUV477H6vlES9VOmdVpzDWXKZyJevM/cYd/CHuB44tGKgONU2qZueuwlmftUDca4UN2T+7lLdN6e
8hiLlO3EoO0wKuDSx4vF1D9tCznuDb3nuLPvhrK7I0hVP6bW9CUtcX7Y3O6DUDwDEYMuxkxdivHM
kcCRFTja2orzXduzdBi77ihls7c95I7Kp6Va/9awxw/87nFyLaikkrXz7LJNEHhL0so80/TwYTo4
8D1Lf/y8YQ1C9ktN+pu2wY2KB80mYzHt4mbauu6wLmkW7xp+Z0GQAnGagpjUGiVcfX0B7odP14cl
tIX+ZI1HxpGJWvNStPvCpbmudTz6M4wWw2lViNpZG5+qYfOpIKZ9Nezj1jLalf2pMY6feiNV1RCl
UsmtMKwqtjsYjLoKPxtyZa50S81HwTRxLVFQhKrJLn81IHPaSu/0kuq7ir4sJqTQSWmijlJHAyu5
c+YS65XpXLTQcJctBXHIzZhetPAlRWTNldraj/09/nzUTKXE0gn5LUaaNabxY27radEj2gYEaxeM
xmeh9NykMY61Unix9phrieg7fqq/XrKTYf3qJla7odY0JfPuvk6tAfVF2hzzzvCtcQ3VO8zRMWUt
belKbRZKd04D+Bi0rq9yBGk6Ob5JNGoLrdrIKRNK5iMoiW1clLe9GYfrEHW7VDAqG707RfcmxE6y
RdjPPqXDW4t/4+rDczBXtxGa+SS15jQ0r7llEXmbtOLIpX2OVnwqzjAngaQSMo/Y6ULTwgav88hA
MPAXj8PqjmVrsE/C8Djb+WWuywMEm+82yZdlKvsaPMyU1F//O1d+XSBxK/mHc4UF0ir6CP5Oz+AD
fxwtuv2L4CbGuSKUZ1Xnkvb7TczBiQHtiaSXQiSq69aP3ZH5C3Ey1cLt/F7D/eNoMX7B0WFSkCmI
hn0uo/7F0fJ3hn5pGrQ+wGFmM4Kw+cejJWL50oSExc40bKBmWknVBtA6bSs5ZBE7BGOp97PDzEmz
nUEjWj7N9x1OzABr2MnsYudLEuZLsyUvKqq32El1/WbQG8LecT+V1aLpc++aFe18CMwujfZVOxkP
QLU0a683gkHX87T2mvmmf0gmW7RrI0li/T5yvFQe2RqlzVcvD+zhXJtlbd2qN0xv5+kHeCWMGDlw
AGKbGFqZx4jHepUb9XdtNbV7mRoUVM8zxqq1rxIJs3Q6TocqFEdDJRbqqooh11CYuQ5p4F/WVd2u
OzFFR6ud5Mn355LqW8/3vnQN6B70Gx+jmiNpgsMS3t2EhqWQgG90WH2NbZroeFtzDNjWR9lmHzzv
dQSQrJLfqHdkgqSxqwqGfT4La9MmWgfoOLAXvSFQhYak0wlWD8jReGWfdY0dsJcM/tcxol6tMXNj
HzLpnrTEwOer1xhWq27cz2VZbXmiFcuaHfMiS3LUdhcnAIIs9lN8w/xxy5WNjb0ZGm5FbXZ0Ow94
uF+T07KseZ9IJKXIoBVJeuHWiTie64BnoDm5MdEFPPtOnqxK1/twZaht3X7epTodwaQytpOPjVNr
sgRHJCCgRo4vauheJcPcc+OwtoXu0WzVjss2rIdLYo7tUoTs+L3UGlc1NRjrWCuNK7n45J5kiHmX
23b+EQtZH7Iqyp/jnucWDsdvOYG2439Prc+nFsvkf3hqvXbvfzMLq4/58cCiZ5dVreQay7KHKNIf
/WZssqkFYRp22QTxLPvxwAJ3Z3pMqGDm/rzsdmnnxb7p8Z8+yQH/SoA1xV/8ZtT8YoVTiyolJCqm
7M+zcNrWrRiLUVxbqKu+l+MlSkzwxFoHZA7h7Zbi0mJHXBLgY+I3m4I057Jt5KEuLAzPCvAaSc86
1fXcLaQLT7MZbHQsyEbuWJ5rCi3LXmCbdb/qPaZJIxuQyTpVcjrsPRyUdKyKVcnGomtwnOce2ihi
4uOA71ISr3+oggDBDU8mW9Jj0ZWPtY6IJOmgIMlffU2VkbNQlk48SLtRmTypcw3zW+p5tnje5Y1m
Au20B2/dDgKO26D5WIfrbpmm1c3kt1+cLvjqZ+6wQdRjo8tTdu9STsP8pt212NtvPGKTi8zmmZWa
7FD8yXFWfmRLIv0EV3MfO9koa67w5rcmsm9Dq7q4LZ6qMkxeIsN8aAuvXGmx8VGiN63B4z3W3PGj
qtl3NjNdNus7v/K+sWbLGTpAaHnjbS6Ai9jGa5YHx3j2HnTirDQe0k1QG+KBABgZAf4IbUiPAhYO
noYtj8+uQaB0mhewMMkCV4m+qFijDFLcuKnUV6Ef3UYeNbdaNhDhnCZBuTADjWCwEQw47hwdezXx
mHEDG42parQEbbB1RrstA1Jsp+zuynTlzBBbWEN3FX8wg4iFh9SQkJWl6p7uCffqGeW0pbLXWPR2
vKel0jsHTf1hVLRU4EgKbjUMtBTrW3hl++RSTcb3tLBAbwINEqswNrwLOjKukVw1FydWAGw1SzY5
q4FDkBRXELesQlL3OmhFu8SwAwJ4Kr5nCa0UDY17XW1c4KLky84k9dRGErZhB+NLt7RtPPbYBPXu
zS7DJ9o4OwLw1IAYYb5ie8DvDUEFlwslJW4zPznM97pfvMM8hCRrQjHOtVvdLb9L+n26kHbIanSX
eWLXS9HWiEQ450s7O4yttZaBeZ305MqeTD2laQcRRfwsBv/Ryii1Jy9CS5DmPNZtYPFtGye/NBr0
ga5bVBUUtk6Iu2xqD4Ia0SqJ76IIyb9LXwdRvyN6FpRR6s1qavqLWycdavxAFETkZyjMYmFJ7YDj
SOKWIDnSIY4zXjsnUelfXWM2V007PZemAYtJLzdlwx6IqQK71NjvE2xpyz4XlyEd3kOFE7YVWDi3
KV0sjPLFhPjsITzbMIhjBSN28RG0Ytg4NQeelgIshhdZUBLdHUcFM54U1jifrG+qlWOouDJmkI8r
vzZogQWGnBjGlrP1zYWSnHFz1ZP5SdcaGk2pGZ5V1nzwzrUCLPMNr4K5H9Dmk7OrIMyYFO4az3yb
FJ4Z9lG6RAAaD1oyaftCYZxzrnN9QnC90z5COM+uAj6XiOzY4RQG2ldA6LkOrV3myHXtV90qVtjo
DH50LCBy4tK12Vw2MwkVMNN0eRMbdEFPA/G80gICwFZhqX1YyjCfx1tMgHRYWOKrS+jmv63Tb3Yn
Gu3++XZwKL5UXZT/dfVk8qG/H7eC45FGRJseit+M2j/uB5zE4NKAmVP0xFgpflo9ub9wMDIlo/WK
3xZWP+4HBIhd/bdPxnbqX3Xem58tYH9wd7sCv58K40nqoZw/u7spp8jGUU71ddIIbBLKgFlKXgwO
OE07YX6NpH2OQie82Fa9Ra60brlhspQKxJ3py7uk7j4KwTVgHEMqrftj6OibnhQTb6Cl1lOCm+sn
N9d5kJFf6OX4TkzsJFIAn2aXXQzpbnyeAU2obYpJu8Ul8uhM+bPFJAnWnZnUpYcZiXfKgZ4Vq1DT
lNXP3Ftu+ISixM5E3E5JeumoXqfb+sKWF+yNPUKXmJFfdUrxg0eL8guNn2id1sO7F7VnHzMrj8Y3
M+Cy0baH3Lc3rekde1ld/DC8eAUeWSL5QVheOspGzYIK+tF4ZoW3C6mO9qZpofHQj/X4Umggsjpc
Mc28CkX/6kXNTRh252CYlj3OZUmHK+XZ0KzxZHrfG9rA1xnFrtRxd4fZc7/4A7XHtnyO436vwWzr
rQY44oxdMV5l5bywy/p+aiZWBWN0DSyHHCDVA7H9aDXZbp6au8xt33NjxFCTX0K/OvV2trPm7pDV
066rqGsKwIfF5QV3ASW53t4M5J0TOuUCr/uudXLcp+lwTjrKCPQJCIiffDELeeeV9jIk4b1IO+fa
ae0pMLLVHPT7eqZY19HuYm/c68J/khmNIZ65tnN1vNMn7Kvm6tAX1dKB9xG56UBEqKJcfWLKKiL7
i9PTQV9W49YtLUapsXw2DG412TC+wxbzgkVdc9lcN5M3cLdr3DrexV4e0q5AjdBVzvMIAoGqZ3Pb
19jiPB2QUq8MWMqJVVQdmxMA80nRlofcrmEXKeeWnurmmdLaftVPOkU/NK/Q90q/M8JUfGfoxjYx
QJZR1b2Lc04xSsfcNT/SvMyNeV7qykHGzEMEXbnKOuUvgwcARR7LWSSnatV67G98E/zprJxpYGgx
yWNWo5xLUBNB0CDGyBa5E2V/8fdBOdw8zXjQOKoK11xhRbrOhrWRWOKqJhm4ZoEMwi9HsdIZy+uz
BjMnPtfKV8f/i8OONRn9IME6Uua7ArqtcuOVfdPyrMehB6uFYu9SvlPnki+E8vGVDWdJw+SM95+W
aRZbnoYBq5dEiXrlBEwM9wNl8C2fjEcLqyDfP+b1QjTLSfkIzRKlEectjLw8Zp5MWE33ZEFLDIim
G9FOkR3oSXqS4/QdfeUQY1iEwQpfVqMNHStjNNOHnKXVhbtltcmU39FQzscCC2RehgEFZkmzNsLe
RGszsSno+csQz/yWq+ybVqjs4sgJ6hBK2cTJuPe1dBsLGu+9uSf5QTEWTcbXSDjv+H7fR1Zii3rM
eN06NkM+aqoTprSHsZYwKmPjlviKK9PY+oXx0tI5vuAxRR6UVrSgaxadHb1Mgckn1+TXyK+ylU3s
BO/mu9bVq8agyGD0BcgP/9nE7cZQQabR6HCN0nqNodMgP1x3nOTlQzgQnhTxNAGg5e8++v6LqZRo
v/QdXl/mhio9cmzewFs0SiYKw3hb1oNLD7Jpfkf6BAnoB96ioxwnSqIB83+1p17e5nvrD6XbXMcM
jXHiyuNm5n4IxSXEVpMLcQC/By5B8+itIYfJCDeeklDcD0F7tPLwQZ8csLExuAOaVhauHMyVPWqn
iDKyRT4lj3XItBMBzVqlDNrdfRgm+aYeAESivvtwpqpWLLW4D/cS4yOefbnIhattoWEQL8khdedN
VmzoBjo0ycR+p2HloI/pbVT00X+zyG+zCJf0f55FTl3U/J/re9SUf7ev5MN/zCPYQxCbLEwZBh4R
8vb/21cyj5gSqZP1AM4S8mb/u/5jD0GMALbDJZVdp/eTFCZ/AcHDhzGp/Lbl/Bf7SrWN/OM4wi6B
lalkIiXW/+mE+0kIqw3clXjtgisd3QsW+5H8rZvh/1nwS779D19D9Xu5JkZyqiDIcrr8UH9cMGR6
IbwyncYLEI09iz5vQ2l1XG+cbDyPJpkSEr1Ts+X1iwqnlZTC6a1r3RvkbAtWbJ59dmrHa3CX+dUZ
Kd9FB+tMuzrbtibGtWwA7KxEqUMFbAaxLspBlHiMMwDrjCvbEaPdtgYssB50W9/y/uKkK4Z4a9ol
YaLevomdPNiW1C2uOtwA24hePsrE6yLWtnlGEfJ9Xs/h9wz9Z2P+WuPtouSvvV/rvb2Uf1rrJRHV
dfjZAU6Umj5wztvqtiV5UUfVvJk13QKtGr6YpX4MxxB/ApVciwQeh9lXWzqQT0Nn6wun1S7AYp+s
xHyovOa+piIMYvuTbWXcQ+wKGS6Sp6qmxEhWJyAYVKQECcwUfBfBaB8HPV0wY7qLPii22JUFFB1i
28V0qC3xWsYxgJDUUffQ6lpHdrzjnD91o3gP7QSfTUk+X/o0LLmpTiCIS83keesJFuCC4k2D+jDg
7+04WlsyivOxmspj72vbMUt2rcYKJ0utehWZMyuYErdPdM5YQ659E6gOw912nuu9X0d3bEg4R3Ir
XwVawoCDdyegFSBvRrYoYXZf1O0xNEmOaJOwv059wnlYB8OSZdlmLHmpUoi2ljgfGTzyFcHv/VhW
50GCcdJRbRYJG1rq6Pp4EcTWvSWnYmGOEp9KnpOt8j3igL5keTq158rulXcBVAsO/22Rig9pd98o
fHHhXtvZ0fQyKJIhZoLbMnezlT7KyOLeTX2rAzjYY7m+bVzxNdHC/Wxj4tedx5bNLrqUvXCnmumM
FjRTP82Ze9vn+cbDEw6jfK1q5TObIlIgeFt3aI1VZfKLt3L8QqJ/BgBc0AsbrIj0v+EnPReCBrqo
Hg9WKm5mPmmvg79z0TqlToZQ+2I0tLdq4x7X/cn0tZ3nPI3+W+HOB5gR7saKg3XtWI/VrC/UYY2f
hV2y2x4lhfqWMd0EfqwvTSMht5R4r2lgvJrI96t60E+eRIcb5BX87pTJcBnORKWsudo4ofbgjs2j
THrKVCG8WGFwI3uImeQicdn0MIWKZM+djGt8rz+VWvjgutmjVhbUEbAvYFY2nPFQedphHAWRzNg+
ICNsUzvlaHWalVnowBs72d7JIT7w8x2tWLxx2hNINVPIkgVUI4Putgtlqslu1DLjtRhc56VxC9ot
x2nyH7PWT+5GH/V9HFOdEKVPg1zUYhTRFIslJZ0UtoCCKkNDWOVtcepLK7p0cgbvlNa9T3NZaat3
GI4+VGdPjYSV777PGAFWoWU/aUwn676xuc6U/poIbk8c1Gt4MZu0OkxdegR5TCUGPq1WCNp7qqFa
BX3pLnQ9PkLpuM/KZFjEQ4HRqGyCTeLJF9sGzGT3q6ojVe6MTX5wudmc/RLQ5zhz0id28S4DlGab
SgbecmBFpfUggpIdVjwl22AKTjHJeUDy/i1khPdu9JYxMrEbG9UCu9e9z4bRNMs3aN3YheNdH7ff
nXq4ptYc44hiGWYO6asRd5vQdt64MuLoabAO6Kx5/AFXVNvk5NIcyMe+tZqmiJoCZx1XxrfMbkfu
HATK8v61J1tq4TVi4YdpoqW0o+bPnLBx9Z1nPW+erI5LqF7Q4DnG92M6nXJv2LUVeRptiJ+DcNpH
A2/RcTz3oL+DzGfATu27tp2vJDNex9C6FNSbuLLHg1jjKoIC4QCV6yW3m5EtJ38NmhySt7mKaAuJ
7a2MLfKzKVfV1o32QTOiWkG0X8aWfU+dEr/BFDBrkDsPVR8dWtOmxzcSr5wE3NgKSrmi/IaBsN0V
cfBsTTQUmqLeWZm55nFDFHKEDMVPn4XOCSTZrk6CA9a3V6/saZIrlqWbXElY7aBFLhqqozCkJV80
F1L3EO06WFmLqvO/iDY58LteRfOYLzzDO8huum1Kwbcpm0MstF1t2W++KPc9N3zZ9vc+hDNMOfOG
mFSxyLBx0T/z3Rd0EExAvgSGyIUxR2fPSreVXz1keUtgMC92fdBXGCQzRTwyV7FhQKmK3my/OIqa
iwG+g3aTZ0JfFFION0gT4cIFN7ZO3PolF2Gw0YR7FezBkASqStXV0usajtkGa8LXKNUyXFmB9oL5
g9cLhvP1RAxxYcoo/YYjzFkZZhayqZ6M8xA2/vef5rP/nzIqz5MmjdtMIWTWqDb64whCm6DOVtHX
LnEM7ugp8d6l9W/7rv70Jf6k+068iu2EWMxFgCfHrtqV1zG++ecfQ0kx/5vW1CSlfgxboHLTU26Z
f/oxDNqGKMWNgqsYOOWd69yCh3nQtNU/fxn2YH/5MvSk4rOi7VKlMP742wqKGLxi0gfXDnJYxb2z
wRisVY+dvBnQDuyGi4/1KzLhv4Jdk9/uP18lzl/aj7+7RPCBPy4RBr32rs7akI2hKzAP/3SJwL9g
EBq3HM9EL/z5EuH8QijGQHW0bCzo3CL+56dzftEFCUXB68gDdPTv+nX/conAyo43jyJFJEnH+HNc
pukGXGj2NFxFcVMHcj1RjPTTL+Vv3r98pz+/IrHPcwlhZ2rxE6pKsj9dIYidJ2bndN21kTEP9idN
XD2oX3Kn+7wkgViv//nrGX/qZXT/8hXVd/TTxUjR3SKeUh1onU5jjgvoP50+u1ALVYs61IV76Fu6
uG1VmtrYGzumB6LyR9+i4qjlDFQlq3S5GnvbhFI4VbAo9Ya2YNMNT1ZBFYZrJMuyFt96LfnujdoL
LMCbQjckmUdykHFQq4oougBMIyTuxhOUjqgooFXV3jY43TeW5Zh0EEbF1p/GHNEjAltXM5hhiYAp
hW9fG9xl2UV3LotiQg3Fwon6k1b5/JXiaJH5lENVQ7uSEyX99nDrU7DPVGDuikK/6akAIqe1zwWg
8iQOjgU1XJ2pPdaUFNBt/NbPpjIa7npnbtZ622yjlm6H0j2E2OIWoY09ncscru1wOhedM987LYkm
QkxEeO4L8v7YpUvCPnm1qzBgtbdzKfkXXVaPxTUN5KnlOnnBz0YEqeGQ4s5XgSF2TzbmFaCGJ7ji
+zHByOL5cAqTyzTbz+Q18RgTj4FbZm5qI/oqLfEtpaJiPVjyPJYSS7W56pPy1PrDuuum/WRGN4K2
tdznnB2nE7HcU+fW9PPOmVgG1nBsevFcgVOQEnZ8ls+PVkrG3c+m5BJ1+U2etFTJ48eYk4Mo8FGO
pU2ysMXHjzKIhRzVm5KJdN3EziN2HYxlmgg2RlZ2+64bWhL4Bq0uUTWd0qmwNrjkjmnGpnC4ytC9
azrEZx1LEcjDeqNDh/PT6KbLtfuhp4AKKPSiUCH9yFs4WfvNCbGq6HZ8a+D39rqso/pKhzxpr0Cv
3bZdweMcK6Q9yO1Q9xuBv6TlSM50sSqK4n7O5U3mY0IcRpoI2jTp78YpvLN9fU/h3Yrm3xeJrX10
rBranWYu46j+ntNll8GQM0ktzzMivqSMnz6yDzEEx7yzV5VEB+MJBksU7i5JDi76A6pqcBNG/Vla
MWXw2XYU1jp1kGxH/9g0BbMNXgJCGlajXTgaVwbYax4UtxPQeWi2LI9NLJzkkJ9k3VDeBxapSnIc
hlY67ZIBDEOdktJlt4j9RjskzfxAfIvEd9qykC3u456ilJgTrSOevOxc44vXxV9ixz0XVRovwMEl
y6HBBOk3JF4sv3d3n4+Z/w494kz/fOipVnlSV39jnVEf+vuxp//C0kwn1Umu6bNr8nevHyeiQa8l
RjsLn50yhP9unVGCnbRNTjz5WfHE+PJDy7PZnbFp82yWbb96cf7N7kz/i3WG3RxlUZQgWBZfTX0T
Px8Sjh7oaVpbxdVwaaelQw5z36B2zlQTka8J9P1A53dqTvs8yw3sNHn4mnnOgWvxxoXTXqRUoxAc
jC3tOmv0nyDtgDl0ilMaOchdUf00Cfniehhk3Ib7tKu1635KHn6lQrYzikCAAaWIndsxMAH/1XNc
ijWkQUB5mKHZS43iAgekhw0v+22IRL1MyFyxM27h1+oexSJ1udADPMuYl2ef9BjpMvw+9pCtsB2D
kIaYMU20sNBYZq3CsR1XfS8ee/zqDn1+g9E2SDESB7dgI27V1ldY0CH6Op+38pTzoCfbj4yA0T6P
v3qUKqwnHytGR50+SiNrk1z6+7TkyYA4ui5yYkg4n9OjZWnDCWq1p9rg8qWs40f8dFy9UmreOcKu
1BIsLVUVM8xyQyrlgVUb3TRJ9ahWmmWlD9iWoQ6PlPqZla/W/3m3yrW05KKMXOapkoOk6s5lGQO8
mYp0M/caAX3rYOXGUxb3dx4FLeqmay3mQd85JgCSKYm+9WhbQT5fZiPr0aYwnXRx/ZK22tLvCsXb
KE9d6MJiEbQnBzhMtBmJtUh87pUFV7Cyjc1VatiYwe3bxJ9C7tnNsDLmYF3hS9jgavlaGTR/IpFd
DJPip0ojm5XBOYmujCVHE1vLMpPNsep5zfhdc1NFdruAC6AvBQuHteT617C1aeJuW2GCd6wQEdYr
tCXN9AWmx3yVlNq2jrWbZCya84xRlb8eK5POte+4Sp1Z2ipYbz/itZLO0gDBizI7R4tUtg0sUAEV
bGCPFTQkXYGp9XF+DqT/NlX9tEk1dxuwWl5ZrXiSFU5Ws3IAu2FRr1qbdEFwG7BY0kelcY4IcN43
3Cslu7yG32Fj7wkR6Qv071PbNdeoaCqNnJCTzh/TmCY7B43JS8onGqoqGr/AoyjVLu+S8hC33muR
iLvWqimqn7Ch0pM8BxvmsVXZDAevJb0gjGORhpeoKA5j3FzyIr3pc3ZBtNXTzeB3w972re/s8zom
sQEPTdT5Dp7dvJ/vDXs+BxWTjZ5Gw4ZKBMJfps3XlVt0ue2g5qGJwWhgQKqt10bNS1nnPeac1HCQ
jrXKdGWthWpkLgJyXN1sIG0iMk1Wd8vDDiGKZCIgFJYMdDf7DGxm057I0rP9ZWFXMNI5uqO6T+5n
uk1p/mHqC9X8Z9SQUWTm5Fsv0BmA1JxoMjDSAR3sKjVDGmqaLNRcqXW8ckDREylXU2fG+Okyhjoy
/14wlmZqPqWD+2nGmGzpBOJGNcNaapoViiWAxv3uKroABKszSE8eE0LcZIpA0CkWAV1DH6aiEwgw
BV1DR29mj3cEHsq9CcqAbc+mkuJlAnFAhezGU8yDjImZLQ4chLELnnNFRqAKZVO6E3oc7M+yvvFA
KAg73sxqjLGAK8SKshDZya5Q3AWM0I8uujdfuV9isXzQFaMhVLSGuYLbUCqCQ6UZ51ExHRzgDgyk
u1HRHnLFfXAAehqKBBEpJoQFHIKflSVR0hC1iKovoSJItIolAbVwTUr9e+B9jYj9NCAnEn4nnAMA
qRWNAu/gDVHGjVCcCl8RK1AfaSNWFIuhj7dkPbAiKMLFBOoi4tO5in1hWfSiA8PABJcQHoePIRUp
gz8ozAxjvFMuKD0rCYsorgaw8B1sU3bMrGP2GDmXvkZW3DyGqEcE7Z030czRnsfxIlDQjkCOGy2s
7g1oHrbCegSh3a1HdPeFB/MjMaA1aY25xU5MLL+qsO2hgeIXuO8ghkiFDtHMatvBErGS8sLCMt2X
UEaCdrwTU7HWfHNi5+McC3gkmq4ND+E8dZsBVknioX03jnPLUoyC1nQ2/9Mjf9UjJZugf1giFOmX
/G82COqjfhqlQMTi7nXsHwan321Rxi+kflwCCzaphU94zw8Xsks2gpQ6HRjIlJiqGHB+jFLUQJnE
GwSOR2IVJrrmvxilUEP/cMPnZk80QxV4YMKyoIYJtfr66b4t3SyuZWdMV7cN6hsGi+wu0kvnpUil
cZiGJHmd9NbZuG0vzjxBfN5FfbjSrR6Dpje096EoUuQlPToSFPDXjtbWmEmqkD29uKQKTNWrghhL
VcXgm+fjexYtK0ptXGJWIEw01zuMxkzAog3bnV6aCRYEQeooh3klJhayNdVTb1kYBgdurzM1RG28
MlSVTQNZCH1qevKMahmm5pfJz5wDap67aQttOOaqFKcuhnE5qqKcMRVX1hkFbJ8kWXp2Rb8gvTrs
4lTJn9kiDcZzayzoOv4oJ32Qt23O9nSeA2Ureg3HwGdQ65eROuxAzsGtzpO9MXsUYrPVuwn0gED6
dIg6s97IMsfAXVEBJFpt29rBTENuZx7CUDjrlCFL17Ahc3X3VkQJ5DZJc7nuDcPf2ToJvwhy3KHK
SvYCRX8718DSyhS/I1A4zJAWgYMEj4gReJfYtJTSwW9H67TwLoIwASpM168NRZiryRnKfRU2B+xd
b4Qk8X+CU1ALhnitw/ILg2pul2RQwrU2gPpLFfTPt/VdTFR8UjjAES5g9gkIVKhA4KfxeYQeiC0M
R4gI2HUrtOCQM9/CGqRn/JYieHORjOPWgEZofBZRS4UohPx0hYN3U8AuFEHjLFNohiVD54iFmjwL
Vd4KeGgr9CH2ioCCdKtcOnl2bEz9w1KgxMYe7ntgUGxGCZQnCqcIgO7qBN6OFoZtD28xHr0zSvQ2
VCDGWSEZbZ9gtc/BBasxmwmR29AbPUmN+qx4jtiUykR75MJDwB/iI+E+/gsMyMyo380BFcCDDomt
dotP+rFS2EhalSiBVhX17SfzrEo45pZsdbuv0lUyiGkhjvnFePKGHF3KocvypJNS72h3T4tD6fnm
yqGP8RQAZ9//d7n9DIRILpT/9DCms+3v7rV81O8PY5hoEvMiTzzrNxbp7w9jk0cuaRCkCva8ym76
+70WTKmFQdPjVqsunOrb+Olh7PDgJHKm6GtQaP/Nwxh76x8exmr5SdcxnhAVWQGLavxJZ2DQT8tE
xOKKnsILyFKvJVO9quq4W/cS679Q8D3NZ9iMde/Jb2G5+wrRx07yvc3SewedgruLseraFis0XL9O
E/sGzl+igH81faj0rSOFKR5gYupvgyIENgaswKyq9lWPoWuOrmar7TOe3TiZFnoNZZBNDfP+RH2X
07i7HBThPGgrh57edrALuhfmG5x//pLJ/M4wW9yhjkYGL8e0qum8VbQHTTEPfUU/pD4QidM+pvFL
Ch9xCPCHxVZ81yh0Yl01EAatY6agijHFbJPCLIpSXkNuGgsBgXFm+9vn3dFt/G+lNxwjg/IThWyU
Ct4Y5D6GBHCOgaG9DvAdWevpXwCtqXY/dzU39VMECzJw0Fd4VlZLxsnHEV5kp/JnBb1zSeKeJ4WU
1PkZfBiT0Vx+aRR0sveTaD0oEGVogKTMYVP6ClJZo6xzNl7ZyL+hv3JbgGc5utW2/QRcIoEtekJ9
LuwAktPXxOBqT4PGrhvAY06z9xTb3qZTDv0+3AoF0mwgaqL6EZeAsUkaghwt0M0B+mYUUqbfG9yH
eRQ9VQrRSdvMizUPR5oWiVwoiic0T0M3A8rYYbuF5JtziJ9D07VLHQZo47MPbqCCGtBBhcKEug4V
9INN5wStUd9IK9wH/rSl+Hhcc684TIXxuYP+GGWpArks3dtn/t0uL5hRZe9yszHQd8O4vcmbOD15
Y/ZgnwqdkhXPwU7I+4mKCD9cOV3znXT9Lnbqrc2ps2y7OtjwP571rlqXRZctREJTfa8193pfb2Mr
eZWTzq2Kh3LpWkd2ud6yLQoavvLstovDaYOJdCPbOV1yOK8nZfhFzHOJ6dfn0kvpzch80piTuTWC
4phYcpN6rGoTBhKZDIc4bONlWE+XmtwgW9ljC4QQe0vkTF87UBrPYd6qBiwPb49NZ++dUdJnHCDC
ZtqtoG/gju5Xwpz6GOGtFhv8KFRuG/73JBg/fMsT9EGny1xUzsHJx6fGrt/bhPhOWRS3nFtbLUxu
dWZ53BnW0sT3UY5UcZlOTx2kqDeu1V50M5X8cBh7HLzL5hjvinaU6/D/sncey41jadq+lYrZIwPe
LGYihl7ep5S1QVASE957XP08R6ZKhpnd9VML/hGNXnR3SgLBg2M+8xpX79Das8Zp2FYQNhG9Rydl
oZnDGoGSGRSNPxHKn8vOcMOLpm0cSkjISMdp4S/9SDpIqVSYwss2jGeO5K7CZFhENnLOPf2JQR8x
YalvlaIEaAHQS036RZvY2CwF4TH8SpKxSBX+H8uO0n+SJ7yQ7zV2RkPfLCjLT9ukwXQXYe0otWZD
Us38wLlLwpBKTOkD9MAsCVAAoLTEBDsakU0RMSL3/VBRIpfrYTr0FlByAiTQuCcoTR50UGfp1yPc
rHYd7xZGGBo4TVU+NGV7hvPerAr1aznwgDMM5fEYgbfSUW3QI2xmZRA7BZrXC+QHr4zG3RSm4I+0
yUGNjhFA73aFlkM/lQr6Hlpy7spUN3zAHmFg2BMbtylfb046Kz3qJTCrSYQovGf/iDUEyDFVhac3
KdGbcazmPDDbW1nND1xSPgTprHkUxux/fSpNcjO71BqnngZjeabLaCB44UoAZPOgPXXN8boQ6gpq
feGqzWFZtCBMKMb3SBuMo7owzXKuScoBQuTtDL2jkV1YWzhGfSSn48JOEVdwgIoUuXwfu8BFarX5
UwOXPu3gXhyADDhXBDja8y6U0T52bLxWxlEKFubYQUOL0GzEQTDKPRQwpEAA6I0GCe/+XIulRRQP
56pj/0QYGjxCDhy8nlelLS3gtabTDu7zUOfntWXfoILlTxMDxHufGA6maGp8F6GsP/Py9mdYNcDw
5O9xk1KDy459h3YHiIdLijEzlZ6G4cHuapT81O/7RRGON5Gigs5q8VKB+FSlxkUpuYgWyc4PySxv
+6I/6hJUkKomsfAzRG5B8Y9UgMl+b5zhq3Kk16I6qA8HUP0IoxW3GPQVStLR9zbGo2ymSKmykMa6
m9q9PY/l4EA1hJtzl6Cgk/mPOjSP2dBm/awqlbUzjmdKCdqEcAGBIlVZ9NR+gcNjVFMTkzp1dAKs
gu2S3uAMB87bLFTPM3xfaN+ggprhquJXDyi1zGjLUTUZziqzPxhV9q/Swt4IcN5NP0jf8z67jgMq
EV2qzfKYopxNp7eNYG3ro02/iDg/bsLmoqzDYG7gvrnSU5nwmZoteqAKYr7PTONfIkrV9zAIkSua
4KzA+oGQ1eg4EyO9zRVRHlT0AbW8M+UqmdwZi/a8mFJcmjrr68vqBOTPPJvWq+AYWaiZv8oW/iFC
ReGJv/xPgPsU4BrEg78OcCmio3A1EM1+EAASf/YmwiUWJQqi00e75Z3JhvbtCYcjpBbUv8NbHTA0
oqwWwS2i00JZ+u/w1vnGv8sIfCK9B/DZ+keMZ0Qp34W3TygCuCTC3Iz/IoQVeIY3tQYJ3UmzKKrk
PFVyXT+p1IYa/9AESM/QKOxUB5gg5QF8XvIHyut/jtnoL9ltr3Q0AyaadT+0aBzkjbcqaW8UeZCC
ISNra3TrVK6VAng+lBiKCpgMZA5qxt4ARBEA4cTPvVNJciNB/qhB4mVn1VA/SiLTNJzuUc+lbO6T
wjUO23hmB0e9PsLccsITKS/OSzkzZhkSV3ANgAXiHRCj/VzC0xCs4Ka8b4N6gTbasERh9V7qlYWP
Uxm0E29lWfUpenYgYyPhE1J0PzBqv4nrIZ6GkXKlGfWdR/axxNAL0jSx/pkXUMyj5VXDgYjKuTJ4
a1RTsiXyRdAWCFqCQD3L9AJs7Khe0aovJjhGXvSqfJjIxkavk6VWdutKD450Ff29UsIgnc42Omf8
trNK5PIO87WDrKc/jF/aXVaZd05IpkuZV9ceKsd5KNXqrByDWyPrHyJKRIDE5JG+lnmO0DdlcqNb
JT4eWGEt0XiWGm9Bb+YKVfxT8LCnIy2faSiDWh5UhPeNwk4OQqUqJoYiXNZliOFGFx8VwnTDkHAv
9nrlKPRNb4mbh7kovPgEFwx5blf9jVlJh2pHWItB0aGdASyWneQsH3RnCr3VPijzVF0OdYegQ5jN
SnHy5JgvLiPLL2ehjDun2br93GhUGWIUP7UGdQWi+btrW8h9Nuem3ACfSWHYSU6xLDGBAiQvlOyo
7FCDmfR1501wsAdbJpcHKDhj8a5K7hLAmzvtsvZItqCg8Cr4zfI+RCsb9s05Oc2BFxJNmGoI4jED
CauvHAUwYTSaN3VYkMh53zEk3lA1lAhV1WxiNKZgmTj+AvnvuzQsco4XvMGs/FZqcAuJq+5GciBc
8adozIJin2ttdDVI6jDXVHymFAUedkUzPsjyEzbqs0iHxVQPPSWtrANs3nbzHuG7M6tDPFYKS3sW
ZoE6BXW86mqoz5FW9uvaRR9arjBW0kp0R7QovG0wbIqDG60WGHcyuzlrbabrLWp0tVUvUzzMSGfK
fNUrqjvVMvkIm7AT6NqAR0KsEkZJuoBk4GN4XACoVZPTIIXdi36XieGnBljYG0mksnXUF+gUaPKV
rh1Kw89IFqRmD/lxq5prQx/OfN+a23r2HYbnT3ganNKW/rMc5R9O5WC/FZ/mmMWppgJjv5L8uTnA
VBuS4tJvqnWs48gSDAfo2wLndDhu6dFSm6cPY9NjKO3hp1qVf3pSc9Rl9UWcSyd1i45ikNYzWPcn
mkNHTkGNE6h4p05CwaNvHB+7urr+mUtJAtWuE9bm1jooyj+pGcj0HKVoomY9vNHORpEb9wjkPiWb
ZjPtZcUpJojrVZM2Nh9qxP/Bj6jBjA35qJLKnj4eUo/+2B7WrgbnufQuTb9fE4+SCukRndeiiue5
R9uj0ouVmYD3IEkW6M+r2sBHhvrkPO4xcIYWqM6B4JcsuowlYZsYkJHDZ717mgnnPr1x+6kleVdY
9pxluXPluPpK6wdMiVIhfTLEl26OPbWnFAuvtuO7sqvwAOhANeEwQLdDLGwjvEVAmvJa20ULtlV4
pap/36cZ+ZAeLFBYP2RDvxz0rF0VdJxnHAAXuY53TWAY0EFte+kTvE/bStMnhpldu3Z6CJpfn0ZF
DHW2vQgMndplCAQ6gPtuZaUyR5aTv23bKwPHv9WYNvf0eVE+Rex9oqaqjyB7Ac9glH46usJ54ZfB
0nakC/Tb702NtV3Elk3nThgq9miSpYjBAyXFOqTMijukGd1pbYPxTYYeLS4VmK0P3WaWsWcbeSov
Quq7CxQd73FFu6UkqE87N11g34buAa98wnFXTjsNXHPdAz5yAPRNzTYwD2iQI4KsYxEAfZFFY1Dc
1dsbf4guOs7EaR1S4A2MCudAy/CmSKoz3WxUs5qQf4MEHxzn0gh7UkcwVqJDCb+2Q7uog7wRmTdI
/yxhQj4amXEeevmmp2OGsk0IuJ1SbFfCgTGb9Bi4a3FqGSPKBTI60Fa6gq50UMd5OdUHtQFlLGd3
gHLig2osbjSVhY8Nya0EhxOFn8euiBeOG95w2MtHgQnljfP/oAIpS4Z47YzRSpOqbmLBe4BeS4N+
0LuVa6DxCfNokrUksJRo2plqWQ9Bn0mzBMLQtMjyEZlV+1JBdHRuGD5UO4DY8zxHZbuNG/dALoe1
KTEZar9VFxRscIvDkch2pcPA89YlQEiPRBwoUQ5Plpg7tfLzLAJylDmyN4cT9JCHvb6ASPpDl+FD
hoV5Ljfm90w3l24e96vR036GcmexxxKUq2pJR6NP/YVpwY+ozSqayNnA9AsRR1KCwUEtVflhIggB
IiOYA6lDf0hi1/YHHLrA6XdTUwrXcqqewGqk7BG4IYAAdFVb7PegTy6HEaproxlQbuVoFdLWm+Jr
yHknlNwKFaGRLCzjuenYj74nIQJie+UCOISMfV7bzjIZMmU0il3VvCVNV9DQQ/A7KaRrNItuSodk
Pw2cadbFSOzBifIaG6O9KsMQSfevahPCrxvXBw2E0GkiOzd62px7cedMaYF38ySXIOKarCeNwmHv
SfEMXMKBROQkdM9lMszqPvcSYavKskdnnYYl+EK5m5LkbzpaxlJu/jRlCoFYxs+shC4xJKyflug+
q7H60A7lkcNJPhks46HCKAudcyQkPOXQTbUUGA3aIb0Z3XoJmihFj4CF3ZjTUEqoJd7LtndMYIBZ
ESYVE6UJD3NBis+bEB/kICP1Q9eJJu8PD2l1+NfhtVICxgFiemkllC/UJDvQne62J+aCdz/Cr8iz
dF7UmjcFHACOICr4OjifTOwODhj1pyMbr3vbHkSxr4inrLuf9NcoX1FRnXuRtpDb5i5vWbp+qVxg
PVhOmQsnmhnU2GCE5QTMxJUZ8I4MC+B/5vfs02V6gqANvFNTP1Ts+oGSDOXQoL4tep89qJFvxjg4
7If4WtVB9ndQUzJLvm9b5HBsEkXkYCDNZ3FznFflIpV7eyIP8KQBMuEYYYYbRzDWW3weUcHcjEkJ
Mx/vKK8cD1Q1vUNEDUOR8CZv6bVXRHlWxNbnF8xM38GCKqO8CyvGWsp9+dP0CemsrEeynpivhcMU
UNFtrPTAxWkJ9uwaEcv7sG7OdL1Ag61WZqjrLuCSc1JqxQrqxmXvK/PeoBPjFtlVX2HIrTsHjiHR
WQrxqtKmQ4CJ+aDBEcH6DjL3MSDVA7xqpjH6ODBtQ2WYFp6lRhdxOpp3A6x7+7SQKBdcxEYN52MQ
zXgjl/4Dm3/ueBv0HH6TgzbMnSTdbElC+bvXJBTqreIQZNEUUShkCGj8X20W+Rv8CbrhsBwQAnkr
2m5/08k/OTxVXL5wSSVFfW2zWIhyKQDq0Vo3OSHB+/2DnrdpiDrFGzqHaLPIsgkQUXV0kIyOyFPf
5KFKa1C7zZLkbDT8Q3r3VLCx0uvRcx4RH1q0BoE4po8neh4TyGj6Sm6UZZDXZ35D1RQoFfT1ixQa
YaMph12Vr6NG/+FWdEDT+qQflWPP0Vejb6JdKmXD1Le8HwDHL1rXjeZmkqxpJJlTVIyggsWoI49o
MR8lA/iXOPKR9Enq9DbT/KOmyezjlFKk7Ys6OifXZKQjUTrRvSkZC81VkL/KzkDNEQc74V2ntGiM
puaZTfCHnDWI6AjFiLPGzB7NLCOQ6El+R98i6m4j5cAY7OO6tg40N7kmut5Q8j1BM0GUDq87Cl4Q
9LxlZjZHpiE0ilrzzMisw7iGBur4xo0G/wWniz8731xULcKKJS3tSefY56iCAqQGR9lFp2EXLnJJ
cVmEoG+QVUR8o5RuHYFSzMZ8JhvhsV/ieSkkUzUnQn/ewNc6iUayaNNJFlLo/Nmj4260zbHe2Nlp
XlyAUlwkHLODhTeQQetE6y8HFG7xogsmGlU6TQFkGUt3re7emrq8MBvSG6ft6PbHyX0woAIsyfTJ
kc6dKH14OrQMXRE1F3LvEpdGZvK90A/MobJrSgw0uQHRtaeejIoLPRha3mY3HZr2ykcsmP+NYxXF
5FldpN8bHsMFMzCNAg5pjIqWRoCSV2krU45oUIO8hzDEyzuU7XiWDTaKRoN2GdjZUde5j3qBMntg
mtd6Zl5K6OZMpdo8drAMpxxgQQDNSfyD0r+U6D0ZQN+gNBB790V4bbvpA6rKs9RNAPpEj2Fafvcc
SstUgwgM+VKr3FU6hBRQaqc37U0tVV1oOoiqwKJzhzE0mO1mNjpCViWiF9KuIhXfurTpB5y4m41t
GPlMN2myyVZ+l2GB6dC5OPYNRruISQi8DLhG2isAxKuyp4lCHXTsOSJNxclPAD1Bgo3IJBoibpkj
MAtoDoJgsyEZpM0kLiG9gak/VlAcg+94F5jWMdSUy7TNgqkVoEopKeO4TFIi/BTDz4UzcOaBF/sz
T4sru+XFG503G4zxVG5c3LwlZaa1BhIv9mXTuatOAz2luO6BFUm4MDLpoXbbi36kRF5ikQmgIqqo
/MIgCAv0VKRxWAPvxYyxgkQaM6KTGjvhupVmcmRSm6HXpMQgQ+GOLZH8SOZDdAlBFst4UnlvXKOF
ta5b89rr2+soBjTW2+coBgFv90YyBZX4Tguk73BUCWUhcAqTZX9ozUOK6rgRKOAiaEuSlUjDmvc6
HOqVAdEe9AEGOdpMlfSN2lcnsSyd9HKNtJ09pHNAM2vgoqshr41pZgI2lK1AGK9Y1mQoCcLVortK
rC5DAaRWli4oEoFd4HnaOJ11DTOQf/+pxogOD0bsTnAxtcg4pEuqMpsqYUroZhIQeVg3eVmcVjHI
RCQTN3kOFEPqFlVIriSpsT7HhIGuhRIufHksj10FrEeq87YZ8SPcaimHpMympk5/6Bh/LciWYaYH
tkOdjoAtHryVq5v9KlOGdWFCuHHYGomvFwU85CmwmZOx9s8qYdBN3Rq0S6Bd4VXXAbbLzotKXoJt
us5H9spMuVK8Qp1mow3MJ7PWHuCX3PQPVb7crAtkc2LIzY1kjsoUJXDhLEutqTSY1FHl/mjN8UdZ
U0eodG/lxRKG00oj5I0w5q2bq9xWErwleb+aBP6b+tu0s6DKYlp6T9DOVoFMju+csdEtvcIHDKpX
1yjDfI/U+rYsEMWJo+ZWd0Z5paidQgVARfi4CukB2r4xHXxh9+7Bb0Ta56CswqvU1JZjjlCUGyk/
uog6hhOHCyN2QtRXactpuYm5gPq9NS+66nB07zqqgb52QVVpQhnvO2HzTYCiALrq9dJMs1M1p/qZ
x0q1kkNzo7DRz5XeOSdRZWlTfl1JBpGgZY7BPLYC5Nl1fYYx6nGVx5eto66sPmb7DfDLHJQrtI2O
/GwYJzBAbq2amodc1IdFfdqaw6Q24DV5tKJgPwWzOHOCpVqUsFTK4FYZxiXA/vCY0pGCdEN54gyW
tABWHS20ug8nIyVSaDTk1YabzLvcO0SRWJpWWMVDvsk8CipDo6krvc82dpD4J11aY71K/G5YtyGi
dEvc4gSqtBiHU4Vqw9SveM8WFKaVZ9cYG7jTjP3r0K1H2hxamZ3JozSu3KrWD1rUweij2va60Ydh
OfbQDvzcFua8wGKxXlkkhnKi5sYBu9GhielLZOtUS2vqYFKpa98R3GSHaAsKipW0Iqw+1fXKW6W+
vNEGeQOs+J4jB6C7368GmWTYhp4LHkujDjUBA5XNoj5GShe1SsPzl7iJ0OJz6UWjK3wH5bddgtUL
5x1grgLKG1krnvWtJNr75pHHYOf3tXyo6O5l5ForSepU6DgYvOS9Ow2aRJlGsXzD8HOKK/EGwO5h
i9DeIkfSqqzMZWhXiINrVrrAcgY7j1IWloV0SJWiu0vrnjpefCVI2GZs3CQOGp9FSDVojA463VyU
AVBv1gk1sX6h1Pk1bLsHNtfzGozUFM3JcBqYxaUilQs2OJxNddBSjgJG3AeObyHVmZqA85wwObPg
D0wi10dqyYmGedmjmM++H898c8Q92KzmSY/gUm5idxhk6nrE0Q/IfIcsMJx99KFPCXLvyjI/7q3Y
In+W5goGg0Zno/oZUqhSL2m9HrFyV5YKpQz3nJsc2DOcq/ikUzhqI+U4cOsjN85ujVy5g20iDHut
20rtT7Ke1LYLHMrjEkJzjuF9TwZUkxWUDcfgsNTLEwpNi7xTqeUENqqlOWe0ZN40eXsy9v4EB8z7
WDfg6VNvrbThuO3tZgXOkcSxN08SxU6nZsJGKAFYMAKqfoa+ijLsEuTxqCk1DfIcwCETWl7YJcm5
Rit7RtVOgtNfqjM8mAEYC0eTTlcpzyfpMM0rBBhBG60qXaWMLof3VkcMY/fNuZUDSnZKvMw9p6qO
kwJ6ZKF1oHcsHLHR5oxihEgccmpiTrdmcRmxPerXZi0dmoGVLE0/O3CItgD15VqIgxr+msHkPy3B
55YgPbJfp2PfaQU228hcorX2VzZmkz2pmG3QkEMa5W1L8MlCS3DaDRwB5Sd68ysCWf/mkIkBRtOd
J2wbOdJrNqZ94zBXSeE0QWUW6dM/yMbe52L0BB0LkSaRJloKYBhd4JPf5GK9LHltWaYYaAmvKJa8
VyHDhcvUm3HZQmRWnsjzfyd9Tx9koEypU9GUVVXWxYO8+SAlrtvCDPWcyNBwbiK/wE07wfx9XNmg
BcHZ1WmjHyAJMV6B/8d4z1TQKrTJ3fIstA9xbXeOFCvJaTmURn9OLedSGzKyJHPwMBRvo7DS/mz7
wrTPO7do20WoAFJqdQyuzUiKz7owhi4d5HmmzinCNe0UYRJsBYPKpfASDdh3sgDlWZU+GLHenVpk
n2d6I+fxVMkBXywyt9ewU22gYSGjBKW4y7QzuVWM6LiNw7OyRsckyVFO951zTZE3RpU/phxKbiVf
W2hMpJ22NCQz49zgW2A6AYTBXTjJ3OiTA3dA2E+LkkCAHGbxUPz0sfumjHmqqPnPRmuv8NjlxIUL
9sOK4HQ4kKtOJCsvoRAZ5mEcgLpF8G4OTKUiXJW0n3pYpSvdRaEtrYt8jlgQgtWxZMzVzj4B53Na
pTCvRtVuCflGdVmn1s2gSHexCp4xC32QZXXtqdijQMRmWnDgA5wM6P+IW0DvUJD+vSn1Gv9G0079
y8prpXkDrHbu9HJ/pwMuZBTRz5hUEaVEXSqHWWiMlwU68oe+hL7l7+eYKvrXH6aYjnElwl5oegML
/VBXKIYSyWwI7KccQOuOTOMK8vUEPA6oiHTlIv8z8+bJ0poDkZ8Yh/pCm0NAmkb/Yq4/WTf//RzI
VWgC1I8rniFKHZxn76e60cMYRs8wOyW0PxxihOojr3DJa4hG6CA486J1BUnbhA/l2vKJZ5XuocI7
MqMimQ7WcOpgNIC28Phn3WfOolJpt9d1vnDt8U/LcA2qIxTX3bG/LWLUsdWywO+1glnXd65K9kOH
xvD7+aA5y04BquqiPqjbLnhrZzVqWMGjOqzrBiqaNSYrgQPMMUlXFORnmYZgdCbn867zjlUXrHWE
NOWsJcpIkhDCI3bRXe9oy8ITQDLNu/EQSVe05ITUSibjzJdyxESznILqvhxe/f4VA/V984aFEAhs
WBlFBN2hfqQ5HzYRZ1Q7J0/c8lRuk3DJRgD7tORslwJ/bmSY7uiFt/79Rz6Bft+9zQ+f+eFtSn2L
a0XkVaeFp/3A8AAnHi8Dx2qt9KSBMe3SxDSppliQx42YYi9NsuF4LDHBtiXjOAvsOzmgVNtW0k/s
uwjnihM1My9kd3wwvOLPpAuKWYFf6v83xgQvPPDZul7Pn7AyF82mHC43FX3I6vWsEj89z2jeXmf/
b7/0+xu9oHSuh3zz3/+1fkyCdBZUdRk81G9rp9BeOPDeHfBPz/T0wL+7RbymvdY8cm/N+qYaOkLr
iiM/Xew6cZZ6Lz9mG8PSQLE4XgGNPF1PH/hmjH41Cr//gs/D+fvf+fU3wHGB2OWdj5kwA/vHI8F9
3gwFeCWwTIaKScPTxfJ9NxQqGtUA+SFksXD5rP0bBPljvPfvTIePg6DKDvUa6GNPl/jp2/kgNG1A
KOOVtJ+DINSWdp4JFp7Vug2NCX8hcX2aCcgY0IKwYGzs6UTYfTUQ9zPRmQdiRLkQ73k3EdgYiBMs
qCHPk24PV8Pz23lGqP61Yf+LzfHjajAUVIbkXw2C0KZn+0TIiX1zP7eE52W6yyDAGYX56cAy3T4T
2BKgk8KJUpgjezkIyu6D4HwDvghzFtfJX+2LUG4VuF9EWHs5CKKRyoPtNhPozKLxLmC94vp0ONCf
tcXxoe/rIHxqUP/zE1J4iovWr/6LiIkwQYMUptBC2deZ8LxZ7TYToEJSChF473fHAt+e7rwwZ30e
nn3dF/XdDwcTfLuOfbtAFYjr4wkpQiUE9tAJ39fVIPj6u20J4P8tUa9QxQkhrk+hko7ik64RKj0P
+B6GCTzyboOg2d/QNzTJHJ7HQESgnxYF6BPOSCQdufZ2UTwf4LtsDIBtdJx6DPNX56RC/oACGJIV
e7o7voRyuwwCCCYRNcOKeXrd4n2/nw8UwakDwZd5nnt7uCh2nwnmNwuolkF5/mVVfBgEkUBgYmDY
L9HZHg7C7pmkg8wrcq0INX749iJoRtOYlbKv+6LQzdttX9SJBWwaHbR7Pn57/RsdEA2d25djY0/3
gpcixw57gTggNdGgeq0lfDobVBpsSCUCKdzTQUBmePeJoFNIEGYqzxdf9f2GSOIgNDJsc183RGX3
mFnFHUalu0P77On6OAiK8Y15wIZJYC2ufY0SlK8InW0Z4WkZL+jn68N8UGx2R8eEgbqvUYLyvFp3
2Bk04xtGg6K29Py6P0UJHJCi8IL58L4uCgEU2O2I0EgPkGPV0Cl7ngi873c7A4NAMokxpLyvM+El
zd9hJnBGUEygsfCaSX46LuVvBr1hnOn39ozYfSaY35joVNV1ulpP1+eZYPIzSq37uhxeHmyHmcBy
kA1V1UAh/GI52N9E8oSY1HMJbl/PCGGYtuPOQOiMyToRInQLcX08Lqk08UMZiPVzq2pfh+KlKr7L
rKDSJMQX0Mx4Hgq+6rtNkqEgfEQ/W2hZM+z7l0qpu6dSCKmBZaCI8lJ3/TQfqCwg2YwT8F/7x14O
xcs72mU+UIIWOnSG/FJw+nhoklzCgSKYFjXJvRwEgdTbeX8gMlLpRrzUFz4NgoJiiUH2ubfl10+S
hP+8GSFob9i5AdB43hk+LQqSDhRbdPaGPZ0J6s5lBjAsfD02R8iCT9fH7ZEY0jF1C5Co/BpZ7OWi
eCmR77Yz4E+Oco/5Ulf5tChkxkpxCB+eT9V9PTQFOnLH/YFICXDCXyPxqTMhMgvaMw6TYl+Xxu5t
a/Mb0tFPWOtf7A9skmwPwBH3tQz5Uh/dZVGQWWjA0YVh76/2B7Tn0Kl66Q7vYfi0cwmOHpXKMaFz
XP5iJoBpogKH/8q+zoSXMsguM4Elj4wC5YaXQPrTcUkMqQBt2+OY4XnH3mUQLJaDju8cxtZP16cz
QvkmFgOjsJ8QP4Ttn8PaXQZBoxhLLmGbv4K3gQE0ADGghrenp4O2+0zQgLLICFe/FCA/VyCZKmB9
qLjs6xFp7L4ximatQtWdQODpYvt7n1yD8QPVJcyp9nUm7F6QxzLCAu+JTeXznkCJ7eMgQOXiPxSs
xbW3i2L3uJHWJAVpNEpfEAwfzwgFyDznJLWIfZ0Oz/N0l90RxzWD3Jma0/N04Kt+mg6yKtPbfV5/
+xcxvWD0dxmEp9QZARBx2rz79swAzIhtpsjL8OzrRNh9c8SM9km6lTzp+fowFFSadFWmv/1imLt/
E0Hfvb6gi+8oqmm/RrIgnKYJcujrIO1lfUF7bpzssiaoPFJ31DGZfjoGPhfl8X506OE4zn4X5YV0
1I71BYN8CTFQQAvPQ8GR+G6XoChvEljBDdjXg0JIW+04CLBELJr4pI0fvz24F4s2FTCffd0dn1/L
bquBwqNFKvVyDnyKmsipVTIpxEH3dBD0nWMFQF5QgDgOUQh4uj7Fz9jm2IRULJZ9HYTdz0lRbCSd
FJW2p+vTZgAWHJUEA5mEPR0EY+dzkpkAdMmkgf2Lc5JgAWoIMaOoxXHt66IQ1Pvd9kWBfATNwFH5
EhFs2RnEpknE8A8G4d8Irv4iKE/9IH58oiYHm2obg/lXv/DKEPr88zec2yfm8bvfFFTl5w9/ZuaK
//8/75jL6lNb+s1PX9vUT5/08vcvX/Hzh7/7sNfv9fqPq2BTrssHf3j6wfDyoKfrBIbz/8b81+P6
I2NYlH1e/20LzfptRv37u+MTsHm90cHjf/8X5VXkimVW099f9QOH+9++ebJ+zMrXG725OXNm55tP
8PDa9uA83M73nq7jdcsrqV7v9ebZOXB2vz86otWnV8qok/1/wc3TusToPKvqbR9BoLPzR8w28R+n
Wbl1/Dkfdr7/PP5jlpVMntd7vRl/dqKd778oN9U261KB0dv55st4k6av93nz4F+xXFdNcp/Fj/Xn
2wu0+86PfpDkmzJYx6+3+vvpBXx499sjK/96mze3/ooVe7Qpt4y5gBvu/NRHQept2QiUr1irx+to
yx4mCCU7P/bxuqo228bkKxbocVb98b+pt4k320bmK5boyfqRDfh1HN7Mlq9Yoidr3IS23Psrlqi4
N3KRWx5dIEV2fq0nm/Qxewi27V6C+PUF9y8fNo+vN/p73AW2Y/ebZzz7633e3PsrlulJtnVMvmKV
cut6U26GLU/+FSv1dJ1vmy1fsU5PN+36c+xIA/IrluhZuWYL2DIoX7FEz+P1w2ZL7CiKUTvPw3MU
LrcFd0KEZ+ebXwaEjlXwuGVkRMtz5/tfrR9KUoK03nKWal+xSq/W6R+TDW5r2z7gK5bq8weU6bp8
3LqRaV+xaMWHzIKNt+1LfMWqFfdfsAIeguph22d8xfIVn3GYrYtm22klquFfMJnSP46boPrj7D6o
8m3f4ysWs/geJ+t6s+3+X7GeuX+9/mOyLu/X22IG0UL5ipHiM6bx9k/4moUtvsW0bMbXx/37iBRy
D7t/BX+9NScURdTdb04NY+vgf8liDqoI57/m9TnfDMyXrOUsXm+LHkSxc/eBITD5pTX7kwrcDvWb
q3qdBlW8bqrXJ30zNF+ydEWZZcs5LADwOw/N9cZfbxsaUcvd/ea/dQzddeCvG3aCLUe8gHvu/ui/
N5rZ9dl/L5y8691/ZPGWfV706nYelx/N/ZZIWWCo/sWtt5Vl/6IZfS7Wvqo7bvuz97Vo8RsP8WZd
/s//AQAA//8=</cx:binary>
              </cx:geoCache>
            </cx:geography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7.xml"/><Relationship Id="rId7" Type="http://schemas.microsoft.com/office/2014/relationships/chartEx" Target="../charts/chartEx4.xml"/><Relationship Id="rId2" Type="http://schemas.openxmlformats.org/officeDocument/2006/relationships/image" Target="../media/image1.emf"/><Relationship Id="rId1" Type="http://schemas.openxmlformats.org/officeDocument/2006/relationships/chart" Target="../charts/chart6.xml"/><Relationship Id="rId6" Type="http://schemas.microsoft.com/office/2014/relationships/chartEx" Target="../charts/chartEx3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Relationship Id="rId9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hyperlink" Target="https://chandoo.org/wp/" TargetMode="External"/><Relationship Id="rId1" Type="http://schemas.openxmlformats.org/officeDocument/2006/relationships/image" Target="../media/image3.png"/><Relationship Id="rId5" Type="http://schemas.openxmlformats.org/officeDocument/2006/relationships/image" Target="../media/image5.png"/><Relationship Id="rId4" Type="http://schemas.openxmlformats.org/officeDocument/2006/relationships/hyperlink" Target="https://chandoo.org/wp/excel-school-program/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68580</xdr:colOff>
      <xdr:row>4</xdr:row>
      <xdr:rowOff>19050</xdr:rowOff>
    </xdr:from>
    <xdr:to>
      <xdr:col>11</xdr:col>
      <xdr:colOff>373380</xdr:colOff>
      <xdr:row>19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45A0D-7E71-82F2-2C13-C939AFE90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297180</xdr:colOff>
      <xdr:row>1</xdr:row>
      <xdr:rowOff>171450</xdr:rowOff>
    </xdr:from>
    <xdr:to>
      <xdr:col>9</xdr:col>
      <xdr:colOff>480060</xdr:colOff>
      <xdr:row>10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EB6415-AA94-AA82-C0DC-454B2A3AD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8</xdr:row>
      <xdr:rowOff>102870</xdr:rowOff>
    </xdr:from>
    <xdr:to>
      <xdr:col>14</xdr:col>
      <xdr:colOff>121920</xdr:colOff>
      <xdr:row>18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7F2A04-6FC3-828F-2757-EDA4C3DB4F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647700</xdr:colOff>
      <xdr:row>39</xdr:row>
      <xdr:rowOff>38100</xdr:rowOff>
    </xdr:from>
    <xdr:to>
      <xdr:col>7</xdr:col>
      <xdr:colOff>807720</xdr:colOff>
      <xdr:row>54</xdr:row>
      <xdr:rowOff>38100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71D74DA-EA50-F758-8255-911AC1AAA1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63540" y="7170420"/>
              <a:ext cx="33756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746760</xdr:colOff>
      <xdr:row>5</xdr:row>
      <xdr:rowOff>91440</xdr:rowOff>
    </xdr:from>
    <xdr:to>
      <xdr:col>16</xdr:col>
      <xdr:colOff>160020</xdr:colOff>
      <xdr:row>13</xdr:row>
      <xdr:rowOff>167640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070C471-9BDC-4C21-C063-A4D69627B6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0620" y="1005840"/>
              <a:ext cx="2446020" cy="1539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1</xdr:row>
      <xdr:rowOff>156210</xdr:rowOff>
    </xdr:from>
    <xdr:to>
      <xdr:col>6</xdr:col>
      <xdr:colOff>91440</xdr:colOff>
      <xdr:row>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2F63B3-3500-954A-924B-305352D3A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579120</xdr:colOff>
      <xdr:row>11</xdr:row>
      <xdr:rowOff>156210</xdr:rowOff>
    </xdr:from>
    <xdr:to>
      <xdr:col>11</xdr:col>
      <xdr:colOff>411480</xdr:colOff>
      <xdr:row>20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793179-B4D9-BE70-E365-1BAE51F64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53438</xdr:colOff>
      <xdr:row>0</xdr:row>
      <xdr:rowOff>0</xdr:rowOff>
    </xdr:from>
    <xdr:to>
      <xdr:col>35</xdr:col>
      <xdr:colOff>286986</xdr:colOff>
      <xdr:row>43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2E711C-2A24-4D4D-87BA-83E9FC8B40D0}"/>
            </a:ext>
          </a:extLst>
        </xdr:cNvPr>
        <xdr:cNvSpPr/>
      </xdr:nvSpPr>
      <xdr:spPr>
        <a:xfrm>
          <a:off x="53438" y="0"/>
          <a:ext cx="21074743" cy="7659584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>
          <a:outerShdw blurRad="254000" dist="127000" algn="l" rotWithShape="0">
            <a:prstClr val="black">
              <a:alpha val="1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0</xdr:colOff>
      <xdr:row>43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0CF5D1E-2563-41D5-BA29-5EAAC61A9C34}"/>
            </a:ext>
          </a:extLst>
        </xdr:cNvPr>
        <xdr:cNvSpPr/>
      </xdr:nvSpPr>
      <xdr:spPr>
        <a:xfrm>
          <a:off x="0" y="0"/>
          <a:ext cx="1979221" cy="7659584"/>
        </a:xfrm>
        <a:prstGeom prst="rect">
          <a:avLst/>
        </a:prstGeom>
        <a:solidFill>
          <a:schemeClr val="accent5">
            <a:lumMod val="50000"/>
          </a:schemeClr>
        </a:solidFill>
        <a:ln>
          <a:noFill/>
        </a:ln>
        <a:effectLst>
          <a:outerShdw blurRad="254000" dist="127000" algn="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53439</xdr:colOff>
      <xdr:row>1</xdr:row>
      <xdr:rowOff>19792</xdr:rowOff>
    </xdr:from>
    <xdr:to>
      <xdr:col>2</xdr:col>
      <xdr:colOff>112816</xdr:colOff>
      <xdr:row>8</xdr:row>
      <xdr:rowOff>0</xdr:rowOff>
    </xdr:to>
    <xdr:sp macro="" textlink="Sheet1!G5">
      <xdr:nvSpPr>
        <xdr:cNvPr id="5" name="Rectangle 4">
          <a:extLst>
            <a:ext uri="{FF2B5EF4-FFF2-40B4-BE49-F238E27FC236}">
              <a16:creationId xmlns:a16="http://schemas.microsoft.com/office/drawing/2014/main" id="{DA25C405-3FAA-8874-A27C-0182A5EDEB45}"/>
            </a:ext>
          </a:extLst>
        </xdr:cNvPr>
        <xdr:cNvSpPr/>
      </xdr:nvSpPr>
      <xdr:spPr>
        <a:xfrm>
          <a:off x="53439" y="197922"/>
          <a:ext cx="1810987" cy="122711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Orders</a:t>
          </a:r>
          <a:endParaRPr lang="en-US" sz="20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  <a:p>
          <a:pPr marL="0" indent="0" algn="ctr"/>
          <a:fld id="{9B3A5ED2-927B-4FB9-B58A-0333E22B1B68}" type="TxLink">
            <a:rPr lang="en-US" sz="28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pPr marL="0" indent="0" algn="ctr"/>
            <a:t>2,400</a:t>
          </a:fld>
          <a:endParaRPr lang="en-IN" sz="28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53439</xdr:colOff>
      <xdr:row>7</xdr:row>
      <xdr:rowOff>83127</xdr:rowOff>
    </xdr:from>
    <xdr:to>
      <xdr:col>2</xdr:col>
      <xdr:colOff>112816</xdr:colOff>
      <xdr:row>14</xdr:row>
      <xdr:rowOff>63335</xdr:rowOff>
    </xdr:to>
    <xdr:sp macro="" textlink="Sheet1!H5">
      <xdr:nvSpPr>
        <xdr:cNvPr id="7" name="Rectangle 6">
          <a:extLst>
            <a:ext uri="{FF2B5EF4-FFF2-40B4-BE49-F238E27FC236}">
              <a16:creationId xmlns:a16="http://schemas.microsoft.com/office/drawing/2014/main" id="{D02F4360-70E0-4703-86A7-7243C344BB45}"/>
            </a:ext>
          </a:extLst>
        </xdr:cNvPr>
        <xdr:cNvSpPr/>
      </xdr:nvSpPr>
      <xdr:spPr>
        <a:xfrm>
          <a:off x="53439" y="1330036"/>
          <a:ext cx="1810987" cy="122711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Qty</a:t>
          </a:r>
          <a:endParaRPr lang="en-US" sz="20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  <a:p>
          <a:pPr marL="0" indent="0" algn="ctr"/>
          <a:fld id="{8024B1F0-18A1-4F79-8D2A-FBBEE19FDDD8}" type="TxLink">
            <a:rPr lang="en-US" sz="2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pPr marL="0" indent="0" algn="ctr"/>
            <a:t>11,997</a:t>
          </a:fld>
          <a:endParaRPr lang="en-IN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53439</xdr:colOff>
      <xdr:row>13</xdr:row>
      <xdr:rowOff>146462</xdr:rowOff>
    </xdr:from>
    <xdr:to>
      <xdr:col>2</xdr:col>
      <xdr:colOff>112816</xdr:colOff>
      <xdr:row>20</xdr:row>
      <xdr:rowOff>126670</xdr:rowOff>
    </xdr:to>
    <xdr:sp macro="" textlink="Sheet1!I5">
      <xdr:nvSpPr>
        <xdr:cNvPr id="9" name="Rectangle 8">
          <a:extLst>
            <a:ext uri="{FF2B5EF4-FFF2-40B4-BE49-F238E27FC236}">
              <a16:creationId xmlns:a16="http://schemas.microsoft.com/office/drawing/2014/main" id="{65E46474-09C8-4E3B-B9FB-D3AB0BBD9D87}"/>
            </a:ext>
          </a:extLst>
        </xdr:cNvPr>
        <xdr:cNvSpPr/>
      </xdr:nvSpPr>
      <xdr:spPr>
        <a:xfrm>
          <a:off x="53439" y="2462150"/>
          <a:ext cx="1810987" cy="122711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Amount</a:t>
          </a:r>
          <a:endParaRPr lang="en-US" sz="20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  <a:p>
          <a:pPr marL="0" indent="0" algn="ctr"/>
          <a:fld id="{54111E6E-48D6-48A7-BB30-F870C3DBDEE7}" type="TxLink">
            <a:rPr lang="en-US" sz="2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pPr marL="0" indent="0" algn="ctr"/>
            <a:t>$649.0k</a:t>
          </a:fld>
          <a:endParaRPr lang="en-IN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53439</xdr:colOff>
      <xdr:row>20</xdr:row>
      <xdr:rowOff>39584</xdr:rowOff>
    </xdr:from>
    <xdr:to>
      <xdr:col>2</xdr:col>
      <xdr:colOff>112816</xdr:colOff>
      <xdr:row>27</xdr:row>
      <xdr:rowOff>19792</xdr:rowOff>
    </xdr:to>
    <xdr:sp macro="" textlink="Sheet1!J5">
      <xdr:nvSpPr>
        <xdr:cNvPr id="10" name="Rectangle 9">
          <a:extLst>
            <a:ext uri="{FF2B5EF4-FFF2-40B4-BE49-F238E27FC236}">
              <a16:creationId xmlns:a16="http://schemas.microsoft.com/office/drawing/2014/main" id="{3D83F84A-CFD5-406B-8212-F362775DD1B4}"/>
            </a:ext>
          </a:extLst>
        </xdr:cNvPr>
        <xdr:cNvSpPr/>
      </xdr:nvSpPr>
      <xdr:spPr>
        <a:xfrm>
          <a:off x="53439" y="3602181"/>
          <a:ext cx="1810987" cy="122711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Avg. Rating</a:t>
          </a:r>
          <a:endParaRPr lang="en-US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  <a:p>
          <a:pPr marL="0" indent="0" algn="ctr"/>
          <a:fld id="{C829C945-6760-456A-B82A-B5149389ADD4}" type="TxLink">
            <a:rPr lang="en-US" sz="2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pPr marL="0" indent="0" algn="ctr"/>
            <a:t>4.0</a:t>
          </a:fld>
          <a:endParaRPr lang="en-IN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53439</xdr:colOff>
      <xdr:row>26</xdr:row>
      <xdr:rowOff>108857</xdr:rowOff>
    </xdr:from>
    <xdr:to>
      <xdr:col>2</xdr:col>
      <xdr:colOff>112816</xdr:colOff>
      <xdr:row>33</xdr:row>
      <xdr:rowOff>89065</xdr:rowOff>
    </xdr:to>
    <xdr:sp macro="" textlink="Sheet1!K5">
      <xdr:nvSpPr>
        <xdr:cNvPr id="11" name="Rectangle 10">
          <a:extLst>
            <a:ext uri="{FF2B5EF4-FFF2-40B4-BE49-F238E27FC236}">
              <a16:creationId xmlns:a16="http://schemas.microsoft.com/office/drawing/2014/main" id="{E879A9B7-BE8A-4DBB-A239-48CB03D767C6}"/>
            </a:ext>
          </a:extLst>
        </xdr:cNvPr>
        <xdr:cNvSpPr/>
      </xdr:nvSpPr>
      <xdr:spPr>
        <a:xfrm>
          <a:off x="53439" y="4740234"/>
          <a:ext cx="1810987" cy="122711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Avg. Delivery</a:t>
          </a:r>
          <a:r>
            <a:rPr lang="en-US" sz="1400" b="0" i="0" u="none" strike="noStrike" baseline="0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t> Date</a:t>
          </a:r>
          <a:endParaRPr lang="en-US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  <a:p>
          <a:pPr marL="0" indent="0" algn="ctr"/>
          <a:fld id="{72A2F4AA-2FA8-431A-8503-EC92B61776A8}" type="TxLink">
            <a:rPr lang="en-US" sz="2400" b="0" i="0" u="none" strike="noStrike">
              <a:solidFill>
                <a:schemeClr val="accent5">
                  <a:lumMod val="20000"/>
                  <a:lumOff val="80000"/>
                </a:schemeClr>
              </a:solidFill>
              <a:latin typeface="Franklin Gothic Heavy" panose="020B0903020102020204" pitchFamily="34" charset="0"/>
              <a:ea typeface="+mn-ea"/>
              <a:cs typeface="+mn-cs"/>
            </a:rPr>
            <a:pPr marL="0" indent="0" algn="ctr"/>
            <a:t>2.3</a:t>
          </a:fld>
          <a:endParaRPr lang="en-IN" sz="2400" b="0" i="0" u="none" strike="noStrike">
            <a:solidFill>
              <a:schemeClr val="accent5">
                <a:lumMod val="20000"/>
                <a:lumOff val="80000"/>
              </a:schemeClr>
            </a:solidFill>
            <a:latin typeface="Franklin Gothic Heavy" panose="020B09030201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33645</xdr:colOff>
      <xdr:row>0</xdr:row>
      <xdr:rowOff>69273</xdr:rowOff>
    </xdr:from>
    <xdr:to>
      <xdr:col>13</xdr:col>
      <xdr:colOff>482958</xdr:colOff>
      <xdr:row>12</xdr:row>
      <xdr:rowOff>118754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7F0F1B5-B044-45BC-AF39-A01E9C26E1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</xdr:colOff>
          <xdr:row>0</xdr:row>
          <xdr:rowOff>93247</xdr:rowOff>
        </xdr:from>
        <xdr:to>
          <xdr:col>22</xdr:col>
          <xdr:colOff>524972</xdr:colOff>
          <xdr:row>13</xdr:row>
          <xdr:rowOff>9758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5127A635-1D7B-B852-1424-E657183E20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H$4:$L$9" spid="_x0000_s104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8317607" y="93247"/>
              <a:ext cx="5418942" cy="228837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23</xdr:col>
      <xdr:colOff>10732</xdr:colOff>
      <xdr:row>0</xdr:row>
      <xdr:rowOff>21467</xdr:rowOff>
    </xdr:from>
    <xdr:to>
      <xdr:col>33</xdr:col>
      <xdr:colOff>420710</xdr:colOff>
      <xdr:row>12</xdr:row>
      <xdr:rowOff>160986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8213E5D-1F4C-4081-9201-5235145B2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21241</xdr:colOff>
      <xdr:row>12</xdr:row>
      <xdr:rowOff>182450</xdr:rowOff>
    </xdr:from>
    <xdr:to>
      <xdr:col>12</xdr:col>
      <xdr:colOff>182450</xdr:colOff>
      <xdr:row>42</xdr:row>
      <xdr:rowOff>10731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51DABA4-EBDD-4CE5-820A-1C7B6D83B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21466</xdr:colOff>
      <xdr:row>30</xdr:row>
      <xdr:rowOff>42929</xdr:rowOff>
    </xdr:from>
    <xdr:to>
      <xdr:col>10</xdr:col>
      <xdr:colOff>536620</xdr:colOff>
      <xdr:row>40</xdr:row>
      <xdr:rowOff>75127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47CD08B-0195-4C9F-B327-F72F2ED04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300507</xdr:colOff>
      <xdr:row>13</xdr:row>
      <xdr:rowOff>21465</xdr:rowOff>
    </xdr:from>
    <xdr:to>
      <xdr:col>20</xdr:col>
      <xdr:colOff>429295</xdr:colOff>
      <xdr:row>42</xdr:row>
      <xdr:rowOff>53662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9" name="Chart 18">
              <a:extLst>
                <a:ext uri="{FF2B5EF4-FFF2-40B4-BE49-F238E27FC236}">
                  <a16:creationId xmlns:a16="http://schemas.microsoft.com/office/drawing/2014/main" id="{28B83A1E-D019-453C-B2A0-D3617728FC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94620" y="2393324"/>
              <a:ext cx="5022760" cy="53232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257577</xdr:colOff>
      <xdr:row>16</xdr:row>
      <xdr:rowOff>160986</xdr:rowOff>
    </xdr:from>
    <xdr:to>
      <xdr:col>20</xdr:col>
      <xdr:colOff>21464</xdr:colOff>
      <xdr:row>26</xdr:row>
      <xdr:rowOff>139522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0" name="Chart 19">
              <a:extLst>
                <a:ext uri="{FF2B5EF4-FFF2-40B4-BE49-F238E27FC236}">
                  <a16:creationId xmlns:a16="http://schemas.microsoft.com/office/drawing/2014/main" id="{10328524-4F57-47BF-8E5A-1E6BD3908E2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10422" y="3080197"/>
              <a:ext cx="1599127" cy="1803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525663</xdr:colOff>
      <xdr:row>13</xdr:row>
      <xdr:rowOff>32197</xdr:rowOff>
    </xdr:from>
    <xdr:to>
      <xdr:col>33</xdr:col>
      <xdr:colOff>407831</xdr:colOff>
      <xdr:row>28</xdr:row>
      <xdr:rowOff>38636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8257058-5B1B-46CE-BEB9-50955774F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514931</xdr:colOff>
      <xdr:row>28</xdr:row>
      <xdr:rowOff>75127</xdr:rowOff>
    </xdr:from>
    <xdr:to>
      <xdr:col>33</xdr:col>
      <xdr:colOff>429295</xdr:colOff>
      <xdr:row>42</xdr:row>
      <xdr:rowOff>53662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7A6111D-B5CC-47CD-AEF9-672118550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4</xdr:col>
      <xdr:colOff>324130</xdr:colOff>
      <xdr:row>3</xdr:row>
      <xdr:rowOff>76322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BF637-9F8C-404F-8B9A-8AB22E64E9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9200" y="182880"/>
          <a:ext cx="1543330" cy="4420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3</xdr:col>
      <xdr:colOff>304800</xdr:colOff>
      <xdr:row>29</xdr:row>
      <xdr:rowOff>67829</xdr:rowOff>
    </xdr:to>
    <xdr:pic>
      <xdr:nvPicPr>
        <xdr:cNvPr id="3" name="Pictur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02BB025-83F9-4955-BC88-7D277D79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4937760"/>
          <a:ext cx="1524000" cy="433589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7</xdr:row>
      <xdr:rowOff>1</xdr:rowOff>
    </xdr:from>
    <xdr:to>
      <xdr:col>8</xdr:col>
      <xdr:colOff>1</xdr:colOff>
      <xdr:row>21</xdr:row>
      <xdr:rowOff>1</xdr:rowOff>
    </xdr:to>
    <xdr:pic>
      <xdr:nvPicPr>
        <xdr:cNvPr id="5" name="Pictur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7527581-9CC7-32E2-D643-E625DB568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86201" y="1280161"/>
          <a:ext cx="2560320" cy="256032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nav" refreshedDate="46189.47326111111" createdVersion="8" refreshedVersion="8" minRefreshableVersion="3" recordCount="2400" xr:uid="{3FEEFE06-3141-4383-B4E9-02F3B2E94FA9}">
  <cacheSource type="worksheet">
    <worksheetSource name="orders"/>
  </cacheSource>
  <cacheFields count="17">
    <cacheField name="TX ID" numFmtId="0">
      <sharedItems/>
    </cacheField>
    <cacheField name="Product" numFmtId="0">
      <sharedItems count="20">
        <s v="Shorts"/>
        <s v="Tank Tops"/>
        <s v="Sneakers"/>
        <s v="Workout Tops"/>
        <s v="Graphic Tees"/>
        <s v="Sandals"/>
        <s v="Jeans"/>
        <s v="Hoodies &amp; Sweatshirts"/>
        <s v="T-Shirts"/>
        <s v="Sundresses"/>
        <s v="Bikinis"/>
        <s v="Maxi Dresses"/>
        <s v="Casual Dresses"/>
        <s v="Tote Bags"/>
        <s v="Baseball Caps"/>
        <s v="Crop Tops"/>
        <s v="Sunglasses"/>
        <s v="Pajama Sets"/>
        <s v="Leggings"/>
        <s v="Jewelry"/>
      </sharedItems>
    </cacheField>
    <cacheField name="Quantity" numFmtId="0">
      <sharedItems containsSemiMixedTypes="0" containsString="0" containsNumber="1" containsInteger="1" minValue="1" maxValue="87" count="48">
        <n v="1"/>
        <n v="2"/>
        <n v="3"/>
        <n v="7"/>
        <n v="12"/>
        <n v="11"/>
        <n v="27"/>
        <n v="10"/>
        <n v="8"/>
        <n v="5"/>
        <n v="19"/>
        <n v="9"/>
        <n v="4"/>
        <n v="6"/>
        <n v="17"/>
        <n v="13"/>
        <n v="18"/>
        <n v="30"/>
        <n v="26"/>
        <n v="29"/>
        <n v="15"/>
        <n v="14"/>
        <n v="62"/>
        <n v="43"/>
        <n v="41"/>
        <n v="24"/>
        <n v="49"/>
        <n v="16"/>
        <n v="20"/>
        <n v="40"/>
        <n v="25"/>
        <n v="28"/>
        <n v="22"/>
        <n v="34"/>
        <n v="36"/>
        <n v="47"/>
        <n v="35"/>
        <n v="31"/>
        <n v="21"/>
        <n v="42"/>
        <n v="33"/>
        <n v="45"/>
        <n v="63"/>
        <n v="38"/>
        <n v="23"/>
        <n v="87"/>
        <n v="32"/>
        <n v="70"/>
      </sharedItems>
      <fieldGroup par="15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 count="1764">
        <n v="10.9"/>
        <n v="61.2"/>
        <n v="328.20000000000005"/>
        <n v="263.90000000000003"/>
        <n v="170.10000000000002"/>
        <n v="1002"/>
        <n v="55.3"/>
        <n v="80.599999999999994"/>
        <n v="392.70000000000005"/>
        <n v="156.79999999999998"/>
        <n v="108.8"/>
        <n v="98"/>
        <n v="830.19999999999993"/>
        <n v="2386.8000000000002"/>
        <n v="66.7"/>
        <n v="309"/>
        <n v="93.300000000000011"/>
        <n v="109.80000000000001"/>
        <n v="408.8"/>
        <n v="25.2"/>
        <n v="219"/>
        <n v="560.40000000000009"/>
        <n v="1518.1000000000001"/>
        <n v="211.2"/>
        <n v="710.4"/>
        <n v="175"/>
        <n v="348.3"/>
        <n v="228.8"/>
        <n v="254.5"/>
        <n v="287"/>
        <n v="133.70000000000002"/>
        <n v="830.5"/>
        <n v="89.699999999999989"/>
        <n v="130.19999999999999"/>
        <n v="64"/>
        <n v="31.6"/>
        <n v="3452.7"/>
        <n v="507"/>
        <n v="26.5"/>
        <n v="43.1"/>
        <n v="417"/>
        <n v="80.7"/>
        <n v="109"/>
        <n v="205.79999999999998"/>
        <n v="543.6"/>
        <n v="283.60000000000002"/>
        <n v="318.5"/>
        <n v="29.7"/>
        <n v="80.400000000000006"/>
        <n v="27"/>
        <n v="41.4"/>
        <n v="48.6"/>
        <n v="125.10000000000001"/>
        <n v="36"/>
        <n v="273.89999999999998"/>
        <n v="154.4"/>
        <n v="821.6"/>
        <n v="299.7"/>
        <n v="128.4"/>
        <n v="69.300000000000011"/>
        <n v="142.19999999999999"/>
        <n v="23"/>
        <n v="1314.8"/>
        <n v="26.8"/>
        <n v="93.6"/>
        <n v="226.4"/>
        <n v="168"/>
        <n v="178.2"/>
        <n v="97.7"/>
        <n v="390.8"/>
        <n v="89.6"/>
        <n v="511.2"/>
        <n v="35.799999999999997"/>
        <n v="96.8"/>
        <n v="177.6"/>
        <n v="829.6"/>
        <n v="234.4"/>
        <n v="219.2"/>
        <n v="236.39999999999998"/>
        <n v="184"/>
        <n v="303.60000000000002"/>
        <n v="110.39999999999999"/>
        <n v="376.2"/>
        <n v="77.3"/>
        <n v="79.2"/>
        <n v="62"/>
        <n v="46.8"/>
        <n v="257.40000000000003"/>
        <n v="273.5"/>
        <n v="783"/>
        <n v="100.8"/>
        <n v="799.5"/>
        <n v="120.4"/>
        <n v="374"/>
        <n v="194.70000000000002"/>
        <n v="101"/>
        <n v="441"/>
        <n v="280.79999999999995"/>
        <n v="1242"/>
        <n v="320"/>
        <n v="115.5"/>
        <n v="106"/>
        <n v="55.5"/>
        <n v="253.5"/>
        <n v="218.4"/>
        <n v="586.80000000000007"/>
        <n v="181.6"/>
        <n v="1440"/>
        <n v="75.599999999999994"/>
        <n v="32"/>
        <n v="74.599999999999994"/>
        <n v="119.8"/>
        <n v="52.8"/>
        <n v="459"/>
        <n v="457"/>
        <n v="1111.1999999999998"/>
        <n v="360.6"/>
        <n v="132.89999999999998"/>
        <n v="189.89999999999998"/>
        <n v="66.8"/>
        <n v="119.4"/>
        <n v="552"/>
        <n v="175.2"/>
        <n v="232.6"/>
        <n v="263.5"/>
        <n v="102.60000000000001"/>
        <n v="23.3"/>
        <n v="673.4"/>
        <n v="1592.1"/>
        <n v="227.39999999999998"/>
        <n v="404.09999999999997"/>
        <n v="97.6"/>
        <n v="20.3"/>
        <n v="254.79999999999998"/>
        <n v="19"/>
        <n v="17.8"/>
        <n v="837.59999999999991"/>
        <n v="31.7"/>
        <n v="210.4"/>
        <n v="95.6"/>
        <n v="208.20000000000002"/>
        <n v="309.60000000000002"/>
        <n v="105.6"/>
        <n v="62.8"/>
        <n v="39.700000000000003"/>
        <n v="124.4"/>
        <n v="351"/>
        <n v="228.4"/>
        <n v="449.5"/>
        <n v="336.7"/>
        <n v="58.6"/>
        <n v="115.2"/>
        <n v="202.5"/>
        <n v="911.39999999999986"/>
        <n v="161.19999999999999"/>
        <n v="259"/>
        <n v="183.89999999999998"/>
        <n v="490"/>
        <n v="112.5"/>
        <n v="300"/>
        <n v="120"/>
        <n v="308"/>
        <n v="172.8"/>
        <n v="50.7"/>
        <n v="122"/>
        <n v="39.799999999999997"/>
        <n v="78.3"/>
        <n v="197.6"/>
        <n v="36.1"/>
        <n v="34.6"/>
        <n v="61"/>
        <n v="4346.2"/>
        <n v="76.099999999999994"/>
        <n v="444.6"/>
        <n v="151.5"/>
        <n v="262.5"/>
        <n v="315.7"/>
        <n v="364"/>
        <n v="13.3"/>
        <n v="47.099999999999994"/>
        <n v="51.2"/>
        <n v="43.4"/>
        <n v="300.59999999999997"/>
        <n v="1045"/>
        <n v="70.800000000000011"/>
        <n v="936"/>
        <n v="103.6"/>
        <n v="172.5"/>
        <n v="5654.5"/>
        <n v="334.59999999999997"/>
        <n v="20.399999999999999"/>
        <n v="328"/>
        <n v="355.59999999999997"/>
        <n v="118.80000000000001"/>
        <n v="139"/>
        <n v="260.8"/>
        <n v="98.2"/>
        <n v="98.8"/>
        <n v="455.69999999999993"/>
        <n v="104.2"/>
        <n v="516.79999999999995"/>
        <n v="1554.2"/>
        <n v="24.9"/>
        <n v="148.19999999999999"/>
        <n v="45.4"/>
        <n v="545.5"/>
        <n v="215.6"/>
        <n v="551.19999999999993"/>
        <n v="276"/>
        <n v="138.60000000000002"/>
        <n v="487"/>
        <n v="105"/>
        <n v="65.400000000000006"/>
        <n v="192"/>
        <n v="204.60000000000002"/>
        <n v="107.8"/>
        <n v="248.4"/>
        <n v="231.70000000000002"/>
        <n v="176"/>
        <n v="96.300000000000011"/>
        <n v="38.1"/>
        <n v="65.2"/>
        <n v="386.40000000000003"/>
        <n v="137.69999999999999"/>
        <n v="174.89999999999998"/>
        <n v="44.6"/>
        <n v="213"/>
        <n v="2369.7999999999997"/>
        <n v="202.79999999999998"/>
        <n v="400.20000000000005"/>
        <n v="212.4"/>
        <n v="172.2"/>
        <n v="290.5"/>
        <n v="95.4"/>
        <n v="94.5"/>
        <n v="391.3"/>
        <n v="72.8"/>
        <n v="236.5"/>
        <n v="247.5"/>
        <n v="14.3"/>
        <n v="345.6"/>
        <n v="427.20000000000005"/>
        <n v="30.2"/>
        <n v="195.89999999999998"/>
        <n v="90.2"/>
        <n v="431.90000000000003"/>
        <n v="135.30000000000001"/>
        <n v="113.5"/>
        <n v="17.600000000000001"/>
        <n v="22.6"/>
        <n v="160.19999999999999"/>
        <n v="562.1"/>
        <n v="55"/>
        <n v="33.5"/>
        <n v="59.5"/>
        <n v="94"/>
        <n v="49.7"/>
        <n v="176.8"/>
        <n v="22.1"/>
        <n v="272.70000000000005"/>
        <n v="133.5"/>
        <n v="193.79999999999998"/>
        <n v="243.5"/>
        <n v="527.20000000000005"/>
        <n v="209.5"/>
        <n v="337.5"/>
        <n v="60.4"/>
        <n v="212.79999999999998"/>
        <n v="49"/>
        <n v="317.70000000000005"/>
        <n v="621.59999999999991"/>
        <n v="200.39999999999998"/>
        <n v="336.9"/>
        <n v="564.59999999999991"/>
        <n v="40.700000000000003"/>
        <n v="142.80000000000001"/>
        <n v="280.8"/>
        <n v="151.19999999999999"/>
        <n v="84.300000000000011"/>
        <n v="308.39999999999998"/>
        <n v="195.4"/>
        <n v="255.2"/>
        <n v="40.200000000000003"/>
        <n v="16.2"/>
        <n v="566.30000000000007"/>
        <n v="571.20000000000005"/>
        <n v="563.20000000000005"/>
        <n v="53.5"/>
        <n v="381.70000000000005"/>
        <n v="306.90000000000003"/>
        <n v="1435.7"/>
        <n v="55.2"/>
        <n v="78"/>
        <n v="28.4"/>
        <n v="204.29999999999998"/>
        <n v="297"/>
        <n v="95.1"/>
        <n v="121.6"/>
        <n v="102.4"/>
        <n v="69.8"/>
        <n v="256.20000000000005"/>
        <n v="23.9"/>
        <n v="124.3"/>
        <n v="215.39999999999998"/>
        <n v="138.19999999999999"/>
        <n v="58.4"/>
        <n v="555.90000000000009"/>
        <n v="170.79999999999998"/>
        <n v="200"/>
        <n v="129"/>
        <n v="322"/>
        <n v="114.8"/>
        <n v="165.3"/>
        <n v="279.89999999999998"/>
        <n v="3005.7999999999997"/>
        <n v="149.80000000000001"/>
        <n v="182"/>
        <n v="225"/>
        <n v="151.6"/>
        <n v="48.5"/>
        <n v="296.70000000000005"/>
        <n v="610.79999999999995"/>
        <n v="508.20000000000005"/>
        <n v="20.7"/>
        <n v="520.19999999999993"/>
        <n v="213.8"/>
        <n v="226"/>
        <n v="449.8"/>
        <n v="43.8"/>
        <n v="36.700000000000003"/>
        <n v="81.599999999999994"/>
        <n v="58.2"/>
        <n v="76.800000000000011"/>
        <n v="21.2"/>
        <n v="96.4"/>
        <n v="333.6"/>
        <n v="135.89999999999998"/>
        <n v="42"/>
        <n v="196.20000000000002"/>
        <n v="385.2"/>
        <n v="135"/>
        <n v="39.6"/>
        <n v="239.39999999999998"/>
        <n v="254.4"/>
        <n v="927"/>
        <n v="193.6"/>
        <n v="288"/>
        <n v="324"/>
        <n v="431.2"/>
        <n v="435.59999999999997"/>
        <n v="99.8"/>
        <n v="155.10000000000002"/>
        <n v="125.39999999999999"/>
        <n v="144.80000000000001"/>
        <n v="150.9"/>
        <n v="310.39999999999998"/>
        <n v="327.5"/>
        <n v="270.29999999999995"/>
        <n v="216.6"/>
        <n v="179.7"/>
        <n v="2363"/>
        <n v="261.89999999999998"/>
        <n v="169.2"/>
        <n v="828.8"/>
        <n v="181.8"/>
        <n v="1614.4"/>
        <n v="180"/>
        <n v="499.79999999999995"/>
        <n v="1025.0999999999999"/>
        <n v="721.8"/>
        <n v="340"/>
        <n v="948"/>
        <n v="74"/>
        <n v="302"/>
        <n v="138.6"/>
        <n v="405"/>
        <n v="124.5"/>
        <n v="139.4"/>
        <n v="418"/>
        <n v="150.5"/>
        <n v="112.80000000000001"/>
        <n v="140.4"/>
        <n v="25.4"/>
        <n v="137"/>
        <n v="122.6"/>
        <n v="129.4"/>
        <n v="365.6"/>
        <n v="66.2"/>
        <n v="139.19999999999999"/>
        <n v="494.19999999999993"/>
        <n v="32.200000000000003"/>
        <n v="55.8"/>
        <n v="47.1"/>
        <n v="170"/>
        <n v="178"/>
        <n v="304.5"/>
        <n v="579.5"/>
        <n v="215.4"/>
        <n v="1484.6000000000001"/>
        <n v="1117"/>
        <n v="310.09999999999997"/>
        <n v="766.4"/>
        <n v="158.20000000000002"/>
        <n v="204.8"/>
        <n v="868.8"/>
        <n v="666.9"/>
        <n v="31.2"/>
        <n v="90.9"/>
        <n v="60.6"/>
        <n v="159"/>
        <n v="1078.2"/>
        <n v="91.4"/>
        <n v="184.4"/>
        <n v="52.5"/>
        <n v="109.5"/>
        <n v="95"/>
        <n v="228"/>
        <n v="998"/>
        <n v="67.800000000000011"/>
        <n v="1903.5"/>
        <n v="200.6"/>
        <n v="442.8"/>
        <n v="94.6"/>
        <n v="285.59999999999997"/>
        <n v="393.6"/>
        <n v="28.5"/>
        <n v="73.599999999999994"/>
        <n v="100.5"/>
        <n v="375"/>
        <n v="1916"/>
        <n v="557.40000000000009"/>
        <n v="132.30000000000001"/>
        <n v="11.4"/>
        <n v="83.7"/>
        <n v="46.4"/>
        <n v="162.1"/>
        <n v="196.8"/>
        <n v="531"/>
        <n v="44.8"/>
        <n v="376.5"/>
        <n v="42.6"/>
        <n v="245"/>
        <n v="93.9"/>
        <n v="170.8"/>
        <n v="160"/>
        <n v="77"/>
        <n v="115.6"/>
        <n v="19.2"/>
        <n v="688.8"/>
        <n v="338.8"/>
        <n v="366"/>
        <n v="97.2"/>
        <n v="292.20000000000005"/>
        <n v="64.400000000000006"/>
        <n v="206.4"/>
        <n v="189.6"/>
        <n v="1420"/>
        <n v="292.8"/>
        <n v="50.400000000000006"/>
        <n v="393.79999999999995"/>
        <n v="64.900000000000006"/>
        <n v="207"/>
        <n v="82.4"/>
        <n v="37.799999999999997"/>
        <n v="85.2"/>
        <n v="152"/>
        <n v="55.4"/>
        <n v="249.60000000000002"/>
        <n v="145.4"/>
        <n v="42.4"/>
        <n v="83"/>
        <n v="530.1"/>
        <n v="57.1"/>
        <n v="57.2"/>
        <n v="70.2"/>
        <n v="52.1"/>
        <n v="179.39999999999998"/>
        <n v="333.2"/>
        <n v="495.59999999999997"/>
        <n v="80"/>
        <n v="41.6"/>
        <n v="758.80000000000007"/>
        <n v="77.8"/>
        <n v="21.6"/>
        <n v="629.19999999999993"/>
        <n v="87.6"/>
        <n v="50.2"/>
        <n v="196.79999999999998"/>
        <n v="114.6"/>
        <n v="411.3"/>
        <n v="1628"/>
        <n v="78.400000000000006"/>
        <n v="1065.9000000000001"/>
        <n v="120.2"/>
        <n v="45.8"/>
        <n v="75.2"/>
        <n v="39.200000000000003"/>
        <n v="90.5"/>
        <n v="372.9"/>
        <n v="65.599999999999994"/>
        <n v="49.9"/>
        <n v="396"/>
        <n v="312"/>
        <n v="72"/>
        <n v="41.2"/>
        <n v="1672"/>
        <n v="2235"/>
        <n v="157.19999999999999"/>
        <n v="68.5"/>
        <n v="67.5"/>
        <n v="48"/>
        <n v="65.699999999999989"/>
        <n v="454.30000000000007"/>
        <n v="52.9"/>
        <n v="76.5"/>
        <n v="155.69999999999999"/>
        <n v="46.3"/>
        <n v="136.4"/>
        <n v="40.299999999999997"/>
        <n v="35.700000000000003"/>
        <n v="127"/>
        <n v="54.2"/>
        <n v="164.2"/>
        <n v="214.5"/>
        <n v="416.9"/>
        <n v="22.4"/>
        <n v="1038.7"/>
        <n v="70.599999999999994"/>
        <n v="49.5"/>
        <n v="193.2"/>
        <n v="101.7"/>
        <n v="134.5"/>
        <n v="844"/>
        <n v="84.4"/>
        <n v="26.6"/>
        <n v="53"/>
        <n v="258.8"/>
        <n v="289.3"/>
        <n v="47.8"/>
        <n v="128.39999999999998"/>
        <n v="234"/>
        <n v="641"/>
        <n v="89.1"/>
        <n v="249.29999999999998"/>
        <n v="122.69999999999999"/>
        <n v="251.4"/>
        <n v="61.8"/>
        <n v="36.6"/>
        <n v="113"/>
        <n v="209.29999999999998"/>
        <n v="85.8"/>
        <n v="1065.5999999999999"/>
        <n v="281.2"/>
        <n v="124"/>
        <n v="489.59999999999997"/>
        <n v="1457.5"/>
        <n v="80.2"/>
        <n v="117.60000000000001"/>
        <n v="30.8"/>
        <n v="505.6"/>
        <n v="214.20000000000002"/>
        <n v="524"/>
        <n v="150.80000000000001"/>
        <n v="1482.4"/>
        <n v="69.2"/>
        <n v="116.4"/>
        <n v="532"/>
        <n v="306.60000000000002"/>
        <n v="105.4"/>
        <n v="57.7"/>
        <n v="125"/>
        <n v="55.800000000000004"/>
        <n v="58.8"/>
        <n v="44.2"/>
        <n v="114.9"/>
        <n v="379"/>
        <n v="103"/>
        <n v="203.70000000000002"/>
        <n v="50.6"/>
        <n v="110.5"/>
        <n v="128.69999999999999"/>
        <n v="686.4"/>
        <n v="327.59999999999997"/>
        <n v="45"/>
        <n v="283.2"/>
        <n v="283"/>
        <n v="95.8"/>
        <n v="627.20000000000005"/>
        <n v="1709.3999999999999"/>
        <n v="167.4"/>
        <n v="391.6"/>
        <n v="15"/>
        <n v="283.79999999999995"/>
        <n v="118.19999999999999"/>
        <n v="46.7"/>
        <n v="172"/>
        <n v="243"/>
        <n v="173.6"/>
        <n v="246.4"/>
        <n v="146.10000000000002"/>
        <n v="261.39999999999998"/>
        <n v="26"/>
        <n v="472"/>
        <n v="448.79999999999995"/>
        <n v="1987.2"/>
        <n v="513.9"/>
        <n v="167.29999999999998"/>
        <n v="34.1"/>
        <n v="154"/>
        <n v="210"/>
        <n v="74.400000000000006"/>
        <n v="75"/>
        <n v="169.9"/>
        <n v="144.4"/>
        <n v="20"/>
        <n v="232"/>
        <n v="86.2"/>
        <n v="672.30000000000007"/>
        <n v="128.19999999999999"/>
        <n v="106.8"/>
        <n v="189"/>
        <n v="452.90000000000003"/>
        <n v="111.2"/>
        <n v="72.400000000000006"/>
        <n v="126"/>
        <n v="144.30000000000001"/>
        <n v="86.8"/>
        <n v="31.8"/>
        <n v="126.4"/>
        <n v="259.2"/>
        <n v="54.4"/>
        <n v="87.3"/>
        <n v="129.6"/>
        <n v="177.4"/>
        <n v="140.19999999999999"/>
        <n v="399.5"/>
        <n v="57.6"/>
        <n v="597"/>
        <n v="150"/>
        <n v="138.4"/>
        <n v="87.2"/>
        <n v="122.2"/>
        <n v="223.2"/>
        <n v="99.2"/>
        <n v="359.70000000000005"/>
        <n v="90"/>
        <n v="102.2"/>
        <n v="97.5"/>
        <n v="78.099999999999994"/>
        <n v="661.2"/>
        <n v="258.89999999999998"/>
        <n v="441.59999999999997"/>
        <n v="880.1"/>
        <n v="853.19999999999993"/>
        <n v="412.2"/>
        <n v="48.4"/>
        <n v="434.70000000000005"/>
        <n v="164"/>
        <n v="357"/>
        <n v="109.2"/>
        <n v="71.400000000000006"/>
        <n v="104.8"/>
        <n v="226.79999999999998"/>
        <n v="2011.6"/>
        <n v="1299.6000000000001"/>
        <n v="1101.6000000000001"/>
        <n v="235"/>
        <n v="211.4"/>
        <n v="401.09999999999997"/>
        <n v="585.9"/>
        <n v="18.600000000000001"/>
        <n v="1015.3"/>
        <n v="245.10000000000002"/>
        <n v="81.8"/>
        <n v="283.8"/>
        <n v="145.6"/>
        <n v="59.1"/>
        <n v="1266.5"/>
        <n v="549.20000000000005"/>
        <n v="214.8"/>
        <n v="706.30000000000007"/>
        <n v="83.6"/>
        <n v="355.6"/>
        <n v="62.5"/>
        <n v="140.69999999999999"/>
        <n v="135.60000000000002"/>
        <n v="474.8"/>
        <n v="57.8"/>
        <n v="19.5"/>
        <n v="149.6"/>
        <n v="181.5"/>
        <n v="400.40000000000003"/>
        <n v="224"/>
        <n v="67.400000000000006"/>
        <n v="106.80000000000001"/>
        <n v="1064"/>
        <n v="602.40000000000009"/>
        <n v="87.4"/>
        <n v="33.299999999999997"/>
        <n v="591"/>
        <n v="86.699999999999989"/>
        <n v="166.8"/>
        <n v="66.300000000000011"/>
        <n v="1391.6000000000001"/>
        <n v="399.59999999999997"/>
        <n v="45.2"/>
        <n v="1202.3999999999999"/>
        <n v="83.2"/>
        <n v="717.5"/>
        <n v="446.40000000000003"/>
        <n v="973.4"/>
        <n v="296.5"/>
        <n v="591.59999999999991"/>
        <n v="389.2"/>
        <n v="76.8"/>
        <n v="379.79999999999995"/>
        <n v="46"/>
        <n v="114"/>
        <n v="797"/>
        <n v="244"/>
        <n v="339.5"/>
        <n v="247.2"/>
        <n v="46.1"/>
        <n v="264"/>
        <n v="191.4"/>
        <n v="94.4"/>
        <n v="117.2"/>
        <n v="171"/>
        <n v="303.5"/>
        <n v="304"/>
        <n v="323"/>
        <n v="21.9"/>
        <n v="400.79999999999995"/>
        <n v="51.7"/>
        <n v="339.6"/>
        <n v="685.3"/>
        <n v="39.5"/>
        <n v="92.699999999999989"/>
        <n v="844.8"/>
        <n v="157.80000000000001"/>
        <n v="1632"/>
        <n v="1382"/>
        <n v="90.6"/>
        <n v="230.2"/>
        <n v="316"/>
        <n v="68.2"/>
        <n v="539.5"/>
        <n v="630.5"/>
        <n v="104.10000000000001"/>
        <n v="16.8"/>
        <n v="167.7"/>
        <n v="266"/>
        <n v="312.60000000000002"/>
        <n v="38"/>
        <n v="254.39999999999998"/>
        <n v="255.6"/>
        <n v="196.5"/>
        <n v="232.4"/>
        <n v="91.6"/>
        <n v="161.10000000000002"/>
        <n v="216"/>
        <n v="568.20000000000005"/>
        <n v="167.2"/>
        <n v="201.60000000000002"/>
        <n v="296.39999999999998"/>
        <n v="222"/>
        <n v="175.5"/>
        <n v="592"/>
        <n v="1332"/>
        <n v="129.19999999999999"/>
        <n v="285.89999999999998"/>
        <n v="77.400000000000006"/>
        <n v="23.2"/>
        <n v="52.3"/>
        <n v="1122"/>
        <n v="173"/>
        <n v="225.6"/>
        <n v="497.7"/>
        <n v="2114"/>
        <n v="23.6"/>
        <n v="141.4"/>
        <n v="86.4"/>
        <n v="630"/>
        <n v="41"/>
        <n v="482.40000000000003"/>
        <n v="361.5"/>
        <n v="90.4"/>
        <n v="88.4"/>
        <n v="282.29999999999995"/>
        <n v="53.699999999999996"/>
        <n v="368.90000000000003"/>
        <n v="36.799999999999997"/>
        <n v="267.60000000000002"/>
        <n v="106.4"/>
        <n v="112.19999999999999"/>
        <n v="435.2"/>
        <n v="192.5"/>
        <n v="465"/>
        <n v="20.9"/>
        <n v="107.6"/>
        <n v="73.800000000000011"/>
        <n v="212.70000000000002"/>
        <n v="95.699999999999989"/>
        <n v="40.799999999999997"/>
        <n v="37.200000000000003"/>
        <n v="241.5"/>
        <n v="110.8"/>
        <n v="108"/>
        <n v="184.1"/>
        <n v="721"/>
        <n v="699"/>
        <n v="161"/>
        <n v="66"/>
        <n v="50.4"/>
        <n v="412.20000000000005"/>
        <n v="66.599999999999994"/>
        <n v="252"/>
        <n v="89.8"/>
        <n v="214.79999999999998"/>
        <n v="277.5"/>
        <n v="955.5"/>
        <n v="67.599999999999994"/>
        <n v="229.5"/>
        <n v="127.80000000000001"/>
        <n v="147.30000000000001"/>
        <n v="85.3"/>
        <n v="172.4"/>
        <n v="184.8"/>
        <n v="47.2"/>
        <n v="1101.5999999999999"/>
        <n v="24.7"/>
        <n v="154.70000000000002"/>
        <n v="18.100000000000001"/>
        <n v="117.6"/>
        <n v="61.6"/>
        <n v="24"/>
        <n v="17.899999999999999"/>
        <n v="77.2"/>
        <n v="163.5"/>
        <n v="222.8"/>
        <n v="481.79999999999995"/>
        <n v="117.8"/>
        <n v="150.89999999999998"/>
        <n v="270"/>
        <n v="268.20000000000005"/>
        <n v="495"/>
        <n v="224.5"/>
        <n v="329.7"/>
        <n v="130.5"/>
        <n v="334"/>
        <n v="335.8"/>
        <n v="311.40000000000003"/>
        <n v="105.30000000000001"/>
        <n v="37.9"/>
        <n v="96"/>
        <n v="101.2"/>
        <n v="408.5"/>
        <n v="101.4"/>
        <n v="1278.7"/>
        <n v="1348.6"/>
        <n v="32.9"/>
        <n v="201.6"/>
        <n v="100.4"/>
        <n v="67.2"/>
        <n v="39.299999999999997"/>
        <n v="488"/>
        <n v="582.4"/>
        <n v="369.6"/>
        <n v="2659.2"/>
        <n v="343.2"/>
        <n v="1515.8"/>
        <n v="377.3"/>
        <n v="106.2"/>
        <n v="224.8"/>
        <n v="773"/>
        <n v="751.4"/>
        <n v="631.5"/>
        <n v="205.20000000000002"/>
        <n v="513.29999999999995"/>
        <n v="28"/>
        <n v="351.40000000000003"/>
        <n v="112"/>
        <n v="76.599999999999994"/>
        <n v="111.5"/>
        <n v="66.900000000000006"/>
        <n v="188"/>
        <n v="61.4"/>
        <n v="452.5"/>
        <n v="126.5"/>
        <n v="174.3"/>
        <n v="224.70000000000002"/>
        <n v="65"/>
        <n v="310"/>
        <n v="173.39999999999998"/>
        <n v="342.4"/>
        <n v="315.2"/>
        <n v="199.20000000000002"/>
        <n v="143.6"/>
        <n v="55.1"/>
        <n v="274.3"/>
        <n v="169"/>
        <n v="224.4"/>
        <n v="58.5"/>
        <n v="84.2"/>
        <n v="208"/>
        <n v="157.5"/>
        <n v="810"/>
        <n v="276.60000000000002"/>
        <n v="396.90000000000003"/>
        <n v="297.7"/>
        <n v="1018.4"/>
        <n v="500.40000000000003"/>
        <n v="372.29999999999995"/>
        <n v="946.39999999999986"/>
        <n v="353.4"/>
        <n v="162"/>
        <n v="445"/>
        <n v="282"/>
        <n v="110.4"/>
        <n v="1398.6"/>
        <n v="443.6"/>
        <n v="403.79999999999995"/>
        <n v="209.10000000000002"/>
        <n v="39.1"/>
        <n v="625.79999999999995"/>
        <n v="83.4"/>
        <n v="147"/>
        <n v="132.5"/>
        <n v="30.3"/>
        <n v="476.40000000000003"/>
        <n v="589"/>
        <n v="348.2"/>
        <n v="141.6"/>
        <n v="57"/>
        <n v="2132"/>
        <n v="359.1"/>
        <n v="73.3"/>
        <n v="51.6"/>
        <n v="44.9"/>
        <n v="108.6"/>
        <n v="33"/>
        <n v="481.20000000000005"/>
        <n v="392"/>
        <n v="417.6"/>
        <n v="32.799999999999997"/>
        <n v="44"/>
        <n v="258"/>
        <n v="544"/>
        <n v="263.7"/>
        <n v="122.7"/>
        <n v="160.29999999999998"/>
        <n v="255"/>
        <n v="70.199999999999989"/>
        <n v="342"/>
        <n v="51.9"/>
        <n v="132"/>
        <n v="148.80000000000001"/>
        <n v="61.800000000000004"/>
        <n v="197.2"/>
        <n v="48.2"/>
        <n v="261.60000000000002"/>
        <n v="223.20000000000002"/>
        <n v="45.6"/>
        <n v="156.80000000000001"/>
        <n v="51.8"/>
        <n v="74.7"/>
        <n v="67.199999999999989"/>
        <n v="125.6"/>
        <n v="22.3"/>
        <n v="81"/>
        <n v="598.4"/>
        <n v="516.4"/>
        <n v="484.79999999999995"/>
        <n v="145.5"/>
        <n v="92.5"/>
        <n v="189.4"/>
        <n v="232.79999999999998"/>
        <n v="204"/>
        <n v="445.90000000000003"/>
        <n v="132.4"/>
        <n v="96.899999999999991"/>
        <n v="133.80000000000001"/>
        <n v="302.39999999999998"/>
        <n v="177"/>
        <n v="230"/>
        <n v="218.6"/>
        <n v="133.19999999999999"/>
        <n v="238.5"/>
        <n v="92"/>
        <n v="235.79999999999998"/>
        <n v="286"/>
        <n v="217"/>
        <n v="341"/>
        <n v="1129"/>
        <n v="303.3"/>
        <n v="353"/>
        <n v="136.80000000000001"/>
        <n v="319.39999999999998"/>
        <n v="76"/>
        <n v="546.59999999999991"/>
        <n v="470.5"/>
        <n v="189.9"/>
        <n v="107.10000000000001"/>
        <n v="77.099999999999994"/>
        <n v="284.40000000000003"/>
        <n v="64.2"/>
        <n v="111.6"/>
        <n v="56.2"/>
        <n v="289.79999999999995"/>
        <n v="225.40000000000003"/>
        <n v="1358"/>
        <n v="318.29999999999995"/>
        <n v="70.5"/>
        <n v="71.2"/>
        <n v="580.30000000000007"/>
        <n v="321.29999999999995"/>
        <n v="62.7"/>
        <n v="242.39999999999998"/>
        <n v="357.6"/>
        <n v="765.59999999999991"/>
        <n v="178.8"/>
        <n v="15.9"/>
        <n v="157.4"/>
        <n v="355.20000000000005"/>
        <n v="86"/>
        <n v="1288.5999999999999"/>
        <n v="169.8"/>
        <n v="1098.5"/>
        <n v="527"/>
        <n v="275.8"/>
        <n v="62.3"/>
        <n v="245.5"/>
        <n v="974.59999999999991"/>
        <n v="99.4"/>
        <n v="29"/>
        <n v="60.7"/>
        <n v="349.6"/>
        <n v="311.5"/>
        <n v="141"/>
        <n v="50.099999999999994"/>
        <n v="155"/>
        <n v="326"/>
        <n v="192.6"/>
        <n v="68.599999999999994"/>
        <n v="241"/>
        <n v="51.4"/>
        <n v="586"/>
        <n v="88.2"/>
        <n v="134.4"/>
        <n v="105.2"/>
        <n v="479.5"/>
        <n v="404.70000000000005"/>
        <n v="303"/>
        <n v="87"/>
        <n v="374.2"/>
        <n v="221.6"/>
        <n v="469.3"/>
        <n v="24.1"/>
        <n v="91.5"/>
        <n v="409.79999999999995"/>
        <n v="129.89999999999998"/>
        <n v="108.4"/>
        <n v="102"/>
        <n v="46.2"/>
        <n v="612.5"/>
        <n v="153"/>
        <n v="212"/>
        <n v="440.6"/>
        <n v="137.10000000000002"/>
        <n v="235.5"/>
        <n v="978"/>
        <n v="127.19999999999999"/>
        <n v="745"/>
        <n v="284.39999999999998"/>
        <n v="51.900000000000006"/>
        <n v="311.60000000000002"/>
        <n v="29.1"/>
        <n v="126.60000000000001"/>
        <n v="701.1"/>
        <n v="926"/>
        <n v="164.39999999999998"/>
        <n v="681.59999999999991"/>
        <n v="1557.6000000000001"/>
        <n v="270.60000000000002"/>
        <n v="22"/>
        <n v="61.5"/>
        <n v="190.4"/>
        <n v="121.9"/>
        <n v="895.19999999999993"/>
        <n v="54.1"/>
        <n v="54.8"/>
        <n v="395.2"/>
        <n v="628.79999999999995"/>
        <n v="134.80000000000001"/>
        <n v="215.5"/>
        <n v="161.4"/>
        <n v="144.20000000000002"/>
        <n v="111.30000000000001"/>
        <n v="118"/>
        <n v="64.599999999999994"/>
        <n v="59.2"/>
        <n v="81.2"/>
        <n v="26.2"/>
        <n v="1320"/>
        <n v="262.39999999999998"/>
        <n v="391.20000000000005"/>
        <n v="1824.9"/>
        <n v="54.5"/>
        <n v="344.5"/>
        <n v="124.8"/>
        <n v="488.40000000000003"/>
        <n v="49.6"/>
        <n v="2996.9999999999995"/>
        <n v="79.199999999999989"/>
        <n v="34.4"/>
        <n v="464.8"/>
        <n v="27.1"/>
        <n v="40.5"/>
        <n v="233.70000000000002"/>
        <n v="148.4"/>
        <n v="154.80000000000001"/>
        <n v="294"/>
        <n v="289.8"/>
        <n v="272"/>
        <n v="66.3"/>
        <n v="287.70000000000005"/>
        <n v="156.19999999999999"/>
        <n v="113.6"/>
        <n v="163.4"/>
        <n v="113.4"/>
        <n v="210.6"/>
        <n v="190.2"/>
        <n v="345.2"/>
        <n v="80.099999999999994"/>
        <n v="136.19999999999999"/>
        <n v="81.7"/>
        <n v="251"/>
        <n v="20.2"/>
        <n v="624"/>
        <n v="38.4"/>
        <n v="292.59999999999997"/>
        <n v="224.39999999999998"/>
        <n v="180.60000000000002"/>
        <n v="183"/>
        <n v="278.5"/>
        <n v="153.4"/>
        <n v="592.19999999999993"/>
        <n v="466"/>
        <n v="78.2"/>
        <n v="543.59999999999991"/>
        <n v="237.29999999999998"/>
        <n v="41.9"/>
        <n v="92.4"/>
        <n v="340.8"/>
        <n v="70"/>
        <n v="88"/>
        <n v="222.29999999999998"/>
        <n v="161.9"/>
        <n v="32.1"/>
        <n v="419.2"/>
        <n v="404.40000000000003"/>
        <n v="230.4"/>
        <n v="730.40000000000009"/>
        <n v="817.19999999999993"/>
        <n v="162.5"/>
        <n v="183.60000000000002"/>
        <n v="229.6"/>
        <n v="229.20000000000002"/>
        <n v="211.20000000000002"/>
        <n v="223.79999999999998"/>
        <n v="1089"/>
        <n v="101.39999999999999"/>
        <n v="85.7"/>
        <n v="184.2"/>
        <n v="195.29999999999998"/>
        <n v="142.1"/>
        <n v="59.6"/>
        <n v="57.3"/>
        <n v="108.9"/>
        <n v="594.9"/>
        <n v="183.5"/>
        <n v="328.1"/>
        <n v="82.8"/>
        <n v="164.10000000000002"/>
        <n v="41.1"/>
        <n v="348"/>
        <n v="205.6"/>
        <n v="79.599999999999994"/>
        <n v="305"/>
        <n v="166.1"/>
        <n v="499.09999999999997"/>
        <n v="25.8"/>
        <n v="198"/>
        <n v="128"/>
        <n v="1457.6"/>
        <n v="43.6"/>
        <n v="92.6"/>
        <n v="62.2"/>
        <n v="321.3"/>
        <n v="219.6"/>
        <n v="18.2"/>
        <n v="59.7"/>
        <n v="210.89999999999998"/>
        <n v="413.6"/>
        <n v="246"/>
        <n v="87.9"/>
        <n v="251.8"/>
        <n v="146.5"/>
        <n v="126.8"/>
        <n v="131.5"/>
        <n v="199"/>
        <n v="412.5"/>
        <n v="45.1"/>
        <n v="344"/>
        <n v="453.59999999999997"/>
        <n v="533.4"/>
        <n v="85.6"/>
        <n v="100"/>
        <n v="753.5"/>
        <n v="19.600000000000001"/>
        <n v="63.599999999999994"/>
        <n v="297.5"/>
        <n v="34"/>
        <n v="103.2"/>
        <n v="147.6"/>
        <n v="812.40000000000009"/>
        <n v="306.59999999999997"/>
        <n v="431.40000000000003"/>
        <n v="52.6"/>
        <n v="32.700000000000003"/>
        <n v="155.6"/>
        <n v="242"/>
        <n v="1339.8"/>
        <n v="77.7"/>
        <n v="241.2"/>
        <n v="248.2"/>
        <n v="462"/>
        <n v="7446.6"/>
        <n v="321.5"/>
        <n v="109.6"/>
        <n v="792.5"/>
        <n v="287.60000000000002"/>
        <n v="59"/>
        <n v="167.6"/>
        <n v="323.39999999999998"/>
        <n v="718.19999999999993"/>
        <n v="22.9"/>
        <n v="48.599999999999994"/>
        <n v="238"/>
        <n v="131"/>
        <n v="118.4"/>
        <n v="166"/>
        <n v="805.19999999999993"/>
        <n v="57.4"/>
        <n v="528.4"/>
        <n v="657.4"/>
        <n v="166.5"/>
        <n v="800.40000000000009"/>
        <n v="378.90000000000003"/>
        <n v="410.90000000000003"/>
        <n v="54"/>
        <n v="93.4"/>
        <n v="144.69999999999999"/>
        <n v="818.1"/>
        <n v="289.5"/>
        <n v="132.60000000000002"/>
        <n v="267.5"/>
        <n v="249.6"/>
        <n v="123.5"/>
        <n v="308.5"/>
        <n v="91"/>
        <n v="160.5"/>
        <n v="130.80000000000001"/>
        <n v="1350"/>
        <n v="84.6"/>
        <n v="181"/>
        <n v="63.900000000000006"/>
        <n v="36.299999999999997"/>
        <n v="331.5"/>
        <n v="228.20000000000002"/>
        <n v="626.40000000000009"/>
        <n v="57.300000000000004"/>
        <n v="218.2"/>
        <n v="42.2"/>
        <n v="170.4"/>
        <n v="72.900000000000006"/>
        <n v="43.3"/>
        <n v="123"/>
        <n v="162.30000000000001"/>
        <n v="72.300000000000011"/>
        <n v="261.5"/>
        <n v="275.2"/>
        <n v="257.60000000000002"/>
        <n v="48.3"/>
        <n v="136.5"/>
        <n v="1377"/>
        <n v="122.39999999999999"/>
        <n v="60.8"/>
        <n v="143"/>
        <n v="501.6"/>
        <n v="99.5"/>
        <n v="468.90000000000003"/>
        <n v="1159"/>
        <n v="774"/>
        <n v="515.19999999999993"/>
        <n v="326.2"/>
        <n v="253.79999999999998"/>
        <n v="581"/>
        <n v="326.90000000000003"/>
        <n v="53.7"/>
        <n v="247.8"/>
        <n v="107.69999999999999"/>
        <n v="1599.5"/>
        <n v="1301.3"/>
        <n v="74.2"/>
        <n v="606.4"/>
        <n v="243.2"/>
        <n v="267.40000000000003"/>
        <n v="462.8"/>
        <n v="596.40000000000009"/>
        <n v="38.700000000000003"/>
        <n v="71"/>
        <n v="373.2"/>
        <n v="31.4"/>
        <n v="85.9"/>
        <n v="72.599999999999994"/>
        <n v="100.19999999999999"/>
        <n v="195.60000000000002"/>
        <n v="589.5"/>
        <n v="158.39999999999998"/>
        <n v="153.60000000000002"/>
        <n v="84.9"/>
        <n v="126.89999999999999"/>
        <n v="1306.4000000000001"/>
        <n v="331.09999999999997"/>
        <n v="436.8"/>
        <n v="209.39999999999998"/>
        <n v="174.4"/>
        <n v="878.5"/>
        <n v="498.4"/>
        <n v="279.3"/>
        <n v="299.2"/>
        <n v="52.2"/>
        <n v="193"/>
        <n v="159.6"/>
        <n v="165.89999999999998"/>
        <n v="731.5"/>
        <n v="306.39999999999998"/>
        <n v="191.39999999999998"/>
        <n v="21.4"/>
        <n v="176.4"/>
        <n v="460.8"/>
        <n v="40.6"/>
        <n v="423.6"/>
        <n v="336.59999999999997"/>
        <n v="158"/>
        <n v="57.900000000000006"/>
        <n v="356.5"/>
        <n v="332.4"/>
        <n v="231"/>
        <n v="86.1"/>
        <n v="577"/>
        <n v="706"/>
        <n v="146.69999999999999"/>
        <n v="54.300000000000004"/>
        <n v="237"/>
        <n v="413.7"/>
        <n v="137.6"/>
        <n v="292.5"/>
        <n v="798"/>
        <n v="266.39999999999998"/>
        <n v="257.5"/>
        <n v="190.8"/>
        <n v="368"/>
        <n v="638.4"/>
        <n v="289.60000000000002"/>
        <n v="784"/>
        <n v="348.8"/>
        <n v="378"/>
        <n v="566.1"/>
        <n v="511"/>
        <n v="295.79999999999995"/>
        <n v="338.4"/>
        <n v="344.8"/>
        <n v="154.6"/>
        <n v="189.60000000000002"/>
        <n v="913.1"/>
        <n v="137.39999999999998"/>
        <n v="152.39999999999998"/>
        <n v="103.8"/>
        <n v="186.8"/>
        <n v="143.19999999999999"/>
        <n v="444.4"/>
        <n v="2498.5"/>
        <n v="64.3"/>
        <n v="174.60000000000002"/>
        <n v="236.8"/>
        <n v="296"/>
        <n v="1050.3999999999999"/>
        <n v="154.19999999999999"/>
        <n v="40.4"/>
        <n v="145.19999999999999"/>
        <n v="119.39999999999999"/>
        <n v="128.80000000000001"/>
        <n v="230.39999999999998"/>
        <n v="83.8"/>
        <n v="429.09999999999997"/>
        <n v="54.7"/>
        <n v="847"/>
        <n v="280.20000000000005"/>
        <n v="144"/>
        <n v="135.80000000000001"/>
        <n v="233.09999999999997"/>
        <n v="113.39999999999999"/>
        <n v="537.70000000000005"/>
        <n v="125.2"/>
        <n v="208.5"/>
        <n v="33.4"/>
        <n v="310.8"/>
        <n v="142.4"/>
        <n v="285"/>
        <n v="688.4"/>
        <n v="43.5"/>
        <n v="131.6"/>
        <n v="425.70000000000005"/>
        <n v="7264.5"/>
        <n v="15.5"/>
        <n v="140.80000000000001"/>
        <n v="207.60000000000002"/>
        <n v="21.3"/>
        <n v="273"/>
        <n v="214.9"/>
        <n v="123.2"/>
        <n v="217.2"/>
        <n v="174"/>
        <n v="144.60000000000002"/>
        <n v="13.7"/>
        <n v="221"/>
        <n v="1407"/>
        <n v="270.2"/>
        <n v="2101"/>
        <n v="25.5"/>
        <n v="486"/>
        <n v="80.8"/>
        <n v="299.5"/>
        <n v="165"/>
        <n v="543.9"/>
        <n v="46.6"/>
        <n v="62.099999999999994"/>
        <n v="114.60000000000001"/>
        <n v="1390"/>
        <n v="192.4"/>
        <n v="181.2"/>
        <n v="741.6"/>
        <n v="103.7"/>
        <n v="31.5"/>
        <n v="44.7"/>
        <n v="139.6"/>
        <n v="186.89999999999998"/>
        <n v="99.600000000000009"/>
        <n v="298"/>
        <n v="823.19999999999993"/>
        <n v="509.59999999999997"/>
        <n v="338"/>
        <n v="372.6"/>
        <n v="41.8"/>
        <n v="114.4"/>
        <n v="94.2"/>
        <n v="259.20000000000005"/>
        <n v="525"/>
        <n v="533"/>
        <n v="857.6"/>
        <n v="651"/>
        <n v="194.6"/>
        <n v="49.8"/>
        <n v="163"/>
        <n v="67.3"/>
        <n v="1222.0999999999999"/>
        <n v="59.099999999999994"/>
        <n v="217.6"/>
        <n v="314.10000000000002"/>
        <n v="65.5"/>
        <n v="12.5"/>
        <n v="111.4"/>
        <n v="115.4"/>
        <n v="514.20000000000005"/>
        <n v="260.70000000000005"/>
        <n v="92.8"/>
        <n v="76.199999999999989"/>
        <n v="143.39999999999998"/>
        <n v="349.59999999999997"/>
        <n v="345"/>
        <n v="18.7"/>
        <n v="30.1"/>
        <n v="16.3"/>
        <n v="517.30000000000007"/>
        <n v="324.5"/>
        <n v="265.3"/>
        <n v="56.5"/>
        <n v="259.5"/>
        <n v="20.6"/>
        <n v="149.10000000000002"/>
        <n v="480"/>
        <n v="693"/>
        <n v="502.79999999999995"/>
        <n v="309.2"/>
        <n v="153.80000000000001"/>
        <n v="548.6"/>
        <n v="304.39999999999998"/>
        <n v="1728"/>
        <n v="1630.7"/>
        <n v="107.4"/>
        <n v="171.6"/>
        <n v="752.5"/>
        <n v="426.5"/>
        <n v="404"/>
        <n v="369.29999999999995"/>
        <n v="73.8"/>
        <n v="82"/>
        <n v="200.4"/>
        <n v="35.9"/>
        <n v="360"/>
        <n v="171.89999999999998"/>
        <n v="81.400000000000006"/>
        <n v="73.400000000000006"/>
        <n v="176.39999999999998"/>
        <n v="292.79999999999995"/>
        <n v="117.4"/>
        <n v="359.5"/>
        <n v="860.8"/>
        <n v="160.80000000000001"/>
        <n v="168.6"/>
        <n v="1061.1000000000001"/>
        <n v="240"/>
        <n v="111.89999999999999"/>
        <n v="225.9"/>
        <n v="604.80000000000007"/>
        <n v="165.2"/>
        <n v="30.6"/>
        <n v="54.6"/>
        <n v="340.4"/>
        <n v="228.90000000000003"/>
        <n v="302.10000000000002"/>
        <n v="98.6"/>
        <n v="582"/>
        <n v="134.19999999999999"/>
        <n v="271.59999999999997"/>
        <n v="212.8"/>
        <n v="1057"/>
        <n v="70.400000000000006"/>
        <n v="455.40000000000003"/>
        <n v="236.10000000000002"/>
        <n v="429.8"/>
        <n v="35"/>
        <n v="75.900000000000006"/>
        <n v="126.30000000000001"/>
        <n v="362"/>
        <n v="53.2"/>
        <n v="2464"/>
        <n v="52.4"/>
        <n v="363"/>
        <n v="23.4"/>
        <n v="452.8"/>
        <n v="53.6"/>
        <n v="33.900000000000006"/>
        <n v="180.3"/>
        <n v="304.7"/>
        <n v="133.4"/>
        <n v="195.5"/>
        <n v="99.6"/>
        <n v="146"/>
        <n v="396.2"/>
        <n v="196.70000000000002"/>
        <n v="179.10000000000002"/>
        <n v="71.900000000000006"/>
        <n v="113.8"/>
        <n v="246.8"/>
        <n v="1052"/>
        <n v="252.29999999999998"/>
        <n v="115"/>
        <n v="34.299999999999997"/>
        <n v="55.6"/>
        <n v="190"/>
        <n v="130.4"/>
        <n v="345.9"/>
        <n v="1250.0999999999999"/>
        <n v="252.60000000000002"/>
        <n v="401.8"/>
        <n v="156.89999999999998"/>
        <n v="79.800000000000011"/>
        <n v="383.2"/>
        <n v="303.09999999999997"/>
        <n v="322.40000000000003"/>
        <n v="771.30000000000007"/>
        <n v="832"/>
        <n v="471"/>
        <n v="182.39999999999998"/>
        <n v="134.39999999999998"/>
        <n v="77.599999999999994"/>
        <n v="1216.6000000000001"/>
        <n v="18.3"/>
        <n v="47.5"/>
        <n v="349.2"/>
        <n v="168.5"/>
        <n v="322.20000000000005"/>
        <n v="88.8"/>
        <n v="828"/>
        <n v="355.2"/>
        <n v="78.599999999999994"/>
        <n v="17.399999999999999"/>
        <n v="433.79999999999995"/>
        <n v="267.3"/>
        <n v="2347"/>
        <n v="380.5"/>
        <n v="281.70000000000005"/>
        <n v="748"/>
        <n v="24.4"/>
        <n v="337.6"/>
        <n v="153.19999999999999"/>
        <n v="174.6"/>
        <n v="63"/>
        <n v="152.19999999999999"/>
        <n v="117"/>
        <n v="78.5"/>
        <n v="248.5"/>
        <n v="273.60000000000002"/>
        <n v="145.80000000000001"/>
        <n v="393.90000000000003"/>
        <n v="636.9"/>
        <n v="96.7"/>
        <n v="331.20000000000005"/>
        <n v="7420"/>
        <n v="384"/>
        <n v="276.39999999999998"/>
        <n v="152.80000000000001"/>
        <n v="58"/>
        <n v="818.4"/>
        <n v="27.6"/>
        <n v="99.899999999999991"/>
        <n v="27.4"/>
        <n v="56.8"/>
        <n v="136"/>
        <n v="30.7"/>
        <n v="670.80000000000007"/>
        <n v="24.8"/>
        <n v="78.399999999999991"/>
        <n v="543"/>
        <n v="84.8"/>
        <n v="76.400000000000006"/>
        <n v="1091.7"/>
        <n v="93.8"/>
        <n v="211.79999999999998"/>
        <n v="104.4"/>
        <n v="379.5"/>
        <n v="582.79999999999995"/>
        <n v="157"/>
        <n v="34.200000000000003"/>
        <n v="35.4"/>
        <n v="1282.5"/>
        <n v="824.19999999999993"/>
        <n v="156.6"/>
        <n v="43.9"/>
        <n v="380"/>
        <n v="555.5"/>
        <n v="70.8"/>
        <n v="412"/>
        <n v="636"/>
        <n v="41.3"/>
        <n v="35.299999999999997"/>
        <n v="173.5"/>
        <n v="78.300000000000011"/>
        <n v="308.8"/>
        <n v="25"/>
        <n v="633.59999999999991"/>
        <n v="476.8"/>
        <n v="226.20000000000002"/>
        <n v="2082"/>
        <n v="283.20000000000005"/>
        <n v="29.6"/>
        <n v="250.6"/>
        <n v="33.799999999999997"/>
        <n v="101.69999999999999"/>
        <n v="1099.5"/>
        <n v="140"/>
        <n v="32.4"/>
        <n v="265.20000000000005"/>
        <n v="228.60000000000002"/>
        <n v="80.699999999999989"/>
        <n v="352.79999999999995"/>
        <n v="729.2"/>
        <n v="785"/>
        <n v="170.5"/>
        <n v="52"/>
        <n v="135.79999999999998"/>
        <n v="304.20000000000005"/>
        <n v="23.1"/>
        <n v="1046.7"/>
        <n v="576.9"/>
        <n v="655.20000000000005"/>
        <n v="116"/>
        <n v="487.20000000000005"/>
        <n v="499.80000000000007"/>
        <n v="89"/>
        <n v="25.7"/>
        <n v="208.4"/>
        <n v="31"/>
        <n v="233.2"/>
        <n v="93"/>
        <n v="141.89999999999998"/>
        <n v="18.5"/>
        <n v="120.8"/>
        <n v="401"/>
        <n v="41.5"/>
        <n v="167.8"/>
        <n v="68.400000000000006"/>
        <n v="215.8"/>
        <n v="670.5"/>
        <n v="556.20000000000005"/>
        <n v="146.39999999999998"/>
        <n v="641.29999999999995"/>
        <n v="3509.7999999999997"/>
        <n v="76.900000000000006"/>
        <n v="216.60000000000002"/>
        <n v="240.79999999999998"/>
        <n v="1495.2"/>
        <n v="215.10000000000002"/>
        <n v="241.79999999999998"/>
        <n v="1050"/>
        <n v="163.80000000000001"/>
        <n v="526.4"/>
        <n v="137.4"/>
        <n v="362.59999999999997"/>
        <n v="38.799999999999997"/>
        <n v="156.30000000000001"/>
        <n v="74.900000000000006"/>
        <n v="347.2"/>
        <n v="331.2"/>
        <n v="117.5"/>
        <n v="60.300000000000004"/>
        <n v="768"/>
        <n v="64.7"/>
        <n v="483.2"/>
        <n v="459.90000000000003"/>
        <n v="295.2"/>
        <n v="658.69999999999993"/>
        <n v="36.9"/>
        <n v="381.6"/>
        <n v="314.39999999999998"/>
        <n v="786.5"/>
        <n v="485.6"/>
        <n v="159.5"/>
        <n v="79"/>
        <n v="876.30000000000007"/>
        <n v="148.5"/>
        <n v="263.2"/>
        <n v="313.60000000000002"/>
        <n v="414.4"/>
        <n v="97.199999999999989"/>
        <n v="53.8"/>
        <n v="164.8"/>
        <n v="235.6"/>
        <n v="146.80000000000001"/>
        <n v="140.39999999999998"/>
        <n v="168.4"/>
      </sharedItems>
    </cacheField>
    <cacheField name="Order Date" numFmtId="15">
      <sharedItems containsSemiMixedTypes="0" containsNonDate="0" containsDate="1" containsString="0" minDate="2025-01-01T00:00:00" maxDate="2025-03-30T00:00:00"/>
    </cacheField>
    <cacheField name="Ship Date" numFmtId="15">
      <sharedItems containsSemiMixedTypes="0" containsNonDate="0" containsDate="1" containsString="0" minDate="2025-01-02T00:00:00" maxDate="2025-04-11T00:00:00"/>
    </cacheField>
    <cacheField name="Customer Gender" numFmtId="0">
      <sharedItems/>
    </cacheField>
    <cacheField name="Order Mode" numFmtId="0">
      <sharedItems count="5">
        <s v="App"/>
        <s v="Website"/>
        <s v="Target.com"/>
        <s v="Instagram"/>
        <s v="Partner App"/>
      </sharedItems>
    </cacheField>
    <cacheField name="Rating C" numFmtId="0">
      <sharedItems containsSemiMixedTypes="0" containsString="0" containsNumber="1" containsInteger="1" minValue="1" maxValue="5" count="5">
        <n v="4"/>
        <n v="3"/>
        <n v="5"/>
        <n v="1"/>
        <n v="2"/>
      </sharedItems>
    </cacheField>
    <cacheField name="State" numFmtId="0">
      <sharedItems count="1">
        <s v="California"/>
      </sharedItems>
    </cacheField>
    <cacheField name="County" numFmtId="0">
      <sharedItems count="58">
        <s v="Alpine County"/>
        <s v="Contra Costa County"/>
        <s v="Fresno County"/>
        <s v="Los Angeles County"/>
        <s v="Nevada County"/>
        <s v="Placer County"/>
        <s v="Sacramento County"/>
        <s v="San Bernardino County"/>
        <s v="San Diego County"/>
        <s v="San Mateo County"/>
        <s v="Santa Barbara County"/>
        <s v="Santa Clara County"/>
        <s v="Tehama County"/>
        <s v="Ventura County"/>
        <s v="Calaveras County"/>
        <s v="Inyo County"/>
        <s v="Napa County"/>
        <s v="San Francisco"/>
        <s v="Sonoma County"/>
        <s v="Stanislaus County"/>
        <s v="Tulare County"/>
        <s v="Alameda County"/>
        <s v="Kern County"/>
        <s v="Riverside County"/>
        <s v="Merced County"/>
        <s v="Orange County"/>
        <s v="San Joaquin County"/>
        <s v="Glenn County"/>
        <s v="Yolo County"/>
        <s v="Mendocino County"/>
        <s v="Siskiyou County"/>
        <s v="Sutter County"/>
        <s v="Santa Cruz County"/>
        <s v="Imperial County"/>
        <s v="Kings County"/>
        <s v="Plumas County"/>
        <s v="San Benito County"/>
        <s v="Madera County"/>
        <s v="Solano County"/>
        <s v="Modoc County"/>
        <s v="Mariposa County"/>
        <s v="San Luis Obispo County"/>
        <s v="El Dorado County"/>
        <s v="Marin County"/>
        <s v="Humboldt County"/>
        <s v="Trinity County"/>
        <s v="Amador County"/>
        <s v="Mono County"/>
        <s v="Sierra County"/>
        <s v="Monterey County"/>
        <s v="Lake County"/>
        <s v="Butte County"/>
        <s v="Tuolumne County"/>
        <s v="Shasta County"/>
        <s v="Colusa County"/>
        <s v="Lassen County"/>
        <s v="Yuba County"/>
        <s v="Del Norte County"/>
      </sharedItems>
    </cacheField>
    <cacheField name="Days to Deliver" numFmtId="0">
      <sharedItems containsSemiMixedTypes="0" containsString="0" containsNumber="1" containsInteger="1" minValue="0" maxValue="14" count="15">
        <n v="5"/>
        <n v="2"/>
        <n v="3"/>
        <n v="1"/>
        <n v="6"/>
        <n v="4"/>
        <n v="7"/>
        <n v="0"/>
        <n v="9"/>
        <n v="8"/>
        <n v="13"/>
        <n v="11"/>
        <n v="14"/>
        <n v="12"/>
        <n v="10"/>
      </sharedItems>
      <fieldGroup par="16"/>
    </cacheField>
    <cacheField name="Weeknum" numFmtId="0">
      <sharedItems containsSemiMixedTypes="0" containsString="0" containsNumber="1" containsInteger="1" minValue="1" maxValue="13" count="13">
        <n v="1"/>
        <n v="2"/>
        <n v="3"/>
        <n v="4"/>
        <n v="5"/>
        <n v="6"/>
        <n v="7"/>
        <n v="8"/>
        <n v="9"/>
        <n v="10"/>
        <n v="11"/>
        <n v="12"/>
        <n v="13"/>
      </sharedItems>
    </cacheField>
    <cacheField name="Gender Value" numFmtId="0">
      <sharedItems count="4">
        <s v="Unknown"/>
        <s v="Male"/>
        <s v="Female"/>
        <s v="Other"/>
      </sharedItems>
    </cacheField>
    <cacheField name="Quantity2" numFmtId="0" databaseField="0">
      <fieldGroup base="2">
        <discretePr count="48">
          <x v="0"/>
          <x v="1"/>
          <x v="2"/>
          <x v="5"/>
          <x v="6"/>
          <x v="6"/>
          <x v="6"/>
          <x v="5"/>
          <x v="5"/>
          <x v="3"/>
          <x v="6"/>
          <x v="5"/>
          <x v="4"/>
          <x v="5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  <x v="6"/>
        </discretePr>
        <groupItems count="7">
          <n v="1"/>
          <n v="2"/>
          <n v="3"/>
          <n v="5"/>
          <n v="4"/>
          <s v="Group1"/>
          <s v="Group2"/>
        </groupItems>
      </fieldGroup>
    </cacheField>
    <cacheField name="Days to Deliver2" numFmtId="0" databaseField="0">
      <fieldGroup base="12">
        <discretePr count="15">
          <x v="0"/>
          <x v="1"/>
          <x v="2"/>
          <x v="3"/>
          <x v="6"/>
          <x v="4"/>
          <x v="6"/>
          <x v="5"/>
          <x v="6"/>
          <x v="6"/>
          <x v="6"/>
          <x v="6"/>
          <x v="6"/>
          <x v="6"/>
          <x v="6"/>
        </discretePr>
        <groupItems count="7">
          <n v="5"/>
          <n v="2"/>
          <n v="3"/>
          <n v="1"/>
          <n v="4"/>
          <n v="0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0">
  <r>
    <s v="TX500001"/>
    <x v="0"/>
    <x v="0"/>
    <n v="10.9"/>
    <x v="0"/>
    <d v="2025-01-01T00:00:00"/>
    <d v="2025-01-06T00:00:00"/>
    <s v=""/>
    <x v="0"/>
    <x v="0"/>
    <x v="0"/>
    <x v="0"/>
    <x v="0"/>
    <x v="0"/>
    <x v="0"/>
  </r>
  <r>
    <s v="TX500002"/>
    <x v="1"/>
    <x v="1"/>
    <n v="30.6"/>
    <x v="1"/>
    <d v="2025-01-01T00:00:00"/>
    <d v="2025-01-03T00:00:00"/>
    <s v="M"/>
    <x v="0"/>
    <x v="0"/>
    <x v="0"/>
    <x v="1"/>
    <x v="1"/>
    <x v="0"/>
    <x v="1"/>
  </r>
  <r>
    <s v="TX500003"/>
    <x v="2"/>
    <x v="2"/>
    <n v="109.4"/>
    <x v="2"/>
    <d v="2025-01-01T00:00:00"/>
    <d v="2025-01-04T00:00:00"/>
    <s v="F"/>
    <x v="0"/>
    <x v="1"/>
    <x v="0"/>
    <x v="2"/>
    <x v="2"/>
    <x v="0"/>
    <x v="2"/>
  </r>
  <r>
    <s v="TX500004"/>
    <x v="3"/>
    <x v="3"/>
    <n v="37.700000000000003"/>
    <x v="3"/>
    <d v="2025-01-01T00:00:00"/>
    <d v="2025-01-02T00:00:00"/>
    <s v="F"/>
    <x v="0"/>
    <x v="0"/>
    <x v="0"/>
    <x v="2"/>
    <x v="3"/>
    <x v="0"/>
    <x v="2"/>
  </r>
  <r>
    <s v="TX500005"/>
    <x v="4"/>
    <x v="2"/>
    <n v="56.7"/>
    <x v="4"/>
    <d v="2025-01-01T00:00:00"/>
    <d v="2025-01-04T00:00:00"/>
    <s v="F"/>
    <x v="0"/>
    <x v="2"/>
    <x v="0"/>
    <x v="3"/>
    <x v="2"/>
    <x v="0"/>
    <x v="2"/>
  </r>
  <r>
    <s v="TX500006"/>
    <x v="1"/>
    <x v="4"/>
    <n v="83.5"/>
    <x v="5"/>
    <d v="2025-01-01T00:00:00"/>
    <d v="2025-01-04T00:00:00"/>
    <s v="M"/>
    <x v="1"/>
    <x v="0"/>
    <x v="0"/>
    <x v="3"/>
    <x v="2"/>
    <x v="0"/>
    <x v="1"/>
  </r>
  <r>
    <s v="TX500007"/>
    <x v="5"/>
    <x v="0"/>
    <n v="55.3"/>
    <x v="6"/>
    <d v="2025-01-01T00:00:00"/>
    <d v="2025-01-02T00:00:00"/>
    <s v="F"/>
    <x v="0"/>
    <x v="0"/>
    <x v="0"/>
    <x v="3"/>
    <x v="3"/>
    <x v="0"/>
    <x v="2"/>
  </r>
  <r>
    <s v="TX500008"/>
    <x v="6"/>
    <x v="1"/>
    <n v="40.299999999999997"/>
    <x v="7"/>
    <d v="2025-01-01T00:00:00"/>
    <d v="2025-01-02T00:00:00"/>
    <s v="M"/>
    <x v="2"/>
    <x v="2"/>
    <x v="0"/>
    <x v="3"/>
    <x v="3"/>
    <x v="0"/>
    <x v="1"/>
  </r>
  <r>
    <s v="TX500009"/>
    <x v="7"/>
    <x v="5"/>
    <n v="35.700000000000003"/>
    <x v="8"/>
    <d v="2025-01-01T00:00:00"/>
    <d v="2025-01-02T00:00:00"/>
    <s v="F"/>
    <x v="0"/>
    <x v="0"/>
    <x v="0"/>
    <x v="3"/>
    <x v="3"/>
    <x v="0"/>
    <x v="2"/>
  </r>
  <r>
    <s v="TX500010"/>
    <x v="8"/>
    <x v="3"/>
    <n v="22.4"/>
    <x v="9"/>
    <d v="2025-01-01T00:00:00"/>
    <d v="2025-01-04T00:00:00"/>
    <s v="M"/>
    <x v="0"/>
    <x v="1"/>
    <x v="0"/>
    <x v="3"/>
    <x v="2"/>
    <x v="0"/>
    <x v="1"/>
  </r>
  <r>
    <s v="TX500011"/>
    <x v="9"/>
    <x v="1"/>
    <n v="54.4"/>
    <x v="10"/>
    <d v="2025-01-01T00:00:00"/>
    <d v="2025-01-07T00:00:00"/>
    <s v="F"/>
    <x v="0"/>
    <x v="0"/>
    <x v="0"/>
    <x v="3"/>
    <x v="4"/>
    <x v="0"/>
    <x v="2"/>
  </r>
  <r>
    <s v="TX500012"/>
    <x v="9"/>
    <x v="1"/>
    <n v="49"/>
    <x v="11"/>
    <d v="2025-01-01T00:00:00"/>
    <d v="2025-01-03T00:00:00"/>
    <s v="F"/>
    <x v="2"/>
    <x v="1"/>
    <x v="0"/>
    <x v="3"/>
    <x v="1"/>
    <x v="0"/>
    <x v="2"/>
  </r>
  <r>
    <s v="TX500013"/>
    <x v="5"/>
    <x v="3"/>
    <n v="118.6"/>
    <x v="12"/>
    <d v="2025-01-01T00:00:00"/>
    <d v="2025-01-05T00:00:00"/>
    <s v="F"/>
    <x v="1"/>
    <x v="0"/>
    <x v="0"/>
    <x v="4"/>
    <x v="5"/>
    <x v="0"/>
    <x v="2"/>
  </r>
  <r>
    <s v="TX500014"/>
    <x v="6"/>
    <x v="6"/>
    <n v="88.4"/>
    <x v="13"/>
    <d v="2025-01-01T00:00:00"/>
    <d v="2025-01-08T00:00:00"/>
    <s v="M"/>
    <x v="3"/>
    <x v="0"/>
    <x v="0"/>
    <x v="5"/>
    <x v="6"/>
    <x v="0"/>
    <x v="1"/>
  </r>
  <r>
    <s v="TX500015"/>
    <x v="10"/>
    <x v="0"/>
    <n v="66.7"/>
    <x v="14"/>
    <d v="2025-01-01T00:00:00"/>
    <d v="2025-01-04T00:00:00"/>
    <s v="M"/>
    <x v="0"/>
    <x v="0"/>
    <x v="0"/>
    <x v="6"/>
    <x v="2"/>
    <x v="0"/>
    <x v="1"/>
  </r>
  <r>
    <s v="TX500016"/>
    <x v="9"/>
    <x v="7"/>
    <n v="30.9"/>
    <x v="15"/>
    <d v="2025-01-01T00:00:00"/>
    <d v="2025-01-02T00:00:00"/>
    <s v="M"/>
    <x v="1"/>
    <x v="2"/>
    <x v="0"/>
    <x v="6"/>
    <x v="3"/>
    <x v="0"/>
    <x v="1"/>
  </r>
  <r>
    <s v="TX500017"/>
    <x v="4"/>
    <x v="2"/>
    <n v="31.1"/>
    <x v="16"/>
    <d v="2025-01-01T00:00:00"/>
    <d v="2025-01-02T00:00:00"/>
    <s v="F"/>
    <x v="0"/>
    <x v="1"/>
    <x v="0"/>
    <x v="6"/>
    <x v="3"/>
    <x v="0"/>
    <x v="2"/>
  </r>
  <r>
    <s v="TX500018"/>
    <x v="7"/>
    <x v="2"/>
    <n v="36.6"/>
    <x v="17"/>
    <d v="2025-01-01T00:00:00"/>
    <d v="2025-01-04T00:00:00"/>
    <s v="F"/>
    <x v="0"/>
    <x v="0"/>
    <x v="0"/>
    <x v="7"/>
    <x v="2"/>
    <x v="0"/>
    <x v="2"/>
  </r>
  <r>
    <s v="TX500019"/>
    <x v="6"/>
    <x v="8"/>
    <n v="51.1"/>
    <x v="18"/>
    <d v="2025-01-01T00:00:00"/>
    <d v="2025-01-04T00:00:00"/>
    <s v="F"/>
    <x v="2"/>
    <x v="3"/>
    <x v="0"/>
    <x v="7"/>
    <x v="2"/>
    <x v="0"/>
    <x v="2"/>
  </r>
  <r>
    <s v="TX500020"/>
    <x v="9"/>
    <x v="0"/>
    <n v="25.2"/>
    <x v="19"/>
    <d v="2025-01-01T00:00:00"/>
    <d v="2025-01-02T00:00:00"/>
    <s v="F"/>
    <x v="1"/>
    <x v="2"/>
    <x v="0"/>
    <x v="8"/>
    <x v="3"/>
    <x v="0"/>
    <x v="2"/>
  </r>
  <r>
    <s v="TX500021"/>
    <x v="9"/>
    <x v="9"/>
    <n v="43.8"/>
    <x v="20"/>
    <d v="2025-01-01T00:00:00"/>
    <d v="2025-01-04T00:00:00"/>
    <s v="F"/>
    <x v="2"/>
    <x v="0"/>
    <x v="0"/>
    <x v="8"/>
    <x v="2"/>
    <x v="0"/>
    <x v="2"/>
  </r>
  <r>
    <s v="TX500022"/>
    <x v="8"/>
    <x v="4"/>
    <n v="46.7"/>
    <x v="21"/>
    <d v="2025-01-01T00:00:00"/>
    <d v="2025-01-02T00:00:00"/>
    <s v="F"/>
    <x v="1"/>
    <x v="1"/>
    <x v="0"/>
    <x v="8"/>
    <x v="3"/>
    <x v="0"/>
    <x v="2"/>
  </r>
  <r>
    <s v="TX500023"/>
    <x v="3"/>
    <x v="10"/>
    <n v="79.900000000000006"/>
    <x v="22"/>
    <d v="2025-01-01T00:00:00"/>
    <d v="2025-01-02T00:00:00"/>
    <s v="M"/>
    <x v="0"/>
    <x v="2"/>
    <x v="0"/>
    <x v="8"/>
    <x v="3"/>
    <x v="0"/>
    <x v="1"/>
  </r>
  <r>
    <s v="TX500024"/>
    <x v="11"/>
    <x v="8"/>
    <n v="26.4"/>
    <x v="23"/>
    <d v="2025-01-01T00:00:00"/>
    <d v="2025-01-02T00:00:00"/>
    <s v="F"/>
    <x v="3"/>
    <x v="0"/>
    <x v="0"/>
    <x v="8"/>
    <x v="3"/>
    <x v="0"/>
    <x v="2"/>
  </r>
  <r>
    <s v="TX500025"/>
    <x v="12"/>
    <x v="8"/>
    <n v="88.8"/>
    <x v="24"/>
    <d v="2025-01-01T00:00:00"/>
    <d v="2025-01-02T00:00:00"/>
    <s v="F"/>
    <x v="4"/>
    <x v="0"/>
    <x v="0"/>
    <x v="8"/>
    <x v="3"/>
    <x v="0"/>
    <x v="2"/>
  </r>
  <r>
    <s v="TX500026"/>
    <x v="0"/>
    <x v="7"/>
    <n v="17.5"/>
    <x v="25"/>
    <d v="2025-01-01T00:00:00"/>
    <d v="2025-01-02T00:00:00"/>
    <s v="F"/>
    <x v="2"/>
    <x v="0"/>
    <x v="0"/>
    <x v="9"/>
    <x v="3"/>
    <x v="0"/>
    <x v="2"/>
  </r>
  <r>
    <s v="TX500027"/>
    <x v="1"/>
    <x v="11"/>
    <n v="38.700000000000003"/>
    <x v="26"/>
    <d v="2025-01-01T00:00:00"/>
    <d v="2025-01-04T00:00:00"/>
    <s v="M"/>
    <x v="1"/>
    <x v="0"/>
    <x v="0"/>
    <x v="10"/>
    <x v="2"/>
    <x v="0"/>
    <x v="1"/>
  </r>
  <r>
    <s v="TX500028"/>
    <x v="13"/>
    <x v="12"/>
    <n v="57.2"/>
    <x v="27"/>
    <d v="2025-01-01T00:00:00"/>
    <d v="2025-01-03T00:00:00"/>
    <s v=""/>
    <x v="1"/>
    <x v="2"/>
    <x v="0"/>
    <x v="11"/>
    <x v="1"/>
    <x v="0"/>
    <x v="0"/>
  </r>
  <r>
    <s v="TX500029"/>
    <x v="6"/>
    <x v="9"/>
    <n v="50.9"/>
    <x v="28"/>
    <d v="2025-01-01T00:00:00"/>
    <d v="2025-01-07T00:00:00"/>
    <s v=""/>
    <x v="1"/>
    <x v="2"/>
    <x v="0"/>
    <x v="12"/>
    <x v="4"/>
    <x v="0"/>
    <x v="0"/>
  </r>
  <r>
    <s v="TX500030"/>
    <x v="14"/>
    <x v="3"/>
    <n v="41"/>
    <x v="29"/>
    <d v="2025-01-01T00:00:00"/>
    <d v="2025-01-05T00:00:00"/>
    <s v="F"/>
    <x v="1"/>
    <x v="0"/>
    <x v="0"/>
    <x v="13"/>
    <x v="5"/>
    <x v="0"/>
    <x v="2"/>
  </r>
  <r>
    <s v="TX500031"/>
    <x v="8"/>
    <x v="3"/>
    <n v="19.100000000000001"/>
    <x v="30"/>
    <d v="2025-01-01T00:00:00"/>
    <d v="2025-01-05T00:00:00"/>
    <s v="M"/>
    <x v="0"/>
    <x v="2"/>
    <x v="0"/>
    <x v="14"/>
    <x v="5"/>
    <x v="0"/>
    <x v="1"/>
  </r>
  <r>
    <s v="TX500032"/>
    <x v="2"/>
    <x v="9"/>
    <n v="166.1"/>
    <x v="31"/>
    <d v="2025-01-01T00:00:00"/>
    <d v="2025-01-04T00:00:00"/>
    <s v="M"/>
    <x v="0"/>
    <x v="0"/>
    <x v="0"/>
    <x v="15"/>
    <x v="2"/>
    <x v="0"/>
    <x v="1"/>
  </r>
  <r>
    <s v="TX500033"/>
    <x v="4"/>
    <x v="2"/>
    <n v="29.9"/>
    <x v="32"/>
    <d v="2025-01-01T00:00:00"/>
    <d v="2025-01-02T00:00:00"/>
    <s v="M"/>
    <x v="3"/>
    <x v="0"/>
    <x v="0"/>
    <x v="3"/>
    <x v="3"/>
    <x v="0"/>
    <x v="1"/>
  </r>
  <r>
    <s v="TX500034"/>
    <x v="10"/>
    <x v="13"/>
    <n v="21.7"/>
    <x v="33"/>
    <d v="2025-01-01T00:00:00"/>
    <d v="2025-01-03T00:00:00"/>
    <s v="O"/>
    <x v="2"/>
    <x v="2"/>
    <x v="0"/>
    <x v="3"/>
    <x v="1"/>
    <x v="0"/>
    <x v="3"/>
  </r>
  <r>
    <s v="TX500035"/>
    <x v="11"/>
    <x v="1"/>
    <n v="32"/>
    <x v="34"/>
    <d v="2025-01-01T00:00:00"/>
    <d v="2025-01-04T00:00:00"/>
    <s v="M"/>
    <x v="0"/>
    <x v="2"/>
    <x v="0"/>
    <x v="3"/>
    <x v="2"/>
    <x v="0"/>
    <x v="1"/>
  </r>
  <r>
    <s v="TX500036"/>
    <x v="8"/>
    <x v="1"/>
    <n v="15.8"/>
    <x v="35"/>
    <d v="2025-01-01T00:00:00"/>
    <d v="2025-01-02T00:00:00"/>
    <s v="M"/>
    <x v="4"/>
    <x v="2"/>
    <x v="0"/>
    <x v="3"/>
    <x v="3"/>
    <x v="0"/>
    <x v="1"/>
  </r>
  <r>
    <s v="TX500037"/>
    <x v="2"/>
    <x v="14"/>
    <n v="203.1"/>
    <x v="36"/>
    <d v="2025-01-01T00:00:00"/>
    <d v="2025-01-05T00:00:00"/>
    <s v="M"/>
    <x v="3"/>
    <x v="1"/>
    <x v="0"/>
    <x v="3"/>
    <x v="5"/>
    <x v="0"/>
    <x v="1"/>
  </r>
  <r>
    <s v="TX500038"/>
    <x v="7"/>
    <x v="15"/>
    <n v="39"/>
    <x v="37"/>
    <d v="2025-01-01T00:00:00"/>
    <d v="2025-01-07T00:00:00"/>
    <s v="M"/>
    <x v="0"/>
    <x v="2"/>
    <x v="0"/>
    <x v="3"/>
    <x v="4"/>
    <x v="0"/>
    <x v="1"/>
  </r>
  <r>
    <s v="TX500039"/>
    <x v="10"/>
    <x v="0"/>
    <n v="26.5"/>
    <x v="38"/>
    <d v="2025-01-02T00:00:00"/>
    <d v="2025-01-03T00:00:00"/>
    <s v="M"/>
    <x v="2"/>
    <x v="0"/>
    <x v="0"/>
    <x v="3"/>
    <x v="3"/>
    <x v="0"/>
    <x v="1"/>
  </r>
  <r>
    <s v="TX500040"/>
    <x v="5"/>
    <x v="0"/>
    <n v="43.1"/>
    <x v="39"/>
    <d v="2025-01-02T00:00:00"/>
    <d v="2025-01-03T00:00:00"/>
    <s v="F"/>
    <x v="2"/>
    <x v="1"/>
    <x v="0"/>
    <x v="3"/>
    <x v="3"/>
    <x v="0"/>
    <x v="2"/>
  </r>
  <r>
    <s v="TX500041"/>
    <x v="1"/>
    <x v="2"/>
    <n v="139"/>
    <x v="40"/>
    <d v="2025-01-02T00:00:00"/>
    <d v="2025-01-03T00:00:00"/>
    <s v="F"/>
    <x v="4"/>
    <x v="2"/>
    <x v="0"/>
    <x v="3"/>
    <x v="3"/>
    <x v="0"/>
    <x v="2"/>
  </r>
  <r>
    <s v="TX500042"/>
    <x v="12"/>
    <x v="0"/>
    <n v="80.7"/>
    <x v="41"/>
    <d v="2025-01-02T00:00:00"/>
    <d v="2025-01-03T00:00:00"/>
    <s v="M"/>
    <x v="0"/>
    <x v="2"/>
    <x v="0"/>
    <x v="16"/>
    <x v="3"/>
    <x v="0"/>
    <x v="1"/>
  </r>
  <r>
    <s v="TX500043"/>
    <x v="4"/>
    <x v="1"/>
    <n v="54.5"/>
    <x v="42"/>
    <d v="2025-01-02T00:00:00"/>
    <d v="2025-01-04T00:00:00"/>
    <s v="M"/>
    <x v="1"/>
    <x v="1"/>
    <x v="0"/>
    <x v="6"/>
    <x v="1"/>
    <x v="0"/>
    <x v="1"/>
  </r>
  <r>
    <s v="TX500044"/>
    <x v="6"/>
    <x v="2"/>
    <n v="68.599999999999994"/>
    <x v="43"/>
    <d v="2025-01-02T00:00:00"/>
    <d v="2025-01-02T00:00:00"/>
    <s v="F"/>
    <x v="0"/>
    <x v="1"/>
    <x v="0"/>
    <x v="8"/>
    <x v="7"/>
    <x v="0"/>
    <x v="2"/>
  </r>
  <r>
    <s v="TX500045"/>
    <x v="2"/>
    <x v="12"/>
    <n v="135.9"/>
    <x v="44"/>
    <d v="2025-01-02T00:00:00"/>
    <d v="2025-01-03T00:00:00"/>
    <s v="F"/>
    <x v="2"/>
    <x v="2"/>
    <x v="0"/>
    <x v="8"/>
    <x v="3"/>
    <x v="0"/>
    <x v="2"/>
  </r>
  <r>
    <s v="TX500046"/>
    <x v="2"/>
    <x v="12"/>
    <n v="70.900000000000006"/>
    <x v="45"/>
    <d v="2025-01-02T00:00:00"/>
    <d v="2025-01-03T00:00:00"/>
    <s v="F"/>
    <x v="0"/>
    <x v="0"/>
    <x v="0"/>
    <x v="17"/>
    <x v="3"/>
    <x v="0"/>
    <x v="2"/>
  </r>
  <r>
    <s v="TX500047"/>
    <x v="1"/>
    <x v="9"/>
    <n v="63.7"/>
    <x v="46"/>
    <d v="2025-01-02T00:00:00"/>
    <d v="2025-01-03T00:00:00"/>
    <s v="M"/>
    <x v="1"/>
    <x v="1"/>
    <x v="0"/>
    <x v="9"/>
    <x v="3"/>
    <x v="0"/>
    <x v="1"/>
  </r>
  <r>
    <s v="TX500048"/>
    <x v="13"/>
    <x v="0"/>
    <n v="29.7"/>
    <x v="47"/>
    <d v="2025-01-02T00:00:00"/>
    <d v="2025-01-04T00:00:00"/>
    <s v="F"/>
    <x v="1"/>
    <x v="0"/>
    <x v="0"/>
    <x v="11"/>
    <x v="1"/>
    <x v="0"/>
    <x v="2"/>
  </r>
  <r>
    <s v="TX500049"/>
    <x v="4"/>
    <x v="2"/>
    <n v="26.8"/>
    <x v="48"/>
    <d v="2025-01-02T00:00:00"/>
    <d v="2025-01-11T00:00:00"/>
    <s v="F"/>
    <x v="1"/>
    <x v="2"/>
    <x v="0"/>
    <x v="11"/>
    <x v="8"/>
    <x v="0"/>
    <x v="2"/>
  </r>
  <r>
    <s v="TX500050"/>
    <x v="14"/>
    <x v="0"/>
    <n v="27"/>
    <x v="49"/>
    <d v="2025-01-02T00:00:00"/>
    <d v="2025-01-04T00:00:00"/>
    <s v="F"/>
    <x v="0"/>
    <x v="0"/>
    <x v="0"/>
    <x v="18"/>
    <x v="1"/>
    <x v="0"/>
    <x v="2"/>
  </r>
  <r>
    <s v="TX500051"/>
    <x v="8"/>
    <x v="0"/>
    <n v="41.4"/>
    <x v="50"/>
    <d v="2025-01-02T00:00:00"/>
    <d v="2025-01-03T00:00:00"/>
    <s v="M"/>
    <x v="1"/>
    <x v="2"/>
    <x v="0"/>
    <x v="19"/>
    <x v="3"/>
    <x v="0"/>
    <x v="1"/>
  </r>
  <r>
    <s v="TX500052"/>
    <x v="8"/>
    <x v="1"/>
    <n v="24.3"/>
    <x v="51"/>
    <d v="2025-01-02T00:00:00"/>
    <d v="2025-01-05T00:00:00"/>
    <s v="F"/>
    <x v="1"/>
    <x v="0"/>
    <x v="0"/>
    <x v="19"/>
    <x v="2"/>
    <x v="0"/>
    <x v="2"/>
  </r>
  <r>
    <s v="TX500053"/>
    <x v="8"/>
    <x v="2"/>
    <n v="41.7"/>
    <x v="52"/>
    <d v="2025-01-02T00:00:00"/>
    <d v="2025-01-04T00:00:00"/>
    <s v="M"/>
    <x v="0"/>
    <x v="2"/>
    <x v="0"/>
    <x v="20"/>
    <x v="1"/>
    <x v="0"/>
    <x v="1"/>
  </r>
  <r>
    <s v="TX500054"/>
    <x v="0"/>
    <x v="1"/>
    <n v="18"/>
    <x v="53"/>
    <d v="2025-01-02T00:00:00"/>
    <d v="2025-01-03T00:00:00"/>
    <s v="F"/>
    <x v="0"/>
    <x v="2"/>
    <x v="0"/>
    <x v="21"/>
    <x v="3"/>
    <x v="0"/>
    <x v="2"/>
  </r>
  <r>
    <s v="TX500055"/>
    <x v="7"/>
    <x v="2"/>
    <n v="91.3"/>
    <x v="54"/>
    <d v="2025-01-02T00:00:00"/>
    <d v="2025-01-05T00:00:00"/>
    <s v="M"/>
    <x v="2"/>
    <x v="2"/>
    <x v="0"/>
    <x v="3"/>
    <x v="2"/>
    <x v="0"/>
    <x v="1"/>
  </r>
  <r>
    <s v="TX500056"/>
    <x v="8"/>
    <x v="8"/>
    <n v="19.3"/>
    <x v="55"/>
    <d v="2025-01-02T00:00:00"/>
    <d v="2025-01-03T00:00:00"/>
    <s v="M"/>
    <x v="0"/>
    <x v="0"/>
    <x v="0"/>
    <x v="3"/>
    <x v="3"/>
    <x v="0"/>
    <x v="1"/>
  </r>
  <r>
    <s v="TX500057"/>
    <x v="12"/>
    <x v="15"/>
    <n v="63.2"/>
    <x v="56"/>
    <d v="2025-01-02T00:00:00"/>
    <d v="2025-01-03T00:00:00"/>
    <s v="F"/>
    <x v="0"/>
    <x v="0"/>
    <x v="0"/>
    <x v="3"/>
    <x v="3"/>
    <x v="0"/>
    <x v="2"/>
  </r>
  <r>
    <s v="TX500058"/>
    <x v="10"/>
    <x v="11"/>
    <n v="33.299999999999997"/>
    <x v="57"/>
    <d v="2025-01-03T00:00:00"/>
    <d v="2025-01-11T00:00:00"/>
    <s v="F"/>
    <x v="0"/>
    <x v="2"/>
    <x v="0"/>
    <x v="3"/>
    <x v="9"/>
    <x v="0"/>
    <x v="2"/>
  </r>
  <r>
    <s v="TX500059"/>
    <x v="7"/>
    <x v="1"/>
    <n v="64.2"/>
    <x v="58"/>
    <d v="2025-01-03T00:00:00"/>
    <d v="2025-01-04T00:00:00"/>
    <s v="M"/>
    <x v="0"/>
    <x v="2"/>
    <x v="0"/>
    <x v="3"/>
    <x v="3"/>
    <x v="0"/>
    <x v="1"/>
  </r>
  <r>
    <s v="TX500060"/>
    <x v="9"/>
    <x v="2"/>
    <n v="23.1"/>
    <x v="59"/>
    <d v="2025-01-03T00:00:00"/>
    <d v="2025-01-06T00:00:00"/>
    <s v="F"/>
    <x v="1"/>
    <x v="2"/>
    <x v="0"/>
    <x v="3"/>
    <x v="2"/>
    <x v="0"/>
    <x v="2"/>
  </r>
  <r>
    <s v="TX500061"/>
    <x v="15"/>
    <x v="1"/>
    <n v="71.099999999999994"/>
    <x v="60"/>
    <d v="2025-01-03T00:00:00"/>
    <d v="2025-01-05T00:00:00"/>
    <s v="F"/>
    <x v="3"/>
    <x v="1"/>
    <x v="0"/>
    <x v="3"/>
    <x v="1"/>
    <x v="0"/>
    <x v="2"/>
  </r>
  <r>
    <s v="TX500062"/>
    <x v="0"/>
    <x v="1"/>
    <n v="11.5"/>
    <x v="61"/>
    <d v="2025-01-03T00:00:00"/>
    <d v="2025-01-04T00:00:00"/>
    <s v="F"/>
    <x v="0"/>
    <x v="0"/>
    <x v="0"/>
    <x v="3"/>
    <x v="3"/>
    <x v="0"/>
    <x v="2"/>
  </r>
  <r>
    <s v="TX500063"/>
    <x v="15"/>
    <x v="10"/>
    <n v="69.2"/>
    <x v="62"/>
    <d v="2025-01-03T00:00:00"/>
    <d v="2025-01-08T00:00:00"/>
    <s v="F"/>
    <x v="0"/>
    <x v="0"/>
    <x v="0"/>
    <x v="3"/>
    <x v="0"/>
    <x v="0"/>
    <x v="2"/>
  </r>
  <r>
    <s v="TX500064"/>
    <x v="0"/>
    <x v="0"/>
    <n v="26.8"/>
    <x v="63"/>
    <d v="2025-01-03T00:00:00"/>
    <d v="2025-01-04T00:00:00"/>
    <s v="M"/>
    <x v="2"/>
    <x v="4"/>
    <x v="0"/>
    <x v="3"/>
    <x v="3"/>
    <x v="0"/>
    <x v="1"/>
  </r>
  <r>
    <s v="TX500065"/>
    <x v="16"/>
    <x v="2"/>
    <n v="31.2"/>
    <x v="64"/>
    <d v="2025-01-03T00:00:00"/>
    <d v="2025-01-06T00:00:00"/>
    <s v="F"/>
    <x v="0"/>
    <x v="0"/>
    <x v="0"/>
    <x v="3"/>
    <x v="2"/>
    <x v="0"/>
    <x v="2"/>
  </r>
  <r>
    <s v="TX500066"/>
    <x v="12"/>
    <x v="1"/>
    <n v="113.2"/>
    <x v="65"/>
    <d v="2025-01-03T00:00:00"/>
    <d v="2025-01-04T00:00:00"/>
    <s v="F"/>
    <x v="4"/>
    <x v="0"/>
    <x v="0"/>
    <x v="3"/>
    <x v="3"/>
    <x v="0"/>
    <x v="2"/>
  </r>
  <r>
    <s v="TX500067"/>
    <x v="10"/>
    <x v="8"/>
    <n v="21"/>
    <x v="66"/>
    <d v="2025-01-03T00:00:00"/>
    <d v="2025-01-04T00:00:00"/>
    <s v="M"/>
    <x v="0"/>
    <x v="0"/>
    <x v="0"/>
    <x v="6"/>
    <x v="3"/>
    <x v="0"/>
    <x v="1"/>
  </r>
  <r>
    <s v="TX500068"/>
    <x v="1"/>
    <x v="1"/>
    <n v="89.1"/>
    <x v="67"/>
    <d v="2025-01-03T00:00:00"/>
    <d v="2025-01-04T00:00:00"/>
    <s v="F"/>
    <x v="2"/>
    <x v="2"/>
    <x v="0"/>
    <x v="6"/>
    <x v="3"/>
    <x v="0"/>
    <x v="2"/>
  </r>
  <r>
    <s v="TX500069"/>
    <x v="1"/>
    <x v="0"/>
    <n v="97.7"/>
    <x v="68"/>
    <d v="2025-01-03T00:00:00"/>
    <d v="2025-01-05T00:00:00"/>
    <s v="F"/>
    <x v="0"/>
    <x v="1"/>
    <x v="0"/>
    <x v="6"/>
    <x v="1"/>
    <x v="0"/>
    <x v="2"/>
  </r>
  <r>
    <s v="TX500070"/>
    <x v="15"/>
    <x v="12"/>
    <n v="97.7"/>
    <x v="69"/>
    <d v="2025-01-03T00:00:00"/>
    <d v="2025-01-05T00:00:00"/>
    <s v="M"/>
    <x v="3"/>
    <x v="0"/>
    <x v="0"/>
    <x v="6"/>
    <x v="1"/>
    <x v="0"/>
    <x v="1"/>
  </r>
  <r>
    <s v="TX500071"/>
    <x v="17"/>
    <x v="2"/>
    <n v="47.4"/>
    <x v="60"/>
    <d v="2025-01-03T00:00:00"/>
    <d v="2025-01-06T00:00:00"/>
    <s v="M"/>
    <x v="3"/>
    <x v="2"/>
    <x v="0"/>
    <x v="8"/>
    <x v="2"/>
    <x v="0"/>
    <x v="1"/>
  </r>
  <r>
    <s v="TX500072"/>
    <x v="7"/>
    <x v="0"/>
    <n v="89.6"/>
    <x v="70"/>
    <d v="2025-01-03T00:00:00"/>
    <d v="2025-01-06T00:00:00"/>
    <s v="F"/>
    <x v="0"/>
    <x v="2"/>
    <x v="0"/>
    <x v="8"/>
    <x v="2"/>
    <x v="0"/>
    <x v="2"/>
  </r>
  <r>
    <s v="TX500073"/>
    <x v="10"/>
    <x v="16"/>
    <n v="28.4"/>
    <x v="71"/>
    <d v="2025-01-03T00:00:00"/>
    <d v="2025-01-06T00:00:00"/>
    <s v="F"/>
    <x v="3"/>
    <x v="2"/>
    <x v="0"/>
    <x v="17"/>
    <x v="2"/>
    <x v="0"/>
    <x v="2"/>
  </r>
  <r>
    <s v="TX500074"/>
    <x v="0"/>
    <x v="1"/>
    <n v="17.899999999999999"/>
    <x v="72"/>
    <d v="2025-01-03T00:00:00"/>
    <d v="2025-01-04T00:00:00"/>
    <s v="F"/>
    <x v="0"/>
    <x v="2"/>
    <x v="0"/>
    <x v="9"/>
    <x v="3"/>
    <x v="0"/>
    <x v="2"/>
  </r>
  <r>
    <s v="TX500075"/>
    <x v="9"/>
    <x v="1"/>
    <n v="48.4"/>
    <x v="73"/>
    <d v="2025-01-03T00:00:00"/>
    <d v="2025-01-06T00:00:00"/>
    <s v="M"/>
    <x v="1"/>
    <x v="0"/>
    <x v="0"/>
    <x v="9"/>
    <x v="2"/>
    <x v="0"/>
    <x v="1"/>
  </r>
  <r>
    <s v="TX500076"/>
    <x v="12"/>
    <x v="12"/>
    <n v="44.4"/>
    <x v="74"/>
    <d v="2025-01-03T00:00:00"/>
    <d v="2025-01-04T00:00:00"/>
    <s v="O"/>
    <x v="1"/>
    <x v="1"/>
    <x v="0"/>
    <x v="11"/>
    <x v="3"/>
    <x v="0"/>
    <x v="3"/>
  </r>
  <r>
    <s v="TX500077"/>
    <x v="2"/>
    <x v="8"/>
    <n v="103.7"/>
    <x v="75"/>
    <d v="2025-01-03T00:00:00"/>
    <d v="2025-01-04T00:00:00"/>
    <s v="F"/>
    <x v="0"/>
    <x v="1"/>
    <x v="0"/>
    <x v="19"/>
    <x v="3"/>
    <x v="0"/>
    <x v="2"/>
  </r>
  <r>
    <s v="TX500078"/>
    <x v="5"/>
    <x v="12"/>
    <n v="58.6"/>
    <x v="76"/>
    <d v="2025-01-03T00:00:00"/>
    <d v="2025-01-05T00:00:00"/>
    <s v="M"/>
    <x v="3"/>
    <x v="0"/>
    <x v="0"/>
    <x v="19"/>
    <x v="1"/>
    <x v="0"/>
    <x v="1"/>
  </r>
  <r>
    <s v="TX500079"/>
    <x v="9"/>
    <x v="12"/>
    <n v="54.8"/>
    <x v="77"/>
    <d v="2025-01-03T00:00:00"/>
    <d v="2025-01-07T00:00:00"/>
    <s v="F"/>
    <x v="2"/>
    <x v="1"/>
    <x v="0"/>
    <x v="13"/>
    <x v="5"/>
    <x v="0"/>
    <x v="2"/>
  </r>
  <r>
    <s v="TX500080"/>
    <x v="12"/>
    <x v="2"/>
    <n v="78.8"/>
    <x v="78"/>
    <d v="2025-01-03T00:00:00"/>
    <d v="2025-01-09T00:00:00"/>
    <s v="F"/>
    <x v="4"/>
    <x v="1"/>
    <x v="0"/>
    <x v="21"/>
    <x v="4"/>
    <x v="0"/>
    <x v="2"/>
  </r>
  <r>
    <s v="TX500081"/>
    <x v="18"/>
    <x v="9"/>
    <n v="36.799999999999997"/>
    <x v="79"/>
    <d v="2025-01-03T00:00:00"/>
    <d v="2025-01-06T00:00:00"/>
    <s v="M"/>
    <x v="4"/>
    <x v="1"/>
    <x v="0"/>
    <x v="22"/>
    <x v="2"/>
    <x v="0"/>
    <x v="1"/>
  </r>
  <r>
    <s v="TX500082"/>
    <x v="6"/>
    <x v="13"/>
    <n v="50.6"/>
    <x v="80"/>
    <d v="2025-01-03T00:00:00"/>
    <d v="2025-01-05T00:00:00"/>
    <s v="F"/>
    <x v="3"/>
    <x v="0"/>
    <x v="0"/>
    <x v="3"/>
    <x v="1"/>
    <x v="0"/>
    <x v="2"/>
  </r>
  <r>
    <s v="TX500083"/>
    <x v="15"/>
    <x v="2"/>
    <n v="36.799999999999997"/>
    <x v="81"/>
    <d v="2025-01-03T00:00:00"/>
    <d v="2025-01-03T00:00:00"/>
    <s v="M"/>
    <x v="2"/>
    <x v="1"/>
    <x v="0"/>
    <x v="3"/>
    <x v="7"/>
    <x v="0"/>
    <x v="1"/>
  </r>
  <r>
    <s v="TX500084"/>
    <x v="8"/>
    <x v="11"/>
    <n v="41.8"/>
    <x v="82"/>
    <d v="2025-01-04T00:00:00"/>
    <d v="2025-01-10T00:00:00"/>
    <s v="F"/>
    <x v="3"/>
    <x v="0"/>
    <x v="0"/>
    <x v="3"/>
    <x v="4"/>
    <x v="0"/>
    <x v="2"/>
  </r>
  <r>
    <s v="TX500085"/>
    <x v="18"/>
    <x v="0"/>
    <n v="77.3"/>
    <x v="83"/>
    <d v="2025-01-04T00:00:00"/>
    <d v="2025-01-05T00:00:00"/>
    <s v="M"/>
    <x v="4"/>
    <x v="4"/>
    <x v="0"/>
    <x v="3"/>
    <x v="3"/>
    <x v="0"/>
    <x v="1"/>
  </r>
  <r>
    <s v="TX500086"/>
    <x v="8"/>
    <x v="12"/>
    <n v="19.8"/>
    <x v="84"/>
    <d v="2025-01-04T00:00:00"/>
    <d v="2025-01-10T00:00:00"/>
    <s v="M"/>
    <x v="1"/>
    <x v="2"/>
    <x v="0"/>
    <x v="3"/>
    <x v="4"/>
    <x v="0"/>
    <x v="1"/>
  </r>
  <r>
    <s v="TX500087"/>
    <x v="13"/>
    <x v="12"/>
    <n v="15.5"/>
    <x v="85"/>
    <d v="2025-01-04T00:00:00"/>
    <d v="2025-01-05T00:00:00"/>
    <s v="F"/>
    <x v="1"/>
    <x v="2"/>
    <x v="0"/>
    <x v="3"/>
    <x v="3"/>
    <x v="0"/>
    <x v="2"/>
  </r>
  <r>
    <s v="TX500088"/>
    <x v="12"/>
    <x v="0"/>
    <n v="46.8"/>
    <x v="86"/>
    <d v="2025-01-04T00:00:00"/>
    <d v="2025-01-08T00:00:00"/>
    <s v="M"/>
    <x v="0"/>
    <x v="2"/>
    <x v="0"/>
    <x v="3"/>
    <x v="5"/>
    <x v="0"/>
    <x v="1"/>
  </r>
  <r>
    <s v="TX500089"/>
    <x v="9"/>
    <x v="11"/>
    <n v="28.6"/>
    <x v="87"/>
    <d v="2025-01-04T00:00:00"/>
    <d v="2025-01-08T00:00:00"/>
    <s v="M"/>
    <x v="0"/>
    <x v="2"/>
    <x v="0"/>
    <x v="3"/>
    <x v="5"/>
    <x v="0"/>
    <x v="1"/>
  </r>
  <r>
    <s v="TX500090"/>
    <x v="2"/>
    <x v="0"/>
    <n v="97.7"/>
    <x v="68"/>
    <d v="2025-01-04T00:00:00"/>
    <d v="2025-01-07T00:00:00"/>
    <s v="F"/>
    <x v="1"/>
    <x v="0"/>
    <x v="0"/>
    <x v="3"/>
    <x v="2"/>
    <x v="0"/>
    <x v="2"/>
  </r>
  <r>
    <s v="TX500091"/>
    <x v="9"/>
    <x v="9"/>
    <n v="54.7"/>
    <x v="88"/>
    <d v="2025-01-04T00:00:00"/>
    <d v="2025-01-07T00:00:00"/>
    <s v=""/>
    <x v="0"/>
    <x v="2"/>
    <x v="0"/>
    <x v="23"/>
    <x v="2"/>
    <x v="0"/>
    <x v="0"/>
  </r>
  <r>
    <s v="TX500092"/>
    <x v="2"/>
    <x v="13"/>
    <n v="130.5"/>
    <x v="89"/>
    <d v="2025-01-04T00:00:00"/>
    <d v="2025-01-06T00:00:00"/>
    <s v="F"/>
    <x v="0"/>
    <x v="1"/>
    <x v="0"/>
    <x v="23"/>
    <x v="1"/>
    <x v="0"/>
    <x v="2"/>
  </r>
  <r>
    <s v="TX500093"/>
    <x v="11"/>
    <x v="1"/>
    <n v="50.4"/>
    <x v="90"/>
    <d v="2025-01-04T00:00:00"/>
    <d v="2025-01-06T00:00:00"/>
    <s v="M"/>
    <x v="2"/>
    <x v="2"/>
    <x v="0"/>
    <x v="6"/>
    <x v="1"/>
    <x v="0"/>
    <x v="1"/>
  </r>
  <r>
    <s v="TX500094"/>
    <x v="6"/>
    <x v="15"/>
    <n v="61.5"/>
    <x v="91"/>
    <d v="2025-01-04T00:00:00"/>
    <d v="2025-01-05T00:00:00"/>
    <s v=""/>
    <x v="3"/>
    <x v="1"/>
    <x v="0"/>
    <x v="11"/>
    <x v="3"/>
    <x v="0"/>
    <x v="0"/>
  </r>
  <r>
    <s v="TX500095"/>
    <x v="9"/>
    <x v="12"/>
    <n v="30.1"/>
    <x v="92"/>
    <d v="2025-01-04T00:00:00"/>
    <d v="2025-01-05T00:00:00"/>
    <s v="F"/>
    <x v="0"/>
    <x v="2"/>
    <x v="0"/>
    <x v="21"/>
    <x v="3"/>
    <x v="0"/>
    <x v="2"/>
  </r>
  <r>
    <s v="TX500096"/>
    <x v="2"/>
    <x v="9"/>
    <n v="74.8"/>
    <x v="93"/>
    <d v="2025-01-04T00:00:00"/>
    <d v="2025-01-05T00:00:00"/>
    <s v="F"/>
    <x v="1"/>
    <x v="0"/>
    <x v="0"/>
    <x v="1"/>
    <x v="3"/>
    <x v="0"/>
    <x v="2"/>
  </r>
  <r>
    <s v="TX500097"/>
    <x v="16"/>
    <x v="2"/>
    <n v="64.900000000000006"/>
    <x v="94"/>
    <d v="2025-01-04T00:00:00"/>
    <d v="2025-01-11T00:00:00"/>
    <s v="M"/>
    <x v="0"/>
    <x v="0"/>
    <x v="0"/>
    <x v="2"/>
    <x v="6"/>
    <x v="0"/>
    <x v="1"/>
  </r>
  <r>
    <s v="TX500098"/>
    <x v="9"/>
    <x v="1"/>
    <n v="50.5"/>
    <x v="95"/>
    <d v="2025-01-04T00:00:00"/>
    <d v="2025-01-06T00:00:00"/>
    <s v="M"/>
    <x v="1"/>
    <x v="0"/>
    <x v="0"/>
    <x v="22"/>
    <x v="1"/>
    <x v="0"/>
    <x v="1"/>
  </r>
  <r>
    <s v="TX500099"/>
    <x v="11"/>
    <x v="3"/>
    <n v="63"/>
    <x v="96"/>
    <d v="2025-01-04T00:00:00"/>
    <d v="2025-01-07T00:00:00"/>
    <s v="M"/>
    <x v="3"/>
    <x v="2"/>
    <x v="0"/>
    <x v="3"/>
    <x v="2"/>
    <x v="0"/>
    <x v="1"/>
  </r>
  <r>
    <s v="TX500100"/>
    <x v="2"/>
    <x v="2"/>
    <n v="93.6"/>
    <x v="97"/>
    <d v="2025-01-04T00:00:00"/>
    <d v="2025-01-17T00:00:00"/>
    <s v="F"/>
    <x v="0"/>
    <x v="2"/>
    <x v="0"/>
    <x v="3"/>
    <x v="10"/>
    <x v="0"/>
    <x v="2"/>
  </r>
  <r>
    <s v="TX500101"/>
    <x v="5"/>
    <x v="17"/>
    <n v="41.4"/>
    <x v="98"/>
    <d v="2025-01-04T00:00:00"/>
    <d v="2025-01-08T00:00:00"/>
    <s v="M"/>
    <x v="2"/>
    <x v="2"/>
    <x v="0"/>
    <x v="3"/>
    <x v="5"/>
    <x v="0"/>
    <x v="1"/>
  </r>
  <r>
    <s v="TX500102"/>
    <x v="2"/>
    <x v="1"/>
    <n v="160"/>
    <x v="99"/>
    <d v="2025-01-05T00:00:00"/>
    <d v="2025-01-06T00:00:00"/>
    <s v="M"/>
    <x v="2"/>
    <x v="2"/>
    <x v="0"/>
    <x v="5"/>
    <x v="3"/>
    <x v="1"/>
    <x v="1"/>
  </r>
  <r>
    <s v="TX500103"/>
    <x v="19"/>
    <x v="5"/>
    <n v="10.5"/>
    <x v="100"/>
    <d v="2025-01-05T00:00:00"/>
    <d v="2025-01-08T00:00:00"/>
    <s v="F"/>
    <x v="4"/>
    <x v="0"/>
    <x v="0"/>
    <x v="8"/>
    <x v="2"/>
    <x v="1"/>
    <x v="2"/>
  </r>
  <r>
    <s v="TX500104"/>
    <x v="10"/>
    <x v="1"/>
    <n v="53"/>
    <x v="101"/>
    <d v="2025-01-05T00:00:00"/>
    <d v="2025-01-05T00:00:00"/>
    <s v="M"/>
    <x v="2"/>
    <x v="4"/>
    <x v="0"/>
    <x v="17"/>
    <x v="7"/>
    <x v="1"/>
    <x v="1"/>
  </r>
  <r>
    <s v="TX500105"/>
    <x v="8"/>
    <x v="2"/>
    <n v="18.5"/>
    <x v="102"/>
    <d v="2025-01-05T00:00:00"/>
    <d v="2025-01-10T00:00:00"/>
    <s v="F"/>
    <x v="1"/>
    <x v="2"/>
    <x v="0"/>
    <x v="11"/>
    <x v="0"/>
    <x v="1"/>
    <x v="2"/>
  </r>
  <r>
    <s v="TX500106"/>
    <x v="16"/>
    <x v="2"/>
    <n v="84.5"/>
    <x v="103"/>
    <d v="2025-01-05T00:00:00"/>
    <d v="2025-01-07T00:00:00"/>
    <s v="F"/>
    <x v="4"/>
    <x v="1"/>
    <x v="0"/>
    <x v="13"/>
    <x v="1"/>
    <x v="1"/>
    <x v="2"/>
  </r>
  <r>
    <s v="TX500107"/>
    <x v="15"/>
    <x v="3"/>
    <n v="31.2"/>
    <x v="104"/>
    <d v="2025-01-05T00:00:00"/>
    <d v="2025-01-05T00:00:00"/>
    <s v="F"/>
    <x v="2"/>
    <x v="2"/>
    <x v="0"/>
    <x v="3"/>
    <x v="7"/>
    <x v="1"/>
    <x v="2"/>
  </r>
  <r>
    <s v="TX500108"/>
    <x v="8"/>
    <x v="16"/>
    <n v="32.6"/>
    <x v="105"/>
    <d v="2025-01-05T00:00:00"/>
    <d v="2025-01-06T00:00:00"/>
    <s v="M"/>
    <x v="1"/>
    <x v="1"/>
    <x v="0"/>
    <x v="3"/>
    <x v="3"/>
    <x v="1"/>
    <x v="1"/>
  </r>
  <r>
    <s v="TX500109"/>
    <x v="10"/>
    <x v="12"/>
    <n v="45.4"/>
    <x v="106"/>
    <d v="2025-01-05T00:00:00"/>
    <d v="2025-01-07T00:00:00"/>
    <s v="M"/>
    <x v="1"/>
    <x v="0"/>
    <x v="0"/>
    <x v="3"/>
    <x v="1"/>
    <x v="1"/>
    <x v="1"/>
  </r>
  <r>
    <s v="TX500110"/>
    <x v="2"/>
    <x v="4"/>
    <n v="120"/>
    <x v="107"/>
    <d v="2025-01-05T00:00:00"/>
    <d v="2025-01-06T00:00:00"/>
    <s v="F"/>
    <x v="2"/>
    <x v="4"/>
    <x v="0"/>
    <x v="3"/>
    <x v="3"/>
    <x v="1"/>
    <x v="2"/>
  </r>
  <r>
    <s v="TX500111"/>
    <x v="0"/>
    <x v="12"/>
    <n v="18.899999999999999"/>
    <x v="108"/>
    <d v="2025-01-05T00:00:00"/>
    <d v="2025-01-07T00:00:00"/>
    <s v="M"/>
    <x v="0"/>
    <x v="2"/>
    <x v="0"/>
    <x v="3"/>
    <x v="1"/>
    <x v="1"/>
    <x v="1"/>
  </r>
  <r>
    <s v="TX500112"/>
    <x v="4"/>
    <x v="0"/>
    <n v="32"/>
    <x v="109"/>
    <d v="2025-01-05T00:00:00"/>
    <d v="2025-01-07T00:00:00"/>
    <s v="F"/>
    <x v="4"/>
    <x v="0"/>
    <x v="0"/>
    <x v="3"/>
    <x v="1"/>
    <x v="1"/>
    <x v="2"/>
  </r>
  <r>
    <s v="TX500113"/>
    <x v="7"/>
    <x v="1"/>
    <n v="37.299999999999997"/>
    <x v="110"/>
    <d v="2025-01-05T00:00:00"/>
    <d v="2025-01-06T00:00:00"/>
    <s v="M"/>
    <x v="2"/>
    <x v="0"/>
    <x v="0"/>
    <x v="3"/>
    <x v="3"/>
    <x v="1"/>
    <x v="1"/>
  </r>
  <r>
    <s v="TX500114"/>
    <x v="18"/>
    <x v="0"/>
    <n v="119.8"/>
    <x v="111"/>
    <d v="2025-01-05T00:00:00"/>
    <d v="2025-01-06T00:00:00"/>
    <s v="M"/>
    <x v="1"/>
    <x v="1"/>
    <x v="0"/>
    <x v="3"/>
    <x v="3"/>
    <x v="1"/>
    <x v="1"/>
  </r>
  <r>
    <s v="TX500115"/>
    <x v="10"/>
    <x v="1"/>
    <n v="26.4"/>
    <x v="112"/>
    <d v="2025-01-05T00:00:00"/>
    <d v="2025-01-08T00:00:00"/>
    <s v="M"/>
    <x v="2"/>
    <x v="0"/>
    <x v="0"/>
    <x v="3"/>
    <x v="2"/>
    <x v="1"/>
    <x v="1"/>
  </r>
  <r>
    <s v="TX500116"/>
    <x v="6"/>
    <x v="13"/>
    <n v="76.5"/>
    <x v="113"/>
    <d v="2025-01-05T00:00:00"/>
    <d v="2025-01-06T00:00:00"/>
    <s v="F"/>
    <x v="1"/>
    <x v="1"/>
    <x v="0"/>
    <x v="3"/>
    <x v="3"/>
    <x v="1"/>
    <x v="2"/>
  </r>
  <r>
    <s v="TX500117"/>
    <x v="4"/>
    <x v="7"/>
    <n v="45.7"/>
    <x v="114"/>
    <d v="2025-01-05T00:00:00"/>
    <d v="2025-01-06T00:00:00"/>
    <s v="F"/>
    <x v="2"/>
    <x v="0"/>
    <x v="0"/>
    <x v="24"/>
    <x v="3"/>
    <x v="1"/>
    <x v="2"/>
  </r>
  <r>
    <s v="TX500118"/>
    <x v="1"/>
    <x v="4"/>
    <n v="92.6"/>
    <x v="115"/>
    <d v="2025-01-05T00:00:00"/>
    <d v="2025-01-07T00:00:00"/>
    <s v="F"/>
    <x v="2"/>
    <x v="0"/>
    <x v="0"/>
    <x v="25"/>
    <x v="1"/>
    <x v="1"/>
    <x v="2"/>
  </r>
  <r>
    <s v="TX500119"/>
    <x v="6"/>
    <x v="13"/>
    <n v="60.1"/>
    <x v="116"/>
    <d v="2025-01-05T00:00:00"/>
    <d v="2025-01-06T00:00:00"/>
    <s v="M"/>
    <x v="1"/>
    <x v="0"/>
    <x v="0"/>
    <x v="23"/>
    <x v="3"/>
    <x v="1"/>
    <x v="1"/>
  </r>
  <r>
    <s v="TX500120"/>
    <x v="1"/>
    <x v="2"/>
    <n v="73"/>
    <x v="20"/>
    <d v="2025-01-05T00:00:00"/>
    <d v="2025-01-06T00:00:00"/>
    <s v="F"/>
    <x v="3"/>
    <x v="1"/>
    <x v="0"/>
    <x v="6"/>
    <x v="3"/>
    <x v="1"/>
    <x v="2"/>
  </r>
  <r>
    <s v="TX500121"/>
    <x v="6"/>
    <x v="2"/>
    <n v="44.3"/>
    <x v="117"/>
    <d v="2025-01-05T00:00:00"/>
    <d v="2025-01-09T00:00:00"/>
    <s v=""/>
    <x v="2"/>
    <x v="2"/>
    <x v="0"/>
    <x v="6"/>
    <x v="5"/>
    <x v="1"/>
    <x v="0"/>
  </r>
  <r>
    <s v="TX500122"/>
    <x v="6"/>
    <x v="2"/>
    <n v="63.3"/>
    <x v="118"/>
    <d v="2025-01-05T00:00:00"/>
    <d v="2025-01-06T00:00:00"/>
    <s v="M"/>
    <x v="2"/>
    <x v="0"/>
    <x v="0"/>
    <x v="6"/>
    <x v="3"/>
    <x v="1"/>
    <x v="1"/>
  </r>
  <r>
    <s v="TX500123"/>
    <x v="12"/>
    <x v="0"/>
    <n v="66.8"/>
    <x v="119"/>
    <d v="2025-01-05T00:00:00"/>
    <d v="2025-01-06T00:00:00"/>
    <s v="F"/>
    <x v="1"/>
    <x v="0"/>
    <x v="0"/>
    <x v="6"/>
    <x v="3"/>
    <x v="1"/>
    <x v="2"/>
  </r>
  <r>
    <s v="TX500124"/>
    <x v="2"/>
    <x v="1"/>
    <n v="59.7"/>
    <x v="120"/>
    <d v="2025-01-05T00:00:00"/>
    <d v="2025-01-06T00:00:00"/>
    <s v="F"/>
    <x v="0"/>
    <x v="0"/>
    <x v="0"/>
    <x v="7"/>
    <x v="3"/>
    <x v="1"/>
    <x v="2"/>
  </r>
  <r>
    <s v="TX500125"/>
    <x v="1"/>
    <x v="13"/>
    <n v="92"/>
    <x v="121"/>
    <d v="2025-01-05T00:00:00"/>
    <d v="2025-01-07T00:00:00"/>
    <s v="M"/>
    <x v="0"/>
    <x v="4"/>
    <x v="0"/>
    <x v="7"/>
    <x v="1"/>
    <x v="1"/>
    <x v="1"/>
  </r>
  <r>
    <s v="TX500126"/>
    <x v="7"/>
    <x v="1"/>
    <n v="87.6"/>
    <x v="122"/>
    <d v="2025-01-05T00:00:00"/>
    <d v="2025-01-07T00:00:00"/>
    <s v="M"/>
    <x v="1"/>
    <x v="1"/>
    <x v="0"/>
    <x v="8"/>
    <x v="1"/>
    <x v="1"/>
    <x v="1"/>
  </r>
  <r>
    <s v="TX500127"/>
    <x v="6"/>
    <x v="2"/>
    <n v="84.5"/>
    <x v="103"/>
    <d v="2025-01-05T00:00:00"/>
    <d v="2025-01-06T00:00:00"/>
    <s v="F"/>
    <x v="1"/>
    <x v="1"/>
    <x v="0"/>
    <x v="8"/>
    <x v="3"/>
    <x v="1"/>
    <x v="2"/>
  </r>
  <r>
    <s v="TX500128"/>
    <x v="1"/>
    <x v="1"/>
    <n v="116.3"/>
    <x v="123"/>
    <d v="2025-01-06T00:00:00"/>
    <d v="2025-01-08T00:00:00"/>
    <s v="M"/>
    <x v="2"/>
    <x v="2"/>
    <x v="0"/>
    <x v="8"/>
    <x v="1"/>
    <x v="1"/>
    <x v="1"/>
  </r>
  <r>
    <s v="TX500129"/>
    <x v="6"/>
    <x v="9"/>
    <n v="52.7"/>
    <x v="124"/>
    <d v="2025-01-06T00:00:00"/>
    <d v="2025-01-10T00:00:00"/>
    <s v="M"/>
    <x v="0"/>
    <x v="0"/>
    <x v="0"/>
    <x v="8"/>
    <x v="5"/>
    <x v="1"/>
    <x v="1"/>
  </r>
  <r>
    <s v="TX500130"/>
    <x v="16"/>
    <x v="2"/>
    <n v="34.200000000000003"/>
    <x v="125"/>
    <d v="2025-01-06T00:00:00"/>
    <d v="2025-01-07T00:00:00"/>
    <s v="M"/>
    <x v="0"/>
    <x v="2"/>
    <x v="0"/>
    <x v="26"/>
    <x v="3"/>
    <x v="1"/>
    <x v="1"/>
  </r>
  <r>
    <s v="TX500131"/>
    <x v="9"/>
    <x v="0"/>
    <n v="23.3"/>
    <x v="126"/>
    <d v="2025-01-06T00:00:00"/>
    <d v="2025-01-15T00:00:00"/>
    <s v="O"/>
    <x v="2"/>
    <x v="2"/>
    <x v="0"/>
    <x v="9"/>
    <x v="8"/>
    <x v="1"/>
    <x v="3"/>
  </r>
  <r>
    <s v="TX500132"/>
    <x v="0"/>
    <x v="18"/>
    <n v="25.9"/>
    <x v="127"/>
    <d v="2025-01-06T00:00:00"/>
    <d v="2025-01-09T00:00:00"/>
    <s v="F"/>
    <x v="4"/>
    <x v="1"/>
    <x v="0"/>
    <x v="9"/>
    <x v="2"/>
    <x v="1"/>
    <x v="2"/>
  </r>
  <r>
    <s v="TX500133"/>
    <x v="6"/>
    <x v="19"/>
    <n v="54.9"/>
    <x v="128"/>
    <d v="2025-01-06T00:00:00"/>
    <d v="2025-01-07T00:00:00"/>
    <s v="M"/>
    <x v="1"/>
    <x v="2"/>
    <x v="0"/>
    <x v="9"/>
    <x v="3"/>
    <x v="1"/>
    <x v="1"/>
  </r>
  <r>
    <s v="TX500134"/>
    <x v="5"/>
    <x v="2"/>
    <n v="75.8"/>
    <x v="129"/>
    <d v="2025-01-06T00:00:00"/>
    <d v="2025-01-11T00:00:00"/>
    <s v="O"/>
    <x v="1"/>
    <x v="0"/>
    <x v="0"/>
    <x v="18"/>
    <x v="0"/>
    <x v="1"/>
    <x v="3"/>
  </r>
  <r>
    <s v="TX500135"/>
    <x v="1"/>
    <x v="11"/>
    <n v="44.9"/>
    <x v="130"/>
    <d v="2025-01-06T00:00:00"/>
    <d v="2025-01-09T00:00:00"/>
    <s v="F"/>
    <x v="2"/>
    <x v="2"/>
    <x v="0"/>
    <x v="2"/>
    <x v="2"/>
    <x v="1"/>
    <x v="2"/>
  </r>
  <r>
    <s v="TX500136"/>
    <x v="11"/>
    <x v="1"/>
    <n v="48.8"/>
    <x v="131"/>
    <d v="2025-01-06T00:00:00"/>
    <d v="2025-01-08T00:00:00"/>
    <s v="F"/>
    <x v="3"/>
    <x v="0"/>
    <x v="0"/>
    <x v="27"/>
    <x v="1"/>
    <x v="1"/>
    <x v="2"/>
  </r>
  <r>
    <s v="TX500137"/>
    <x v="15"/>
    <x v="0"/>
    <n v="20.3"/>
    <x v="132"/>
    <d v="2025-01-06T00:00:00"/>
    <d v="2025-01-07T00:00:00"/>
    <s v="F"/>
    <x v="0"/>
    <x v="2"/>
    <x v="0"/>
    <x v="22"/>
    <x v="3"/>
    <x v="1"/>
    <x v="2"/>
  </r>
  <r>
    <s v="TX500138"/>
    <x v="5"/>
    <x v="3"/>
    <n v="36.4"/>
    <x v="133"/>
    <d v="2025-01-06T00:00:00"/>
    <d v="2025-01-09T00:00:00"/>
    <s v="F"/>
    <x v="0"/>
    <x v="1"/>
    <x v="0"/>
    <x v="3"/>
    <x v="2"/>
    <x v="1"/>
    <x v="2"/>
  </r>
  <r>
    <s v="TX500139"/>
    <x v="0"/>
    <x v="0"/>
    <n v="19"/>
    <x v="134"/>
    <d v="2025-01-06T00:00:00"/>
    <d v="2025-01-11T00:00:00"/>
    <s v="F"/>
    <x v="1"/>
    <x v="2"/>
    <x v="0"/>
    <x v="3"/>
    <x v="0"/>
    <x v="1"/>
    <x v="2"/>
  </r>
  <r>
    <s v="TX500140"/>
    <x v="8"/>
    <x v="0"/>
    <n v="17.8"/>
    <x v="135"/>
    <d v="2025-01-06T00:00:00"/>
    <d v="2025-01-06T00:00:00"/>
    <s v="M"/>
    <x v="0"/>
    <x v="0"/>
    <x v="0"/>
    <x v="3"/>
    <x v="7"/>
    <x v="1"/>
    <x v="1"/>
  </r>
  <r>
    <s v="TX500141"/>
    <x v="2"/>
    <x v="13"/>
    <n v="139.6"/>
    <x v="136"/>
    <d v="2025-01-06T00:00:00"/>
    <d v="2025-01-09T00:00:00"/>
    <s v="M"/>
    <x v="0"/>
    <x v="0"/>
    <x v="0"/>
    <x v="3"/>
    <x v="2"/>
    <x v="1"/>
    <x v="1"/>
  </r>
  <r>
    <s v="TX500142"/>
    <x v="9"/>
    <x v="0"/>
    <n v="31.7"/>
    <x v="137"/>
    <d v="2025-01-06T00:00:00"/>
    <d v="2025-01-06T00:00:00"/>
    <s v=""/>
    <x v="0"/>
    <x v="0"/>
    <x v="0"/>
    <x v="3"/>
    <x v="7"/>
    <x v="1"/>
    <x v="0"/>
  </r>
  <r>
    <s v="TX500143"/>
    <x v="8"/>
    <x v="8"/>
    <n v="26.3"/>
    <x v="138"/>
    <d v="2025-01-06T00:00:00"/>
    <d v="2025-01-09T00:00:00"/>
    <s v="F"/>
    <x v="4"/>
    <x v="4"/>
    <x v="0"/>
    <x v="3"/>
    <x v="2"/>
    <x v="1"/>
    <x v="2"/>
  </r>
  <r>
    <s v="TX500144"/>
    <x v="4"/>
    <x v="1"/>
    <n v="47.8"/>
    <x v="139"/>
    <d v="2025-01-06T00:00:00"/>
    <d v="2025-01-07T00:00:00"/>
    <s v=""/>
    <x v="0"/>
    <x v="0"/>
    <x v="0"/>
    <x v="3"/>
    <x v="3"/>
    <x v="1"/>
    <x v="0"/>
  </r>
  <r>
    <s v="TX500145"/>
    <x v="9"/>
    <x v="2"/>
    <n v="69.400000000000006"/>
    <x v="140"/>
    <d v="2025-01-06T00:00:00"/>
    <d v="2025-01-10T00:00:00"/>
    <s v="F"/>
    <x v="0"/>
    <x v="0"/>
    <x v="0"/>
    <x v="3"/>
    <x v="5"/>
    <x v="1"/>
    <x v="2"/>
  </r>
  <r>
    <s v="TX500146"/>
    <x v="18"/>
    <x v="4"/>
    <n v="25.8"/>
    <x v="141"/>
    <d v="2025-01-06T00:00:00"/>
    <d v="2025-01-07T00:00:00"/>
    <s v="M"/>
    <x v="4"/>
    <x v="4"/>
    <x v="0"/>
    <x v="3"/>
    <x v="3"/>
    <x v="1"/>
    <x v="1"/>
  </r>
  <r>
    <s v="TX500147"/>
    <x v="0"/>
    <x v="12"/>
    <n v="26.4"/>
    <x v="142"/>
    <d v="2025-01-06T00:00:00"/>
    <d v="2025-01-07T00:00:00"/>
    <s v="M"/>
    <x v="1"/>
    <x v="2"/>
    <x v="0"/>
    <x v="3"/>
    <x v="3"/>
    <x v="1"/>
    <x v="1"/>
  </r>
  <r>
    <s v="TX500148"/>
    <x v="8"/>
    <x v="12"/>
    <n v="15.7"/>
    <x v="143"/>
    <d v="2025-01-06T00:00:00"/>
    <d v="2025-01-07T00:00:00"/>
    <s v="M"/>
    <x v="2"/>
    <x v="0"/>
    <x v="0"/>
    <x v="3"/>
    <x v="3"/>
    <x v="1"/>
    <x v="1"/>
  </r>
  <r>
    <s v="TX500149"/>
    <x v="8"/>
    <x v="0"/>
    <n v="39.700000000000003"/>
    <x v="144"/>
    <d v="2025-01-06T00:00:00"/>
    <d v="2025-01-10T00:00:00"/>
    <s v="M"/>
    <x v="0"/>
    <x v="0"/>
    <x v="0"/>
    <x v="3"/>
    <x v="5"/>
    <x v="1"/>
    <x v="1"/>
  </r>
  <r>
    <s v="TX500150"/>
    <x v="10"/>
    <x v="12"/>
    <n v="31.1"/>
    <x v="145"/>
    <d v="2025-01-06T00:00:00"/>
    <d v="2025-01-08T00:00:00"/>
    <s v="F"/>
    <x v="2"/>
    <x v="1"/>
    <x v="0"/>
    <x v="3"/>
    <x v="1"/>
    <x v="1"/>
    <x v="2"/>
  </r>
  <r>
    <s v="TX500151"/>
    <x v="13"/>
    <x v="20"/>
    <n v="23.4"/>
    <x v="146"/>
    <d v="2025-01-06T00:00:00"/>
    <d v="2025-01-15T00:00:00"/>
    <s v="M"/>
    <x v="0"/>
    <x v="0"/>
    <x v="0"/>
    <x v="3"/>
    <x v="8"/>
    <x v="1"/>
    <x v="1"/>
  </r>
  <r>
    <s v="TX500152"/>
    <x v="1"/>
    <x v="12"/>
    <n v="57.1"/>
    <x v="147"/>
    <d v="2025-01-07T00:00:00"/>
    <d v="2025-01-08T00:00:00"/>
    <s v="M"/>
    <x v="2"/>
    <x v="0"/>
    <x v="0"/>
    <x v="25"/>
    <x v="3"/>
    <x v="1"/>
    <x v="1"/>
  </r>
  <r>
    <s v="TX500153"/>
    <x v="2"/>
    <x v="9"/>
    <n v="89.9"/>
    <x v="148"/>
    <d v="2025-01-07T00:00:00"/>
    <d v="2025-01-07T00:00:00"/>
    <s v="F"/>
    <x v="0"/>
    <x v="3"/>
    <x v="0"/>
    <x v="23"/>
    <x v="7"/>
    <x v="1"/>
    <x v="2"/>
  </r>
  <r>
    <s v="TX500154"/>
    <x v="10"/>
    <x v="3"/>
    <n v="48.1"/>
    <x v="149"/>
    <d v="2025-01-07T00:00:00"/>
    <d v="2025-01-09T00:00:00"/>
    <s v="F"/>
    <x v="1"/>
    <x v="2"/>
    <x v="0"/>
    <x v="6"/>
    <x v="1"/>
    <x v="1"/>
    <x v="2"/>
  </r>
  <r>
    <s v="TX500155"/>
    <x v="8"/>
    <x v="1"/>
    <n v="29.3"/>
    <x v="150"/>
    <d v="2025-01-07T00:00:00"/>
    <d v="2025-01-07T00:00:00"/>
    <s v="F"/>
    <x v="1"/>
    <x v="1"/>
    <x v="0"/>
    <x v="6"/>
    <x v="7"/>
    <x v="1"/>
    <x v="2"/>
  </r>
  <r>
    <s v="TX500156"/>
    <x v="8"/>
    <x v="12"/>
    <n v="28.8"/>
    <x v="151"/>
    <d v="2025-01-07T00:00:00"/>
    <d v="2025-01-08T00:00:00"/>
    <s v="F"/>
    <x v="0"/>
    <x v="4"/>
    <x v="0"/>
    <x v="6"/>
    <x v="3"/>
    <x v="1"/>
    <x v="2"/>
  </r>
  <r>
    <s v="TX500157"/>
    <x v="10"/>
    <x v="9"/>
    <n v="40.5"/>
    <x v="152"/>
    <d v="2025-01-07T00:00:00"/>
    <d v="2025-01-11T00:00:00"/>
    <s v="F"/>
    <x v="3"/>
    <x v="0"/>
    <x v="0"/>
    <x v="6"/>
    <x v="5"/>
    <x v="1"/>
    <x v="2"/>
  </r>
  <r>
    <s v="TX500158"/>
    <x v="18"/>
    <x v="21"/>
    <n v="65.099999999999994"/>
    <x v="153"/>
    <d v="2025-01-07T00:00:00"/>
    <d v="2025-01-08T00:00:00"/>
    <s v="F"/>
    <x v="4"/>
    <x v="0"/>
    <x v="0"/>
    <x v="7"/>
    <x v="3"/>
    <x v="1"/>
    <x v="2"/>
  </r>
  <r>
    <s v="TX500159"/>
    <x v="8"/>
    <x v="12"/>
    <n v="40.299999999999997"/>
    <x v="154"/>
    <d v="2025-01-07T00:00:00"/>
    <d v="2025-01-12T00:00:00"/>
    <s v="F"/>
    <x v="2"/>
    <x v="0"/>
    <x v="0"/>
    <x v="7"/>
    <x v="0"/>
    <x v="1"/>
    <x v="2"/>
  </r>
  <r>
    <s v="TX500160"/>
    <x v="6"/>
    <x v="9"/>
    <n v="51.8"/>
    <x v="155"/>
    <d v="2025-01-07T00:00:00"/>
    <d v="2025-01-08T00:00:00"/>
    <s v="M"/>
    <x v="2"/>
    <x v="2"/>
    <x v="0"/>
    <x v="8"/>
    <x v="3"/>
    <x v="1"/>
    <x v="1"/>
  </r>
  <r>
    <s v="TX500161"/>
    <x v="6"/>
    <x v="2"/>
    <n v="61.3"/>
    <x v="156"/>
    <d v="2025-01-07T00:00:00"/>
    <d v="2025-01-08T00:00:00"/>
    <s v="F"/>
    <x v="3"/>
    <x v="0"/>
    <x v="0"/>
    <x v="8"/>
    <x v="3"/>
    <x v="1"/>
    <x v="2"/>
  </r>
  <r>
    <s v="TX500162"/>
    <x v="2"/>
    <x v="12"/>
    <n v="122.5"/>
    <x v="157"/>
    <d v="2025-01-07T00:00:00"/>
    <d v="2025-01-08T00:00:00"/>
    <s v="M"/>
    <x v="0"/>
    <x v="0"/>
    <x v="0"/>
    <x v="8"/>
    <x v="3"/>
    <x v="1"/>
    <x v="1"/>
  </r>
  <r>
    <s v="TX500163"/>
    <x v="0"/>
    <x v="11"/>
    <n v="12.5"/>
    <x v="158"/>
    <d v="2025-01-07T00:00:00"/>
    <d v="2025-01-08T00:00:00"/>
    <s v=""/>
    <x v="1"/>
    <x v="2"/>
    <x v="0"/>
    <x v="8"/>
    <x v="3"/>
    <x v="1"/>
    <x v="0"/>
  </r>
  <r>
    <s v="TX500164"/>
    <x v="15"/>
    <x v="8"/>
    <n v="37.5"/>
    <x v="159"/>
    <d v="2025-01-07T00:00:00"/>
    <d v="2025-01-08T00:00:00"/>
    <s v="F"/>
    <x v="0"/>
    <x v="0"/>
    <x v="0"/>
    <x v="9"/>
    <x v="3"/>
    <x v="1"/>
    <x v="2"/>
  </r>
  <r>
    <s v="TX500165"/>
    <x v="6"/>
    <x v="2"/>
    <n v="40"/>
    <x v="160"/>
    <d v="2025-01-07T00:00:00"/>
    <d v="2025-01-10T00:00:00"/>
    <s v="M"/>
    <x v="0"/>
    <x v="4"/>
    <x v="0"/>
    <x v="11"/>
    <x v="2"/>
    <x v="1"/>
    <x v="1"/>
  </r>
  <r>
    <s v="TX500166"/>
    <x v="17"/>
    <x v="8"/>
    <n v="38.5"/>
    <x v="161"/>
    <d v="2025-01-07T00:00:00"/>
    <d v="2025-01-12T00:00:00"/>
    <s v="F"/>
    <x v="2"/>
    <x v="1"/>
    <x v="0"/>
    <x v="11"/>
    <x v="0"/>
    <x v="1"/>
    <x v="2"/>
  </r>
  <r>
    <s v="TX500167"/>
    <x v="2"/>
    <x v="1"/>
    <n v="86.4"/>
    <x v="162"/>
    <d v="2025-01-07T00:00:00"/>
    <d v="2025-01-09T00:00:00"/>
    <s v="F"/>
    <x v="0"/>
    <x v="0"/>
    <x v="0"/>
    <x v="18"/>
    <x v="1"/>
    <x v="1"/>
    <x v="2"/>
  </r>
  <r>
    <s v="TX500168"/>
    <x v="10"/>
    <x v="0"/>
    <n v="50.7"/>
    <x v="163"/>
    <d v="2025-01-07T00:00:00"/>
    <d v="2025-01-11T00:00:00"/>
    <s v="F"/>
    <x v="1"/>
    <x v="0"/>
    <x v="0"/>
    <x v="18"/>
    <x v="5"/>
    <x v="1"/>
    <x v="2"/>
  </r>
  <r>
    <s v="TX500169"/>
    <x v="10"/>
    <x v="1"/>
    <n v="61"/>
    <x v="164"/>
    <d v="2025-01-07T00:00:00"/>
    <d v="2025-01-18T00:00:00"/>
    <s v="F"/>
    <x v="4"/>
    <x v="1"/>
    <x v="0"/>
    <x v="18"/>
    <x v="11"/>
    <x v="1"/>
    <x v="2"/>
  </r>
  <r>
    <s v="TX500170"/>
    <x v="4"/>
    <x v="1"/>
    <n v="19.899999999999999"/>
    <x v="165"/>
    <d v="2025-01-07T00:00:00"/>
    <d v="2025-01-10T00:00:00"/>
    <s v="F"/>
    <x v="1"/>
    <x v="0"/>
    <x v="0"/>
    <x v="28"/>
    <x v="2"/>
    <x v="1"/>
    <x v="2"/>
  </r>
  <r>
    <s v="TX500171"/>
    <x v="5"/>
    <x v="0"/>
    <n v="78.3"/>
    <x v="166"/>
    <d v="2025-01-07T00:00:00"/>
    <d v="2025-01-07T00:00:00"/>
    <s v="F"/>
    <x v="0"/>
    <x v="2"/>
    <x v="0"/>
    <x v="1"/>
    <x v="7"/>
    <x v="1"/>
    <x v="2"/>
  </r>
  <r>
    <s v="TX500172"/>
    <x v="0"/>
    <x v="10"/>
    <n v="10.4"/>
    <x v="167"/>
    <d v="2025-01-07T00:00:00"/>
    <d v="2025-01-09T00:00:00"/>
    <s v="M"/>
    <x v="0"/>
    <x v="2"/>
    <x v="0"/>
    <x v="2"/>
    <x v="1"/>
    <x v="1"/>
    <x v="1"/>
  </r>
  <r>
    <s v="TX500173"/>
    <x v="10"/>
    <x v="0"/>
    <n v="36.1"/>
    <x v="168"/>
    <d v="2025-01-07T00:00:00"/>
    <d v="2025-01-10T00:00:00"/>
    <s v="M"/>
    <x v="3"/>
    <x v="2"/>
    <x v="0"/>
    <x v="3"/>
    <x v="2"/>
    <x v="1"/>
    <x v="1"/>
  </r>
  <r>
    <s v="TX500174"/>
    <x v="14"/>
    <x v="1"/>
    <n v="17.3"/>
    <x v="169"/>
    <d v="2025-01-07T00:00:00"/>
    <d v="2025-01-09T00:00:00"/>
    <s v="F"/>
    <x v="1"/>
    <x v="2"/>
    <x v="0"/>
    <x v="3"/>
    <x v="1"/>
    <x v="1"/>
    <x v="2"/>
  </r>
  <r>
    <s v="TX500175"/>
    <x v="10"/>
    <x v="1"/>
    <n v="30.5"/>
    <x v="170"/>
    <d v="2025-01-07T00:00:00"/>
    <d v="2025-01-08T00:00:00"/>
    <s v="F"/>
    <x v="1"/>
    <x v="2"/>
    <x v="0"/>
    <x v="3"/>
    <x v="3"/>
    <x v="1"/>
    <x v="2"/>
  </r>
  <r>
    <s v="TX500176"/>
    <x v="18"/>
    <x v="22"/>
    <n v="70.099999999999994"/>
    <x v="171"/>
    <d v="2025-01-07T00:00:00"/>
    <d v="2025-01-07T00:00:00"/>
    <s v="F"/>
    <x v="2"/>
    <x v="0"/>
    <x v="0"/>
    <x v="3"/>
    <x v="7"/>
    <x v="1"/>
    <x v="2"/>
  </r>
  <r>
    <s v="TX500177"/>
    <x v="3"/>
    <x v="0"/>
    <n v="76.099999999999994"/>
    <x v="172"/>
    <d v="2025-01-07T00:00:00"/>
    <d v="2025-01-07T00:00:00"/>
    <s v="F"/>
    <x v="2"/>
    <x v="1"/>
    <x v="0"/>
    <x v="3"/>
    <x v="7"/>
    <x v="1"/>
    <x v="2"/>
  </r>
  <r>
    <s v="TX500178"/>
    <x v="15"/>
    <x v="15"/>
    <n v="34.200000000000003"/>
    <x v="173"/>
    <d v="2025-01-07T00:00:00"/>
    <d v="2025-01-08T00:00:00"/>
    <s v="M"/>
    <x v="0"/>
    <x v="0"/>
    <x v="0"/>
    <x v="3"/>
    <x v="3"/>
    <x v="1"/>
    <x v="1"/>
  </r>
  <r>
    <s v="TX500179"/>
    <x v="8"/>
    <x v="9"/>
    <n v="30.3"/>
    <x v="174"/>
    <d v="2025-01-07T00:00:00"/>
    <d v="2025-01-12T00:00:00"/>
    <s v="F"/>
    <x v="4"/>
    <x v="0"/>
    <x v="0"/>
    <x v="3"/>
    <x v="0"/>
    <x v="1"/>
    <x v="2"/>
  </r>
  <r>
    <s v="TX500180"/>
    <x v="6"/>
    <x v="9"/>
    <n v="52.5"/>
    <x v="175"/>
    <d v="2025-01-07T00:00:00"/>
    <d v="2025-01-11T00:00:00"/>
    <s v=""/>
    <x v="3"/>
    <x v="0"/>
    <x v="0"/>
    <x v="3"/>
    <x v="5"/>
    <x v="1"/>
    <x v="0"/>
  </r>
  <r>
    <s v="TX500181"/>
    <x v="9"/>
    <x v="5"/>
    <n v="28.7"/>
    <x v="176"/>
    <d v="2025-01-07T00:00:00"/>
    <d v="2025-01-08T00:00:00"/>
    <s v="F"/>
    <x v="2"/>
    <x v="0"/>
    <x v="0"/>
    <x v="3"/>
    <x v="3"/>
    <x v="1"/>
    <x v="2"/>
  </r>
  <r>
    <s v="TX500182"/>
    <x v="7"/>
    <x v="3"/>
    <n v="52"/>
    <x v="177"/>
    <d v="2025-01-07T00:00:00"/>
    <d v="2025-01-08T00:00:00"/>
    <s v="M"/>
    <x v="1"/>
    <x v="4"/>
    <x v="0"/>
    <x v="3"/>
    <x v="3"/>
    <x v="1"/>
    <x v="1"/>
  </r>
  <r>
    <s v="TX500183"/>
    <x v="0"/>
    <x v="0"/>
    <n v="13.3"/>
    <x v="178"/>
    <d v="2025-01-08T00:00:00"/>
    <d v="2025-01-12T00:00:00"/>
    <s v="F"/>
    <x v="2"/>
    <x v="1"/>
    <x v="0"/>
    <x v="3"/>
    <x v="5"/>
    <x v="1"/>
    <x v="2"/>
  </r>
  <r>
    <s v="TX500184"/>
    <x v="0"/>
    <x v="2"/>
    <n v="15.7"/>
    <x v="179"/>
    <d v="2025-01-08T00:00:00"/>
    <d v="2025-01-09T00:00:00"/>
    <s v="F"/>
    <x v="1"/>
    <x v="0"/>
    <x v="0"/>
    <x v="29"/>
    <x v="3"/>
    <x v="1"/>
    <x v="2"/>
  </r>
  <r>
    <s v="TX500185"/>
    <x v="8"/>
    <x v="1"/>
    <n v="25.6"/>
    <x v="180"/>
    <d v="2025-01-08T00:00:00"/>
    <d v="2025-01-09T00:00:00"/>
    <s v="M"/>
    <x v="0"/>
    <x v="2"/>
    <x v="0"/>
    <x v="23"/>
    <x v="3"/>
    <x v="1"/>
    <x v="1"/>
  </r>
  <r>
    <s v="TX500186"/>
    <x v="8"/>
    <x v="0"/>
    <n v="43.4"/>
    <x v="181"/>
    <d v="2025-01-08T00:00:00"/>
    <d v="2025-01-13T00:00:00"/>
    <s v="M"/>
    <x v="0"/>
    <x v="0"/>
    <x v="0"/>
    <x v="6"/>
    <x v="0"/>
    <x v="1"/>
    <x v="1"/>
  </r>
  <r>
    <s v="TX500187"/>
    <x v="11"/>
    <x v="11"/>
    <n v="33.4"/>
    <x v="182"/>
    <d v="2025-01-08T00:00:00"/>
    <d v="2025-01-08T00:00:00"/>
    <s v="F"/>
    <x v="0"/>
    <x v="0"/>
    <x v="0"/>
    <x v="8"/>
    <x v="7"/>
    <x v="1"/>
    <x v="2"/>
  </r>
  <r>
    <s v="TX500188"/>
    <x v="8"/>
    <x v="10"/>
    <n v="55"/>
    <x v="183"/>
    <d v="2025-01-08T00:00:00"/>
    <d v="2025-01-09T00:00:00"/>
    <s v="F"/>
    <x v="1"/>
    <x v="2"/>
    <x v="0"/>
    <x v="8"/>
    <x v="3"/>
    <x v="1"/>
    <x v="2"/>
  </r>
  <r>
    <s v="TX500189"/>
    <x v="8"/>
    <x v="2"/>
    <n v="23.6"/>
    <x v="184"/>
    <d v="2025-01-08T00:00:00"/>
    <d v="2025-01-09T00:00:00"/>
    <s v="M"/>
    <x v="0"/>
    <x v="2"/>
    <x v="0"/>
    <x v="8"/>
    <x v="3"/>
    <x v="1"/>
    <x v="1"/>
  </r>
  <r>
    <s v="TX500190"/>
    <x v="12"/>
    <x v="11"/>
    <n v="104"/>
    <x v="185"/>
    <d v="2025-01-08T00:00:00"/>
    <d v="2025-01-10T00:00:00"/>
    <s v="F"/>
    <x v="2"/>
    <x v="2"/>
    <x v="0"/>
    <x v="17"/>
    <x v="1"/>
    <x v="1"/>
    <x v="2"/>
  </r>
  <r>
    <s v="TX500191"/>
    <x v="6"/>
    <x v="1"/>
    <n v="51.8"/>
    <x v="186"/>
    <d v="2025-01-08T00:00:00"/>
    <d v="2025-01-12T00:00:00"/>
    <s v=""/>
    <x v="0"/>
    <x v="2"/>
    <x v="0"/>
    <x v="10"/>
    <x v="5"/>
    <x v="1"/>
    <x v="0"/>
  </r>
  <r>
    <s v="TX500192"/>
    <x v="10"/>
    <x v="9"/>
    <n v="34.5"/>
    <x v="187"/>
    <d v="2025-01-08T00:00:00"/>
    <d v="2025-01-10T00:00:00"/>
    <s v=""/>
    <x v="2"/>
    <x v="2"/>
    <x v="0"/>
    <x v="11"/>
    <x v="1"/>
    <x v="1"/>
    <x v="0"/>
  </r>
  <r>
    <s v="TX500193"/>
    <x v="6"/>
    <x v="1"/>
    <n v="51.8"/>
    <x v="186"/>
    <d v="2025-01-08T00:00:00"/>
    <d v="2025-01-10T00:00:00"/>
    <s v="M"/>
    <x v="1"/>
    <x v="2"/>
    <x v="0"/>
    <x v="30"/>
    <x v="1"/>
    <x v="1"/>
    <x v="1"/>
  </r>
  <r>
    <s v="TX500194"/>
    <x v="18"/>
    <x v="23"/>
    <n v="131.5"/>
    <x v="188"/>
    <d v="2025-01-08T00:00:00"/>
    <d v="2025-01-09T00:00:00"/>
    <s v="F"/>
    <x v="0"/>
    <x v="2"/>
    <x v="0"/>
    <x v="18"/>
    <x v="3"/>
    <x v="1"/>
    <x v="2"/>
  </r>
  <r>
    <s v="TX500195"/>
    <x v="8"/>
    <x v="3"/>
    <n v="47.8"/>
    <x v="189"/>
    <d v="2025-01-08T00:00:00"/>
    <d v="2025-01-08T00:00:00"/>
    <s v="F"/>
    <x v="0"/>
    <x v="0"/>
    <x v="0"/>
    <x v="19"/>
    <x v="7"/>
    <x v="1"/>
    <x v="2"/>
  </r>
  <r>
    <s v="TX500196"/>
    <x v="0"/>
    <x v="1"/>
    <n v="10.199999999999999"/>
    <x v="190"/>
    <d v="2025-01-08T00:00:00"/>
    <d v="2025-01-10T00:00:00"/>
    <s v="F"/>
    <x v="0"/>
    <x v="0"/>
    <x v="0"/>
    <x v="19"/>
    <x v="1"/>
    <x v="1"/>
    <x v="2"/>
  </r>
  <r>
    <s v="TX500197"/>
    <x v="8"/>
    <x v="8"/>
    <n v="41"/>
    <x v="191"/>
    <d v="2025-01-08T00:00:00"/>
    <d v="2025-01-08T00:00:00"/>
    <s v="F"/>
    <x v="1"/>
    <x v="2"/>
    <x v="0"/>
    <x v="19"/>
    <x v="7"/>
    <x v="1"/>
    <x v="2"/>
  </r>
  <r>
    <s v="TX500198"/>
    <x v="10"/>
    <x v="3"/>
    <n v="50.8"/>
    <x v="192"/>
    <d v="2025-01-08T00:00:00"/>
    <d v="2025-01-11T00:00:00"/>
    <s v="F"/>
    <x v="1"/>
    <x v="0"/>
    <x v="0"/>
    <x v="21"/>
    <x v="2"/>
    <x v="1"/>
    <x v="2"/>
  </r>
  <r>
    <s v="TX500199"/>
    <x v="18"/>
    <x v="2"/>
    <n v="39.6"/>
    <x v="193"/>
    <d v="2025-01-08T00:00:00"/>
    <d v="2025-01-09T00:00:00"/>
    <s v="M"/>
    <x v="2"/>
    <x v="2"/>
    <x v="0"/>
    <x v="1"/>
    <x v="3"/>
    <x v="1"/>
    <x v="1"/>
  </r>
  <r>
    <s v="TX500200"/>
    <x v="5"/>
    <x v="1"/>
    <n v="69.5"/>
    <x v="194"/>
    <d v="2025-01-08T00:00:00"/>
    <d v="2025-01-10T00:00:00"/>
    <s v="M"/>
    <x v="0"/>
    <x v="2"/>
    <x v="0"/>
    <x v="2"/>
    <x v="1"/>
    <x v="1"/>
    <x v="1"/>
  </r>
  <r>
    <s v="TX500201"/>
    <x v="8"/>
    <x v="8"/>
    <n v="32.6"/>
    <x v="195"/>
    <d v="2025-01-08T00:00:00"/>
    <d v="2025-01-11T00:00:00"/>
    <s v="M"/>
    <x v="1"/>
    <x v="0"/>
    <x v="0"/>
    <x v="3"/>
    <x v="2"/>
    <x v="1"/>
    <x v="1"/>
  </r>
  <r>
    <s v="TX500202"/>
    <x v="7"/>
    <x v="1"/>
    <n v="49.1"/>
    <x v="196"/>
    <d v="2025-01-08T00:00:00"/>
    <d v="2025-01-16T00:00:00"/>
    <s v="M"/>
    <x v="3"/>
    <x v="2"/>
    <x v="0"/>
    <x v="3"/>
    <x v="9"/>
    <x v="1"/>
    <x v="1"/>
  </r>
  <r>
    <s v="TX500203"/>
    <x v="6"/>
    <x v="1"/>
    <n v="49.4"/>
    <x v="197"/>
    <d v="2025-01-09T00:00:00"/>
    <d v="2025-01-10T00:00:00"/>
    <s v="F"/>
    <x v="2"/>
    <x v="0"/>
    <x v="0"/>
    <x v="3"/>
    <x v="3"/>
    <x v="1"/>
    <x v="2"/>
  </r>
  <r>
    <s v="TX500204"/>
    <x v="7"/>
    <x v="3"/>
    <n v="65.099999999999994"/>
    <x v="198"/>
    <d v="2025-01-09T00:00:00"/>
    <d v="2025-01-12T00:00:00"/>
    <s v="F"/>
    <x v="2"/>
    <x v="2"/>
    <x v="0"/>
    <x v="3"/>
    <x v="2"/>
    <x v="1"/>
    <x v="2"/>
  </r>
  <r>
    <s v="TX500205"/>
    <x v="3"/>
    <x v="1"/>
    <n v="52.1"/>
    <x v="199"/>
    <d v="2025-01-09T00:00:00"/>
    <d v="2025-01-13T00:00:00"/>
    <s v="F"/>
    <x v="2"/>
    <x v="0"/>
    <x v="0"/>
    <x v="3"/>
    <x v="5"/>
    <x v="1"/>
    <x v="2"/>
  </r>
  <r>
    <s v="TX500206"/>
    <x v="2"/>
    <x v="12"/>
    <n v="129.19999999999999"/>
    <x v="200"/>
    <d v="2025-01-09T00:00:00"/>
    <d v="2025-01-10T00:00:00"/>
    <s v="F"/>
    <x v="1"/>
    <x v="0"/>
    <x v="0"/>
    <x v="3"/>
    <x v="3"/>
    <x v="1"/>
    <x v="2"/>
  </r>
  <r>
    <s v="TX500207"/>
    <x v="1"/>
    <x v="10"/>
    <n v="81.8"/>
    <x v="201"/>
    <d v="2025-01-09T00:00:00"/>
    <d v="2025-01-09T00:00:00"/>
    <s v="F"/>
    <x v="1"/>
    <x v="1"/>
    <x v="0"/>
    <x v="3"/>
    <x v="7"/>
    <x v="1"/>
    <x v="2"/>
  </r>
  <r>
    <s v="TX500208"/>
    <x v="17"/>
    <x v="0"/>
    <n v="24.9"/>
    <x v="202"/>
    <d v="2025-01-09T00:00:00"/>
    <d v="2025-01-13T00:00:00"/>
    <s v="F"/>
    <x v="1"/>
    <x v="0"/>
    <x v="0"/>
    <x v="3"/>
    <x v="5"/>
    <x v="1"/>
    <x v="2"/>
  </r>
  <r>
    <s v="TX500209"/>
    <x v="0"/>
    <x v="2"/>
    <n v="49.4"/>
    <x v="203"/>
    <d v="2025-01-09T00:00:00"/>
    <d v="2025-01-12T00:00:00"/>
    <s v="F"/>
    <x v="4"/>
    <x v="4"/>
    <x v="0"/>
    <x v="3"/>
    <x v="2"/>
    <x v="1"/>
    <x v="2"/>
  </r>
  <r>
    <s v="TX500210"/>
    <x v="8"/>
    <x v="1"/>
    <n v="22.7"/>
    <x v="204"/>
    <d v="2025-01-09T00:00:00"/>
    <d v="2025-01-10T00:00:00"/>
    <s v="M"/>
    <x v="3"/>
    <x v="2"/>
    <x v="0"/>
    <x v="3"/>
    <x v="3"/>
    <x v="1"/>
    <x v="1"/>
  </r>
  <r>
    <s v="TX500211"/>
    <x v="1"/>
    <x v="0"/>
    <n v="77.3"/>
    <x v="83"/>
    <d v="2025-01-09T00:00:00"/>
    <d v="2025-01-09T00:00:00"/>
    <s v="F"/>
    <x v="0"/>
    <x v="2"/>
    <x v="0"/>
    <x v="6"/>
    <x v="7"/>
    <x v="1"/>
    <x v="2"/>
  </r>
  <r>
    <s v="TX500212"/>
    <x v="1"/>
    <x v="9"/>
    <n v="109.1"/>
    <x v="205"/>
    <d v="2025-01-09T00:00:00"/>
    <d v="2025-01-12T00:00:00"/>
    <s v="F"/>
    <x v="0"/>
    <x v="0"/>
    <x v="0"/>
    <x v="6"/>
    <x v="2"/>
    <x v="1"/>
    <x v="2"/>
  </r>
  <r>
    <s v="TX500213"/>
    <x v="2"/>
    <x v="12"/>
    <n v="53.9"/>
    <x v="206"/>
    <d v="2025-01-09T00:00:00"/>
    <d v="2025-01-10T00:00:00"/>
    <s v="M"/>
    <x v="0"/>
    <x v="1"/>
    <x v="0"/>
    <x v="8"/>
    <x v="3"/>
    <x v="1"/>
    <x v="1"/>
  </r>
  <r>
    <s v="TX500214"/>
    <x v="9"/>
    <x v="18"/>
    <n v="21.2"/>
    <x v="207"/>
    <d v="2025-01-09T00:00:00"/>
    <d v="2025-01-09T00:00:00"/>
    <s v="F"/>
    <x v="0"/>
    <x v="0"/>
    <x v="0"/>
    <x v="9"/>
    <x v="7"/>
    <x v="1"/>
    <x v="2"/>
  </r>
  <r>
    <s v="TX500215"/>
    <x v="16"/>
    <x v="12"/>
    <n v="69"/>
    <x v="208"/>
    <d v="2025-01-09T00:00:00"/>
    <d v="2025-01-11T00:00:00"/>
    <s v="F"/>
    <x v="1"/>
    <x v="1"/>
    <x v="0"/>
    <x v="18"/>
    <x v="1"/>
    <x v="1"/>
    <x v="2"/>
  </r>
  <r>
    <s v="TX500216"/>
    <x v="6"/>
    <x v="2"/>
    <n v="46.2"/>
    <x v="209"/>
    <d v="2025-01-09T00:00:00"/>
    <d v="2025-01-11T00:00:00"/>
    <s v="F"/>
    <x v="0"/>
    <x v="2"/>
    <x v="0"/>
    <x v="31"/>
    <x v="1"/>
    <x v="1"/>
    <x v="2"/>
  </r>
  <r>
    <s v="TX500217"/>
    <x v="1"/>
    <x v="9"/>
    <n v="97.4"/>
    <x v="210"/>
    <d v="2025-01-09T00:00:00"/>
    <d v="2025-01-13T00:00:00"/>
    <s v="F"/>
    <x v="4"/>
    <x v="2"/>
    <x v="0"/>
    <x v="21"/>
    <x v="5"/>
    <x v="1"/>
    <x v="2"/>
  </r>
  <r>
    <s v="TX500218"/>
    <x v="8"/>
    <x v="9"/>
    <n v="21"/>
    <x v="211"/>
    <d v="2025-01-09T00:00:00"/>
    <d v="2025-01-10T00:00:00"/>
    <s v="M"/>
    <x v="0"/>
    <x v="1"/>
    <x v="0"/>
    <x v="21"/>
    <x v="3"/>
    <x v="1"/>
    <x v="1"/>
  </r>
  <r>
    <s v="TX500219"/>
    <x v="5"/>
    <x v="1"/>
    <n v="32.700000000000003"/>
    <x v="212"/>
    <d v="2025-01-10T00:00:00"/>
    <d v="2025-01-13T00:00:00"/>
    <s v="F"/>
    <x v="1"/>
    <x v="0"/>
    <x v="0"/>
    <x v="2"/>
    <x v="2"/>
    <x v="1"/>
    <x v="2"/>
  </r>
  <r>
    <s v="TX500220"/>
    <x v="6"/>
    <x v="12"/>
    <n v="48"/>
    <x v="213"/>
    <d v="2025-01-10T00:00:00"/>
    <d v="2025-01-11T00:00:00"/>
    <s v="M"/>
    <x v="3"/>
    <x v="0"/>
    <x v="0"/>
    <x v="3"/>
    <x v="3"/>
    <x v="1"/>
    <x v="1"/>
  </r>
  <r>
    <s v="TX500221"/>
    <x v="6"/>
    <x v="2"/>
    <n v="68.2"/>
    <x v="214"/>
    <d v="2025-01-10T00:00:00"/>
    <d v="2025-01-14T00:00:00"/>
    <s v=""/>
    <x v="0"/>
    <x v="2"/>
    <x v="0"/>
    <x v="3"/>
    <x v="5"/>
    <x v="1"/>
    <x v="0"/>
  </r>
  <r>
    <s v="TX500222"/>
    <x v="5"/>
    <x v="0"/>
    <n v="45.4"/>
    <x v="204"/>
    <d v="2025-01-10T00:00:00"/>
    <d v="2025-01-12T00:00:00"/>
    <s v="M"/>
    <x v="1"/>
    <x v="0"/>
    <x v="0"/>
    <x v="3"/>
    <x v="1"/>
    <x v="1"/>
    <x v="1"/>
  </r>
  <r>
    <s v="TX500223"/>
    <x v="12"/>
    <x v="1"/>
    <n v="53.9"/>
    <x v="215"/>
    <d v="2025-01-10T00:00:00"/>
    <d v="2025-01-11T00:00:00"/>
    <s v="F"/>
    <x v="2"/>
    <x v="0"/>
    <x v="0"/>
    <x v="3"/>
    <x v="3"/>
    <x v="1"/>
    <x v="2"/>
  </r>
  <r>
    <s v="TX500224"/>
    <x v="2"/>
    <x v="12"/>
    <n v="62.1"/>
    <x v="216"/>
    <d v="2025-01-10T00:00:00"/>
    <d v="2025-01-14T00:00:00"/>
    <s v="F"/>
    <x v="0"/>
    <x v="0"/>
    <x v="0"/>
    <x v="4"/>
    <x v="5"/>
    <x v="1"/>
    <x v="2"/>
  </r>
  <r>
    <s v="TX500225"/>
    <x v="13"/>
    <x v="3"/>
    <n v="33.1"/>
    <x v="217"/>
    <d v="2025-01-10T00:00:00"/>
    <d v="2025-01-15T00:00:00"/>
    <s v="M"/>
    <x v="1"/>
    <x v="0"/>
    <x v="0"/>
    <x v="6"/>
    <x v="0"/>
    <x v="1"/>
    <x v="1"/>
  </r>
  <r>
    <s v="TX500226"/>
    <x v="18"/>
    <x v="9"/>
    <n v="35.200000000000003"/>
    <x v="218"/>
    <d v="2025-01-10T00:00:00"/>
    <d v="2025-01-10T00:00:00"/>
    <s v="F"/>
    <x v="1"/>
    <x v="0"/>
    <x v="0"/>
    <x v="6"/>
    <x v="7"/>
    <x v="1"/>
    <x v="2"/>
  </r>
  <r>
    <s v="TX500227"/>
    <x v="9"/>
    <x v="2"/>
    <n v="32.1"/>
    <x v="219"/>
    <d v="2025-01-10T00:00:00"/>
    <d v="2025-01-15T00:00:00"/>
    <s v="M"/>
    <x v="3"/>
    <x v="0"/>
    <x v="0"/>
    <x v="8"/>
    <x v="0"/>
    <x v="1"/>
    <x v="1"/>
  </r>
  <r>
    <s v="TX500228"/>
    <x v="11"/>
    <x v="0"/>
    <n v="38.1"/>
    <x v="220"/>
    <d v="2025-01-10T00:00:00"/>
    <d v="2025-01-15T00:00:00"/>
    <s v="F"/>
    <x v="0"/>
    <x v="2"/>
    <x v="0"/>
    <x v="8"/>
    <x v="0"/>
    <x v="1"/>
    <x v="2"/>
  </r>
  <r>
    <s v="TX500229"/>
    <x v="8"/>
    <x v="0"/>
    <n v="65.2"/>
    <x v="221"/>
    <d v="2025-01-10T00:00:00"/>
    <d v="2025-01-15T00:00:00"/>
    <s v="F"/>
    <x v="3"/>
    <x v="1"/>
    <x v="0"/>
    <x v="8"/>
    <x v="0"/>
    <x v="1"/>
    <x v="2"/>
  </r>
  <r>
    <s v="TX500230"/>
    <x v="10"/>
    <x v="3"/>
    <n v="55.2"/>
    <x v="222"/>
    <d v="2025-01-10T00:00:00"/>
    <d v="2025-01-11T00:00:00"/>
    <s v="M"/>
    <x v="2"/>
    <x v="0"/>
    <x v="0"/>
    <x v="11"/>
    <x v="3"/>
    <x v="1"/>
    <x v="1"/>
  </r>
  <r>
    <s v="TX500231"/>
    <x v="6"/>
    <x v="0"/>
    <n v="62"/>
    <x v="85"/>
    <d v="2025-01-10T00:00:00"/>
    <d v="2025-01-14T00:00:00"/>
    <s v="F"/>
    <x v="0"/>
    <x v="0"/>
    <x v="0"/>
    <x v="11"/>
    <x v="5"/>
    <x v="1"/>
    <x v="2"/>
  </r>
  <r>
    <s v="TX500232"/>
    <x v="7"/>
    <x v="2"/>
    <n v="45.9"/>
    <x v="223"/>
    <d v="2025-01-10T00:00:00"/>
    <d v="2025-01-11T00:00:00"/>
    <s v="F"/>
    <x v="2"/>
    <x v="0"/>
    <x v="0"/>
    <x v="32"/>
    <x v="3"/>
    <x v="1"/>
    <x v="2"/>
  </r>
  <r>
    <s v="TX500233"/>
    <x v="18"/>
    <x v="2"/>
    <n v="58.3"/>
    <x v="224"/>
    <d v="2025-01-10T00:00:00"/>
    <d v="2025-01-10T00:00:00"/>
    <s v="M"/>
    <x v="1"/>
    <x v="1"/>
    <x v="0"/>
    <x v="18"/>
    <x v="7"/>
    <x v="1"/>
    <x v="1"/>
  </r>
  <r>
    <s v="TX500234"/>
    <x v="8"/>
    <x v="1"/>
    <n v="22.3"/>
    <x v="225"/>
    <d v="2025-01-10T00:00:00"/>
    <d v="2025-01-13T00:00:00"/>
    <s v="F"/>
    <x v="0"/>
    <x v="2"/>
    <x v="0"/>
    <x v="20"/>
    <x v="2"/>
    <x v="1"/>
    <x v="2"/>
  </r>
  <r>
    <s v="TX500235"/>
    <x v="19"/>
    <x v="9"/>
    <n v="24"/>
    <x v="160"/>
    <d v="2025-01-10T00:00:00"/>
    <d v="2025-01-11T00:00:00"/>
    <s v="M"/>
    <x v="4"/>
    <x v="0"/>
    <x v="0"/>
    <x v="1"/>
    <x v="3"/>
    <x v="1"/>
    <x v="1"/>
  </r>
  <r>
    <s v="TX500236"/>
    <x v="0"/>
    <x v="7"/>
    <n v="21.3"/>
    <x v="226"/>
    <d v="2025-01-10T00:00:00"/>
    <d v="2025-01-10T00:00:00"/>
    <s v="F"/>
    <x v="1"/>
    <x v="2"/>
    <x v="0"/>
    <x v="22"/>
    <x v="7"/>
    <x v="1"/>
    <x v="2"/>
  </r>
  <r>
    <s v="TX500237"/>
    <x v="6"/>
    <x v="24"/>
    <n v="57.8"/>
    <x v="227"/>
    <d v="2025-01-10T00:00:00"/>
    <d v="2025-01-12T00:00:00"/>
    <s v="F"/>
    <x v="0"/>
    <x v="2"/>
    <x v="0"/>
    <x v="3"/>
    <x v="1"/>
    <x v="1"/>
    <x v="2"/>
  </r>
  <r>
    <s v="TX500238"/>
    <x v="10"/>
    <x v="2"/>
    <n v="67.599999999999994"/>
    <x v="228"/>
    <d v="2025-01-10T00:00:00"/>
    <d v="2025-01-11T00:00:00"/>
    <s v="F"/>
    <x v="0"/>
    <x v="0"/>
    <x v="0"/>
    <x v="3"/>
    <x v="3"/>
    <x v="1"/>
    <x v="2"/>
  </r>
  <r>
    <s v="TX500239"/>
    <x v="6"/>
    <x v="13"/>
    <n v="66.7"/>
    <x v="229"/>
    <d v="2025-01-10T00:00:00"/>
    <d v="2025-01-14T00:00:00"/>
    <s v="M"/>
    <x v="4"/>
    <x v="1"/>
    <x v="0"/>
    <x v="3"/>
    <x v="5"/>
    <x v="1"/>
    <x v="1"/>
  </r>
  <r>
    <s v="TX500240"/>
    <x v="1"/>
    <x v="12"/>
    <n v="53.1"/>
    <x v="230"/>
    <d v="2025-01-10T00:00:00"/>
    <d v="2025-01-12T00:00:00"/>
    <s v="F"/>
    <x v="1"/>
    <x v="0"/>
    <x v="0"/>
    <x v="3"/>
    <x v="1"/>
    <x v="1"/>
    <x v="2"/>
  </r>
  <r>
    <s v="TX500241"/>
    <x v="12"/>
    <x v="2"/>
    <n v="57.4"/>
    <x v="231"/>
    <d v="2025-01-10T00:00:00"/>
    <d v="2025-01-13T00:00:00"/>
    <s v="F"/>
    <x v="0"/>
    <x v="2"/>
    <x v="0"/>
    <x v="29"/>
    <x v="2"/>
    <x v="1"/>
    <x v="2"/>
  </r>
  <r>
    <s v="TX500242"/>
    <x v="2"/>
    <x v="9"/>
    <n v="58.1"/>
    <x v="232"/>
    <d v="2025-01-10T00:00:00"/>
    <d v="2025-01-10T00:00:00"/>
    <s v="M"/>
    <x v="2"/>
    <x v="2"/>
    <x v="0"/>
    <x v="6"/>
    <x v="7"/>
    <x v="1"/>
    <x v="1"/>
  </r>
  <r>
    <s v="TX500243"/>
    <x v="5"/>
    <x v="2"/>
    <n v="31.8"/>
    <x v="233"/>
    <d v="2025-01-11T00:00:00"/>
    <d v="2025-01-13T00:00:00"/>
    <s v="M"/>
    <x v="3"/>
    <x v="0"/>
    <x v="0"/>
    <x v="6"/>
    <x v="1"/>
    <x v="1"/>
    <x v="1"/>
  </r>
  <r>
    <s v="TX500244"/>
    <x v="4"/>
    <x v="2"/>
    <n v="31.5"/>
    <x v="234"/>
    <d v="2025-01-11T00:00:00"/>
    <d v="2025-01-14T00:00:00"/>
    <s v="M"/>
    <x v="0"/>
    <x v="1"/>
    <x v="0"/>
    <x v="8"/>
    <x v="2"/>
    <x v="1"/>
    <x v="1"/>
  </r>
  <r>
    <s v="TX500245"/>
    <x v="6"/>
    <x v="3"/>
    <n v="55.9"/>
    <x v="235"/>
    <d v="2025-01-11T00:00:00"/>
    <d v="2025-01-15T00:00:00"/>
    <s v="F"/>
    <x v="1"/>
    <x v="2"/>
    <x v="0"/>
    <x v="8"/>
    <x v="5"/>
    <x v="1"/>
    <x v="2"/>
  </r>
  <r>
    <s v="TX500246"/>
    <x v="8"/>
    <x v="1"/>
    <n v="36.4"/>
    <x v="236"/>
    <d v="2025-01-11T00:00:00"/>
    <d v="2025-01-12T00:00:00"/>
    <s v="M"/>
    <x v="1"/>
    <x v="1"/>
    <x v="0"/>
    <x v="9"/>
    <x v="3"/>
    <x v="1"/>
    <x v="1"/>
  </r>
  <r>
    <s v="TX500247"/>
    <x v="1"/>
    <x v="9"/>
    <n v="47.3"/>
    <x v="237"/>
    <d v="2025-01-11T00:00:00"/>
    <d v="2025-01-14T00:00:00"/>
    <s v="M"/>
    <x v="2"/>
    <x v="0"/>
    <x v="0"/>
    <x v="10"/>
    <x v="2"/>
    <x v="1"/>
    <x v="1"/>
  </r>
  <r>
    <s v="TX500248"/>
    <x v="6"/>
    <x v="2"/>
    <n v="82.5"/>
    <x v="238"/>
    <d v="2025-01-11T00:00:00"/>
    <d v="2025-01-12T00:00:00"/>
    <s v="M"/>
    <x v="0"/>
    <x v="0"/>
    <x v="0"/>
    <x v="11"/>
    <x v="3"/>
    <x v="1"/>
    <x v="1"/>
  </r>
  <r>
    <s v="TX500249"/>
    <x v="0"/>
    <x v="0"/>
    <n v="14.3"/>
    <x v="239"/>
    <d v="2025-01-11T00:00:00"/>
    <d v="2025-01-12T00:00:00"/>
    <s v="F"/>
    <x v="0"/>
    <x v="0"/>
    <x v="0"/>
    <x v="21"/>
    <x v="3"/>
    <x v="1"/>
    <x v="2"/>
  </r>
  <r>
    <s v="TX500250"/>
    <x v="2"/>
    <x v="13"/>
    <n v="57.6"/>
    <x v="240"/>
    <d v="2025-01-11T00:00:00"/>
    <d v="2025-01-25T00:00:00"/>
    <s v="F"/>
    <x v="0"/>
    <x v="0"/>
    <x v="0"/>
    <x v="21"/>
    <x v="12"/>
    <x v="1"/>
    <x v="2"/>
  </r>
  <r>
    <s v="TX500251"/>
    <x v="2"/>
    <x v="2"/>
    <n v="142.4"/>
    <x v="241"/>
    <d v="2025-01-11T00:00:00"/>
    <d v="2025-01-13T00:00:00"/>
    <s v="M"/>
    <x v="4"/>
    <x v="1"/>
    <x v="0"/>
    <x v="21"/>
    <x v="1"/>
    <x v="1"/>
    <x v="1"/>
  </r>
  <r>
    <s v="TX500252"/>
    <x v="12"/>
    <x v="0"/>
    <n v="30.2"/>
    <x v="242"/>
    <d v="2025-01-11T00:00:00"/>
    <d v="2025-01-15T00:00:00"/>
    <s v="M"/>
    <x v="1"/>
    <x v="2"/>
    <x v="0"/>
    <x v="2"/>
    <x v="5"/>
    <x v="1"/>
    <x v="1"/>
  </r>
  <r>
    <s v="TX500253"/>
    <x v="18"/>
    <x v="2"/>
    <n v="65.3"/>
    <x v="243"/>
    <d v="2025-01-11T00:00:00"/>
    <d v="2025-01-12T00:00:00"/>
    <s v="O"/>
    <x v="1"/>
    <x v="0"/>
    <x v="0"/>
    <x v="33"/>
    <x v="3"/>
    <x v="1"/>
    <x v="3"/>
  </r>
  <r>
    <s v="TX500254"/>
    <x v="0"/>
    <x v="1"/>
    <n v="33.4"/>
    <x v="119"/>
    <d v="2025-01-11T00:00:00"/>
    <d v="2025-01-12T00:00:00"/>
    <s v="M"/>
    <x v="1"/>
    <x v="1"/>
    <x v="0"/>
    <x v="22"/>
    <x v="3"/>
    <x v="1"/>
    <x v="1"/>
  </r>
  <r>
    <s v="TX500255"/>
    <x v="7"/>
    <x v="1"/>
    <n v="45.1"/>
    <x v="244"/>
    <d v="2025-01-11T00:00:00"/>
    <d v="2025-01-19T00:00:00"/>
    <s v="M"/>
    <x v="0"/>
    <x v="0"/>
    <x v="0"/>
    <x v="34"/>
    <x v="9"/>
    <x v="1"/>
    <x v="1"/>
  </r>
  <r>
    <s v="TX500256"/>
    <x v="2"/>
    <x v="3"/>
    <n v="61.7"/>
    <x v="245"/>
    <d v="2025-01-11T00:00:00"/>
    <d v="2025-01-13T00:00:00"/>
    <s v="F"/>
    <x v="4"/>
    <x v="0"/>
    <x v="0"/>
    <x v="3"/>
    <x v="1"/>
    <x v="1"/>
    <x v="2"/>
  </r>
  <r>
    <s v="TX500257"/>
    <x v="9"/>
    <x v="2"/>
    <n v="45.1"/>
    <x v="246"/>
    <d v="2025-01-12T00:00:00"/>
    <d v="2025-01-13T00:00:00"/>
    <s v="M"/>
    <x v="4"/>
    <x v="1"/>
    <x v="0"/>
    <x v="3"/>
    <x v="3"/>
    <x v="2"/>
    <x v="1"/>
  </r>
  <r>
    <s v="TX500258"/>
    <x v="15"/>
    <x v="9"/>
    <n v="22.7"/>
    <x v="247"/>
    <d v="2025-01-12T00:00:00"/>
    <d v="2025-01-17T00:00:00"/>
    <s v="M"/>
    <x v="0"/>
    <x v="2"/>
    <x v="0"/>
    <x v="35"/>
    <x v="0"/>
    <x v="2"/>
    <x v="1"/>
  </r>
  <r>
    <s v="TX500259"/>
    <x v="8"/>
    <x v="0"/>
    <n v="17.600000000000001"/>
    <x v="248"/>
    <d v="2025-01-12T00:00:00"/>
    <d v="2025-01-13T00:00:00"/>
    <s v="F"/>
    <x v="0"/>
    <x v="2"/>
    <x v="0"/>
    <x v="23"/>
    <x v="3"/>
    <x v="2"/>
    <x v="2"/>
  </r>
  <r>
    <s v="TX500260"/>
    <x v="14"/>
    <x v="1"/>
    <n v="11.3"/>
    <x v="249"/>
    <d v="2025-01-12T00:00:00"/>
    <d v="2025-01-15T00:00:00"/>
    <s v="F"/>
    <x v="3"/>
    <x v="2"/>
    <x v="0"/>
    <x v="23"/>
    <x v="2"/>
    <x v="2"/>
    <x v="2"/>
  </r>
  <r>
    <s v="TX500261"/>
    <x v="6"/>
    <x v="2"/>
    <n v="53.4"/>
    <x v="250"/>
    <d v="2025-01-12T00:00:00"/>
    <d v="2025-01-15T00:00:00"/>
    <s v="M"/>
    <x v="3"/>
    <x v="2"/>
    <x v="0"/>
    <x v="36"/>
    <x v="2"/>
    <x v="2"/>
    <x v="1"/>
  </r>
  <r>
    <s v="TX500262"/>
    <x v="6"/>
    <x v="5"/>
    <n v="51.1"/>
    <x v="251"/>
    <d v="2025-01-12T00:00:00"/>
    <d v="2025-01-14T00:00:00"/>
    <s v="F"/>
    <x v="2"/>
    <x v="2"/>
    <x v="0"/>
    <x v="8"/>
    <x v="1"/>
    <x v="2"/>
    <x v="2"/>
  </r>
  <r>
    <s v="TX500263"/>
    <x v="8"/>
    <x v="1"/>
    <n v="27.5"/>
    <x v="252"/>
    <d v="2025-01-12T00:00:00"/>
    <d v="2025-01-13T00:00:00"/>
    <s v="M"/>
    <x v="4"/>
    <x v="1"/>
    <x v="0"/>
    <x v="8"/>
    <x v="3"/>
    <x v="2"/>
    <x v="1"/>
  </r>
  <r>
    <s v="TX500264"/>
    <x v="9"/>
    <x v="0"/>
    <n v="33.5"/>
    <x v="253"/>
    <d v="2025-01-12T00:00:00"/>
    <d v="2025-01-14T00:00:00"/>
    <s v="F"/>
    <x v="0"/>
    <x v="4"/>
    <x v="0"/>
    <x v="8"/>
    <x v="1"/>
    <x v="2"/>
    <x v="2"/>
  </r>
  <r>
    <s v="TX500265"/>
    <x v="4"/>
    <x v="0"/>
    <n v="59.5"/>
    <x v="254"/>
    <d v="2025-01-12T00:00:00"/>
    <d v="2025-01-12T00:00:00"/>
    <s v="M"/>
    <x v="0"/>
    <x v="2"/>
    <x v="0"/>
    <x v="18"/>
    <x v="7"/>
    <x v="2"/>
    <x v="1"/>
  </r>
  <r>
    <s v="TX500266"/>
    <x v="17"/>
    <x v="12"/>
    <n v="23.5"/>
    <x v="255"/>
    <d v="2025-01-12T00:00:00"/>
    <d v="2025-01-13T00:00:00"/>
    <s v="F"/>
    <x v="3"/>
    <x v="3"/>
    <x v="0"/>
    <x v="19"/>
    <x v="3"/>
    <x v="2"/>
    <x v="2"/>
  </r>
  <r>
    <s v="TX500267"/>
    <x v="6"/>
    <x v="0"/>
    <n v="49.7"/>
    <x v="256"/>
    <d v="2025-01-12T00:00:00"/>
    <d v="2025-01-13T00:00:00"/>
    <s v=""/>
    <x v="1"/>
    <x v="2"/>
    <x v="0"/>
    <x v="20"/>
    <x v="3"/>
    <x v="2"/>
    <x v="0"/>
  </r>
  <r>
    <s v="TX500268"/>
    <x v="6"/>
    <x v="12"/>
    <n v="44.2"/>
    <x v="257"/>
    <d v="2025-01-12T00:00:00"/>
    <d v="2025-01-15T00:00:00"/>
    <s v="F"/>
    <x v="0"/>
    <x v="2"/>
    <x v="0"/>
    <x v="21"/>
    <x v="2"/>
    <x v="2"/>
    <x v="2"/>
  </r>
  <r>
    <s v="TX500269"/>
    <x v="8"/>
    <x v="0"/>
    <n v="22.1"/>
    <x v="258"/>
    <d v="2025-01-12T00:00:00"/>
    <d v="2025-01-16T00:00:00"/>
    <s v="F"/>
    <x v="1"/>
    <x v="1"/>
    <x v="0"/>
    <x v="33"/>
    <x v="5"/>
    <x v="2"/>
    <x v="2"/>
  </r>
  <r>
    <s v="TX500270"/>
    <x v="6"/>
    <x v="2"/>
    <n v="90.9"/>
    <x v="259"/>
    <d v="2025-01-12T00:00:00"/>
    <d v="2025-01-13T00:00:00"/>
    <s v="F"/>
    <x v="2"/>
    <x v="4"/>
    <x v="0"/>
    <x v="3"/>
    <x v="3"/>
    <x v="2"/>
    <x v="2"/>
  </r>
  <r>
    <s v="TX500271"/>
    <x v="8"/>
    <x v="2"/>
    <n v="44.5"/>
    <x v="260"/>
    <d v="2025-01-12T00:00:00"/>
    <d v="2025-01-13T00:00:00"/>
    <s v="F"/>
    <x v="1"/>
    <x v="0"/>
    <x v="0"/>
    <x v="3"/>
    <x v="3"/>
    <x v="2"/>
    <x v="2"/>
  </r>
  <r>
    <s v="TX500272"/>
    <x v="9"/>
    <x v="13"/>
    <n v="32.299999999999997"/>
    <x v="261"/>
    <d v="2025-01-12T00:00:00"/>
    <d v="2025-01-16T00:00:00"/>
    <s v="F"/>
    <x v="0"/>
    <x v="0"/>
    <x v="0"/>
    <x v="3"/>
    <x v="5"/>
    <x v="2"/>
    <x v="2"/>
  </r>
  <r>
    <s v="TX500273"/>
    <x v="17"/>
    <x v="2"/>
    <n v="87.5"/>
    <x v="175"/>
    <d v="2025-01-12T00:00:00"/>
    <d v="2025-01-13T00:00:00"/>
    <s v="F"/>
    <x v="1"/>
    <x v="1"/>
    <x v="0"/>
    <x v="3"/>
    <x v="3"/>
    <x v="2"/>
    <x v="2"/>
  </r>
  <r>
    <s v="TX500274"/>
    <x v="16"/>
    <x v="9"/>
    <n v="48.7"/>
    <x v="262"/>
    <d v="2025-01-12T00:00:00"/>
    <d v="2025-01-13T00:00:00"/>
    <s v="M"/>
    <x v="2"/>
    <x v="0"/>
    <x v="0"/>
    <x v="3"/>
    <x v="3"/>
    <x v="2"/>
    <x v="1"/>
  </r>
  <r>
    <s v="TX500275"/>
    <x v="0"/>
    <x v="9"/>
    <n v="22.5"/>
    <x v="158"/>
    <d v="2025-01-12T00:00:00"/>
    <d v="2025-01-13T00:00:00"/>
    <s v="M"/>
    <x v="0"/>
    <x v="0"/>
    <x v="0"/>
    <x v="3"/>
    <x v="3"/>
    <x v="2"/>
    <x v="1"/>
  </r>
  <r>
    <s v="TX500276"/>
    <x v="1"/>
    <x v="8"/>
    <n v="65.900000000000006"/>
    <x v="263"/>
    <d v="2025-01-12T00:00:00"/>
    <d v="2025-01-15T00:00:00"/>
    <s v="F"/>
    <x v="1"/>
    <x v="2"/>
    <x v="0"/>
    <x v="3"/>
    <x v="2"/>
    <x v="2"/>
    <x v="2"/>
  </r>
  <r>
    <s v="TX500277"/>
    <x v="6"/>
    <x v="9"/>
    <n v="41.9"/>
    <x v="264"/>
    <d v="2025-01-12T00:00:00"/>
    <d v="2025-01-19T00:00:00"/>
    <s v=""/>
    <x v="0"/>
    <x v="0"/>
    <x v="0"/>
    <x v="3"/>
    <x v="6"/>
    <x v="2"/>
    <x v="0"/>
  </r>
  <r>
    <s v="TX500278"/>
    <x v="1"/>
    <x v="9"/>
    <n v="67.5"/>
    <x v="265"/>
    <d v="2025-01-12T00:00:00"/>
    <d v="2025-01-13T00:00:00"/>
    <s v="F"/>
    <x v="0"/>
    <x v="2"/>
    <x v="0"/>
    <x v="3"/>
    <x v="3"/>
    <x v="2"/>
    <x v="2"/>
  </r>
  <r>
    <s v="TX500279"/>
    <x v="9"/>
    <x v="0"/>
    <n v="60.4"/>
    <x v="266"/>
    <d v="2025-01-13T00:00:00"/>
    <d v="2025-01-15T00:00:00"/>
    <s v="F"/>
    <x v="1"/>
    <x v="1"/>
    <x v="0"/>
    <x v="3"/>
    <x v="1"/>
    <x v="2"/>
    <x v="2"/>
  </r>
  <r>
    <s v="TX500280"/>
    <x v="1"/>
    <x v="3"/>
    <n v="30.4"/>
    <x v="267"/>
    <d v="2025-01-13T00:00:00"/>
    <d v="2025-01-16T00:00:00"/>
    <s v="F"/>
    <x v="4"/>
    <x v="0"/>
    <x v="0"/>
    <x v="3"/>
    <x v="2"/>
    <x v="2"/>
    <x v="2"/>
  </r>
  <r>
    <s v="TX500281"/>
    <x v="14"/>
    <x v="1"/>
    <n v="24.5"/>
    <x v="268"/>
    <d v="2025-01-13T00:00:00"/>
    <d v="2025-01-14T00:00:00"/>
    <s v="M"/>
    <x v="3"/>
    <x v="2"/>
    <x v="0"/>
    <x v="3"/>
    <x v="3"/>
    <x v="2"/>
    <x v="1"/>
  </r>
  <r>
    <s v="TX500282"/>
    <x v="2"/>
    <x v="2"/>
    <n v="105.9"/>
    <x v="269"/>
    <d v="2025-01-13T00:00:00"/>
    <d v="2025-01-18T00:00:00"/>
    <s v="M"/>
    <x v="0"/>
    <x v="0"/>
    <x v="0"/>
    <x v="37"/>
    <x v="0"/>
    <x v="2"/>
    <x v="1"/>
  </r>
  <r>
    <s v="TX500283"/>
    <x v="10"/>
    <x v="25"/>
    <n v="25.9"/>
    <x v="270"/>
    <d v="2025-01-13T00:00:00"/>
    <d v="2025-01-14T00:00:00"/>
    <s v="F"/>
    <x v="4"/>
    <x v="0"/>
    <x v="0"/>
    <x v="23"/>
    <x v="3"/>
    <x v="2"/>
    <x v="2"/>
  </r>
  <r>
    <s v="TX500284"/>
    <x v="6"/>
    <x v="2"/>
    <n v="66.8"/>
    <x v="271"/>
    <d v="2025-01-13T00:00:00"/>
    <d v="2025-01-13T00:00:00"/>
    <s v="M"/>
    <x v="0"/>
    <x v="0"/>
    <x v="0"/>
    <x v="23"/>
    <x v="7"/>
    <x v="2"/>
    <x v="1"/>
  </r>
  <r>
    <s v="TX500285"/>
    <x v="6"/>
    <x v="2"/>
    <n v="112.3"/>
    <x v="272"/>
    <d v="2025-01-13T00:00:00"/>
    <d v="2025-01-14T00:00:00"/>
    <s v="M"/>
    <x v="2"/>
    <x v="4"/>
    <x v="0"/>
    <x v="6"/>
    <x v="3"/>
    <x v="2"/>
    <x v="1"/>
  </r>
  <r>
    <s v="TX500286"/>
    <x v="1"/>
    <x v="13"/>
    <n v="94.1"/>
    <x v="273"/>
    <d v="2025-01-13T00:00:00"/>
    <d v="2025-01-14T00:00:00"/>
    <s v="F"/>
    <x v="0"/>
    <x v="4"/>
    <x v="0"/>
    <x v="6"/>
    <x v="3"/>
    <x v="2"/>
    <x v="2"/>
  </r>
  <r>
    <s v="TX500287"/>
    <x v="5"/>
    <x v="0"/>
    <n v="40.700000000000003"/>
    <x v="274"/>
    <d v="2025-01-13T00:00:00"/>
    <d v="2025-01-16T00:00:00"/>
    <s v="F"/>
    <x v="2"/>
    <x v="0"/>
    <x v="0"/>
    <x v="6"/>
    <x v="2"/>
    <x v="2"/>
    <x v="2"/>
  </r>
  <r>
    <s v="TX500288"/>
    <x v="3"/>
    <x v="1"/>
    <n v="71.400000000000006"/>
    <x v="275"/>
    <d v="2025-01-13T00:00:00"/>
    <d v="2025-01-14T00:00:00"/>
    <s v="M"/>
    <x v="0"/>
    <x v="0"/>
    <x v="0"/>
    <x v="7"/>
    <x v="3"/>
    <x v="2"/>
    <x v="1"/>
  </r>
  <r>
    <s v="TX500289"/>
    <x v="0"/>
    <x v="16"/>
    <n v="15.6"/>
    <x v="276"/>
    <d v="2025-01-13T00:00:00"/>
    <d v="2025-01-14T00:00:00"/>
    <s v="M"/>
    <x v="1"/>
    <x v="3"/>
    <x v="0"/>
    <x v="8"/>
    <x v="3"/>
    <x v="2"/>
    <x v="1"/>
  </r>
  <r>
    <s v="TX500290"/>
    <x v="10"/>
    <x v="12"/>
    <n v="37.799999999999997"/>
    <x v="277"/>
    <d v="2025-01-13T00:00:00"/>
    <d v="2025-01-14T00:00:00"/>
    <s v="M"/>
    <x v="2"/>
    <x v="2"/>
    <x v="0"/>
    <x v="8"/>
    <x v="3"/>
    <x v="2"/>
    <x v="1"/>
  </r>
  <r>
    <s v="TX500291"/>
    <x v="4"/>
    <x v="2"/>
    <n v="28.1"/>
    <x v="278"/>
    <d v="2025-01-13T00:00:00"/>
    <d v="2025-01-17T00:00:00"/>
    <s v="M"/>
    <x v="0"/>
    <x v="0"/>
    <x v="0"/>
    <x v="8"/>
    <x v="5"/>
    <x v="2"/>
    <x v="1"/>
  </r>
  <r>
    <s v="TX500292"/>
    <x v="7"/>
    <x v="13"/>
    <n v="51.4"/>
    <x v="279"/>
    <d v="2025-01-13T00:00:00"/>
    <d v="2025-01-17T00:00:00"/>
    <s v="M"/>
    <x v="0"/>
    <x v="0"/>
    <x v="0"/>
    <x v="8"/>
    <x v="5"/>
    <x v="2"/>
    <x v="1"/>
  </r>
  <r>
    <s v="TX500293"/>
    <x v="7"/>
    <x v="1"/>
    <n v="97.7"/>
    <x v="280"/>
    <d v="2025-01-13T00:00:00"/>
    <d v="2025-01-15T00:00:00"/>
    <s v="F"/>
    <x v="4"/>
    <x v="2"/>
    <x v="0"/>
    <x v="17"/>
    <x v="1"/>
    <x v="2"/>
    <x v="2"/>
  </r>
  <r>
    <s v="TX500294"/>
    <x v="1"/>
    <x v="12"/>
    <n v="63.8"/>
    <x v="281"/>
    <d v="2025-01-13T00:00:00"/>
    <d v="2025-01-14T00:00:00"/>
    <s v="M"/>
    <x v="2"/>
    <x v="0"/>
    <x v="0"/>
    <x v="38"/>
    <x v="3"/>
    <x v="2"/>
    <x v="1"/>
  </r>
  <r>
    <s v="TX500295"/>
    <x v="13"/>
    <x v="1"/>
    <n v="20.100000000000001"/>
    <x v="282"/>
    <d v="2025-01-13T00:00:00"/>
    <d v="2025-01-15T00:00:00"/>
    <s v="M"/>
    <x v="0"/>
    <x v="2"/>
    <x v="0"/>
    <x v="20"/>
    <x v="1"/>
    <x v="2"/>
    <x v="1"/>
  </r>
  <r>
    <s v="TX500296"/>
    <x v="11"/>
    <x v="2"/>
    <n v="50.4"/>
    <x v="277"/>
    <d v="2025-01-13T00:00:00"/>
    <d v="2025-01-16T00:00:00"/>
    <s v="F"/>
    <x v="3"/>
    <x v="0"/>
    <x v="0"/>
    <x v="13"/>
    <x v="2"/>
    <x v="2"/>
    <x v="2"/>
  </r>
  <r>
    <s v="TX500297"/>
    <x v="0"/>
    <x v="0"/>
    <n v="16.2"/>
    <x v="283"/>
    <d v="2025-01-13T00:00:00"/>
    <d v="2025-01-26T00:00:00"/>
    <s v="F"/>
    <x v="1"/>
    <x v="0"/>
    <x v="0"/>
    <x v="1"/>
    <x v="10"/>
    <x v="2"/>
    <x v="2"/>
  </r>
  <r>
    <s v="TX500298"/>
    <x v="6"/>
    <x v="3"/>
    <n v="80.900000000000006"/>
    <x v="284"/>
    <d v="2025-01-13T00:00:00"/>
    <d v="2025-01-15T00:00:00"/>
    <s v="M"/>
    <x v="4"/>
    <x v="4"/>
    <x v="0"/>
    <x v="2"/>
    <x v="1"/>
    <x v="2"/>
    <x v="1"/>
  </r>
  <r>
    <s v="TX500299"/>
    <x v="9"/>
    <x v="13"/>
    <n v="95.2"/>
    <x v="285"/>
    <d v="2025-01-13T00:00:00"/>
    <d v="2025-01-15T00:00:00"/>
    <s v="F"/>
    <x v="0"/>
    <x v="2"/>
    <x v="0"/>
    <x v="2"/>
    <x v="1"/>
    <x v="2"/>
    <x v="2"/>
  </r>
  <r>
    <s v="TX500300"/>
    <x v="5"/>
    <x v="8"/>
    <n v="70.400000000000006"/>
    <x v="286"/>
    <d v="2025-01-13T00:00:00"/>
    <d v="2025-01-14T00:00:00"/>
    <s v="M"/>
    <x v="1"/>
    <x v="1"/>
    <x v="0"/>
    <x v="3"/>
    <x v="3"/>
    <x v="2"/>
    <x v="1"/>
  </r>
  <r>
    <s v="TX500301"/>
    <x v="0"/>
    <x v="9"/>
    <n v="10.7"/>
    <x v="287"/>
    <d v="2025-01-13T00:00:00"/>
    <d v="2025-01-17T00:00:00"/>
    <s v="F"/>
    <x v="2"/>
    <x v="0"/>
    <x v="0"/>
    <x v="3"/>
    <x v="5"/>
    <x v="2"/>
    <x v="2"/>
  </r>
  <r>
    <s v="TX500302"/>
    <x v="8"/>
    <x v="9"/>
    <n v="19.600000000000001"/>
    <x v="11"/>
    <d v="2025-01-13T00:00:00"/>
    <d v="2025-01-15T00:00:00"/>
    <s v="F"/>
    <x v="0"/>
    <x v="3"/>
    <x v="0"/>
    <x v="3"/>
    <x v="1"/>
    <x v="2"/>
    <x v="2"/>
  </r>
  <r>
    <s v="TX500303"/>
    <x v="8"/>
    <x v="5"/>
    <n v="34.700000000000003"/>
    <x v="288"/>
    <d v="2025-01-13T00:00:00"/>
    <d v="2025-01-15T00:00:00"/>
    <s v="F"/>
    <x v="0"/>
    <x v="2"/>
    <x v="0"/>
    <x v="3"/>
    <x v="1"/>
    <x v="2"/>
    <x v="2"/>
  </r>
  <r>
    <s v="TX500304"/>
    <x v="10"/>
    <x v="11"/>
    <n v="34.1"/>
    <x v="289"/>
    <d v="2025-01-13T00:00:00"/>
    <d v="2025-01-14T00:00:00"/>
    <s v="F"/>
    <x v="4"/>
    <x v="1"/>
    <x v="0"/>
    <x v="3"/>
    <x v="3"/>
    <x v="2"/>
    <x v="2"/>
  </r>
  <r>
    <s v="TX500305"/>
    <x v="0"/>
    <x v="26"/>
    <n v="29.3"/>
    <x v="290"/>
    <d v="2025-01-13T00:00:00"/>
    <d v="2025-01-13T00:00:00"/>
    <s v="M"/>
    <x v="0"/>
    <x v="1"/>
    <x v="0"/>
    <x v="3"/>
    <x v="7"/>
    <x v="2"/>
    <x v="1"/>
  </r>
  <r>
    <s v="TX500306"/>
    <x v="1"/>
    <x v="0"/>
    <n v="55.2"/>
    <x v="291"/>
    <d v="2025-01-13T00:00:00"/>
    <d v="2025-01-14T00:00:00"/>
    <s v="F"/>
    <x v="0"/>
    <x v="1"/>
    <x v="0"/>
    <x v="3"/>
    <x v="3"/>
    <x v="2"/>
    <x v="2"/>
  </r>
  <r>
    <s v="TX500307"/>
    <x v="18"/>
    <x v="2"/>
    <n v="26"/>
    <x v="292"/>
    <d v="2025-01-13T00:00:00"/>
    <d v="2025-01-16T00:00:00"/>
    <s v="F"/>
    <x v="0"/>
    <x v="2"/>
    <x v="0"/>
    <x v="3"/>
    <x v="2"/>
    <x v="2"/>
    <x v="2"/>
  </r>
  <r>
    <s v="TX500308"/>
    <x v="14"/>
    <x v="1"/>
    <n v="14.2"/>
    <x v="293"/>
    <d v="2025-01-13T00:00:00"/>
    <d v="2025-01-18T00:00:00"/>
    <s v="F"/>
    <x v="3"/>
    <x v="0"/>
    <x v="0"/>
    <x v="39"/>
    <x v="0"/>
    <x v="2"/>
    <x v="2"/>
  </r>
  <r>
    <s v="TX500309"/>
    <x v="8"/>
    <x v="11"/>
    <n v="22.7"/>
    <x v="294"/>
    <d v="2025-01-14T00:00:00"/>
    <d v="2025-01-15T00:00:00"/>
    <s v="M"/>
    <x v="1"/>
    <x v="0"/>
    <x v="0"/>
    <x v="6"/>
    <x v="3"/>
    <x v="2"/>
    <x v="1"/>
  </r>
  <r>
    <s v="TX500310"/>
    <x v="0"/>
    <x v="20"/>
    <n v="19.8"/>
    <x v="295"/>
    <d v="2025-01-14T00:00:00"/>
    <d v="2025-01-14T00:00:00"/>
    <s v="F"/>
    <x v="0"/>
    <x v="2"/>
    <x v="0"/>
    <x v="6"/>
    <x v="7"/>
    <x v="2"/>
    <x v="2"/>
  </r>
  <r>
    <s v="TX500311"/>
    <x v="0"/>
    <x v="2"/>
    <n v="31.7"/>
    <x v="296"/>
    <d v="2025-01-14T00:00:00"/>
    <d v="2025-01-15T00:00:00"/>
    <s v="M"/>
    <x v="2"/>
    <x v="0"/>
    <x v="0"/>
    <x v="6"/>
    <x v="3"/>
    <x v="2"/>
    <x v="1"/>
  </r>
  <r>
    <s v="TX500312"/>
    <x v="8"/>
    <x v="12"/>
    <n v="30.4"/>
    <x v="297"/>
    <d v="2025-01-14T00:00:00"/>
    <d v="2025-01-18T00:00:00"/>
    <s v="M"/>
    <x v="0"/>
    <x v="0"/>
    <x v="0"/>
    <x v="6"/>
    <x v="5"/>
    <x v="2"/>
    <x v="1"/>
  </r>
  <r>
    <s v="TX500313"/>
    <x v="0"/>
    <x v="12"/>
    <n v="25.6"/>
    <x v="298"/>
    <d v="2025-01-14T00:00:00"/>
    <d v="2025-01-15T00:00:00"/>
    <s v="M"/>
    <x v="3"/>
    <x v="0"/>
    <x v="0"/>
    <x v="8"/>
    <x v="3"/>
    <x v="2"/>
    <x v="1"/>
  </r>
  <r>
    <s v="TX500314"/>
    <x v="5"/>
    <x v="1"/>
    <n v="34.9"/>
    <x v="299"/>
    <d v="2025-01-14T00:00:00"/>
    <d v="2025-01-15T00:00:00"/>
    <s v="F"/>
    <x v="2"/>
    <x v="0"/>
    <x v="0"/>
    <x v="9"/>
    <x v="3"/>
    <x v="2"/>
    <x v="2"/>
  </r>
  <r>
    <s v="TX500315"/>
    <x v="7"/>
    <x v="13"/>
    <n v="42.7"/>
    <x v="300"/>
    <d v="2025-01-14T00:00:00"/>
    <d v="2025-01-17T00:00:00"/>
    <s v="M"/>
    <x v="2"/>
    <x v="1"/>
    <x v="0"/>
    <x v="11"/>
    <x v="2"/>
    <x v="2"/>
    <x v="1"/>
  </r>
  <r>
    <s v="TX500316"/>
    <x v="8"/>
    <x v="0"/>
    <n v="23.9"/>
    <x v="301"/>
    <d v="2025-01-14T00:00:00"/>
    <d v="2025-01-16T00:00:00"/>
    <s v="F"/>
    <x v="3"/>
    <x v="0"/>
    <x v="0"/>
    <x v="11"/>
    <x v="1"/>
    <x v="2"/>
    <x v="2"/>
  </r>
  <r>
    <s v="TX500317"/>
    <x v="6"/>
    <x v="0"/>
    <n v="124.3"/>
    <x v="302"/>
    <d v="2025-01-14T00:00:00"/>
    <d v="2025-01-15T00:00:00"/>
    <s v=""/>
    <x v="2"/>
    <x v="1"/>
    <x v="0"/>
    <x v="21"/>
    <x v="3"/>
    <x v="2"/>
    <x v="0"/>
  </r>
  <r>
    <s v="TX500318"/>
    <x v="8"/>
    <x v="13"/>
    <n v="35.9"/>
    <x v="303"/>
    <d v="2025-01-14T00:00:00"/>
    <d v="2025-01-15T00:00:00"/>
    <s v="F"/>
    <x v="0"/>
    <x v="1"/>
    <x v="0"/>
    <x v="1"/>
    <x v="3"/>
    <x v="2"/>
    <x v="2"/>
  </r>
  <r>
    <s v="TX500319"/>
    <x v="2"/>
    <x v="1"/>
    <n v="69.099999999999994"/>
    <x v="304"/>
    <d v="2025-01-14T00:00:00"/>
    <d v="2025-01-17T00:00:00"/>
    <s v="F"/>
    <x v="0"/>
    <x v="2"/>
    <x v="0"/>
    <x v="22"/>
    <x v="2"/>
    <x v="2"/>
    <x v="2"/>
  </r>
  <r>
    <s v="TX500320"/>
    <x v="7"/>
    <x v="0"/>
    <n v="58.4"/>
    <x v="305"/>
    <d v="2025-01-14T00:00:00"/>
    <d v="2025-01-18T00:00:00"/>
    <s v="M"/>
    <x v="0"/>
    <x v="0"/>
    <x v="0"/>
    <x v="22"/>
    <x v="5"/>
    <x v="2"/>
    <x v="1"/>
  </r>
  <r>
    <s v="TX500321"/>
    <x v="5"/>
    <x v="0"/>
    <n v="65.2"/>
    <x v="221"/>
    <d v="2025-01-14T00:00:00"/>
    <d v="2025-01-16T00:00:00"/>
    <s v="O"/>
    <x v="4"/>
    <x v="4"/>
    <x v="0"/>
    <x v="3"/>
    <x v="1"/>
    <x v="2"/>
    <x v="3"/>
  </r>
  <r>
    <s v="TX500322"/>
    <x v="8"/>
    <x v="14"/>
    <n v="32.700000000000003"/>
    <x v="306"/>
    <d v="2025-01-14T00:00:00"/>
    <d v="2025-01-21T00:00:00"/>
    <s v=""/>
    <x v="4"/>
    <x v="0"/>
    <x v="0"/>
    <x v="3"/>
    <x v="6"/>
    <x v="2"/>
    <x v="0"/>
  </r>
  <r>
    <s v="TX500323"/>
    <x v="10"/>
    <x v="3"/>
    <n v="24.4"/>
    <x v="307"/>
    <d v="2025-01-14T00:00:00"/>
    <d v="2025-01-15T00:00:00"/>
    <s v="F"/>
    <x v="0"/>
    <x v="0"/>
    <x v="0"/>
    <x v="3"/>
    <x v="3"/>
    <x v="2"/>
    <x v="2"/>
  </r>
  <r>
    <s v="TX500324"/>
    <x v="14"/>
    <x v="1"/>
    <n v="50.4"/>
    <x v="90"/>
    <d v="2025-01-14T00:00:00"/>
    <d v="2025-01-20T00:00:00"/>
    <s v="M"/>
    <x v="0"/>
    <x v="1"/>
    <x v="0"/>
    <x v="3"/>
    <x v="4"/>
    <x v="2"/>
    <x v="1"/>
  </r>
  <r>
    <s v="TX500325"/>
    <x v="1"/>
    <x v="1"/>
    <n v="100"/>
    <x v="308"/>
    <d v="2025-01-14T00:00:00"/>
    <d v="2025-01-15T00:00:00"/>
    <s v="F"/>
    <x v="0"/>
    <x v="0"/>
    <x v="0"/>
    <x v="3"/>
    <x v="3"/>
    <x v="2"/>
    <x v="2"/>
  </r>
  <r>
    <s v="TX500326"/>
    <x v="10"/>
    <x v="2"/>
    <n v="43"/>
    <x v="309"/>
    <d v="2025-01-15T00:00:00"/>
    <d v="2025-01-15T00:00:00"/>
    <s v="F"/>
    <x v="2"/>
    <x v="1"/>
    <x v="0"/>
    <x v="3"/>
    <x v="7"/>
    <x v="2"/>
    <x v="2"/>
  </r>
  <r>
    <s v="TX500327"/>
    <x v="1"/>
    <x v="9"/>
    <n v="64.400000000000006"/>
    <x v="310"/>
    <d v="2025-01-15T00:00:00"/>
    <d v="2025-01-17T00:00:00"/>
    <s v="M"/>
    <x v="2"/>
    <x v="1"/>
    <x v="0"/>
    <x v="3"/>
    <x v="1"/>
    <x v="2"/>
    <x v="1"/>
  </r>
  <r>
    <s v="TX500328"/>
    <x v="18"/>
    <x v="1"/>
    <n v="57.4"/>
    <x v="311"/>
    <d v="2025-01-15T00:00:00"/>
    <d v="2025-01-16T00:00:00"/>
    <s v="M"/>
    <x v="2"/>
    <x v="1"/>
    <x v="0"/>
    <x v="3"/>
    <x v="3"/>
    <x v="2"/>
    <x v="1"/>
  </r>
  <r>
    <s v="TX500329"/>
    <x v="2"/>
    <x v="2"/>
    <n v="55.1"/>
    <x v="312"/>
    <d v="2025-01-15T00:00:00"/>
    <d v="2025-01-18T00:00:00"/>
    <s v="F"/>
    <x v="1"/>
    <x v="0"/>
    <x v="0"/>
    <x v="3"/>
    <x v="2"/>
    <x v="2"/>
    <x v="2"/>
  </r>
  <r>
    <s v="TX500330"/>
    <x v="7"/>
    <x v="12"/>
    <n v="45.4"/>
    <x v="106"/>
    <d v="2025-01-15T00:00:00"/>
    <d v="2025-01-16T00:00:00"/>
    <s v="F"/>
    <x v="1"/>
    <x v="0"/>
    <x v="0"/>
    <x v="3"/>
    <x v="3"/>
    <x v="2"/>
    <x v="2"/>
  </r>
  <r>
    <s v="TX500331"/>
    <x v="3"/>
    <x v="2"/>
    <n v="93.3"/>
    <x v="313"/>
    <d v="2025-01-15T00:00:00"/>
    <d v="2025-01-16T00:00:00"/>
    <s v="F"/>
    <x v="0"/>
    <x v="0"/>
    <x v="0"/>
    <x v="40"/>
    <x v="3"/>
    <x v="2"/>
    <x v="2"/>
  </r>
  <r>
    <s v="TX500332"/>
    <x v="2"/>
    <x v="10"/>
    <n v="158.19999999999999"/>
    <x v="314"/>
    <d v="2025-01-15T00:00:00"/>
    <d v="2025-01-16T00:00:00"/>
    <s v="F"/>
    <x v="1"/>
    <x v="2"/>
    <x v="0"/>
    <x v="16"/>
    <x v="3"/>
    <x v="2"/>
    <x v="2"/>
  </r>
  <r>
    <s v="TX500333"/>
    <x v="2"/>
    <x v="1"/>
    <n v="74.900000000000006"/>
    <x v="315"/>
    <d v="2025-01-15T00:00:00"/>
    <d v="2025-01-17T00:00:00"/>
    <s v="M"/>
    <x v="3"/>
    <x v="0"/>
    <x v="0"/>
    <x v="6"/>
    <x v="1"/>
    <x v="2"/>
    <x v="1"/>
  </r>
  <r>
    <s v="TX500334"/>
    <x v="8"/>
    <x v="3"/>
    <n v="26"/>
    <x v="316"/>
    <d v="2025-01-15T00:00:00"/>
    <d v="2025-01-18T00:00:00"/>
    <s v="F"/>
    <x v="1"/>
    <x v="0"/>
    <x v="0"/>
    <x v="8"/>
    <x v="2"/>
    <x v="2"/>
    <x v="2"/>
  </r>
  <r>
    <s v="TX500335"/>
    <x v="9"/>
    <x v="13"/>
    <n v="37.5"/>
    <x v="317"/>
    <d v="2025-01-15T00:00:00"/>
    <d v="2025-01-16T00:00:00"/>
    <s v="F"/>
    <x v="0"/>
    <x v="1"/>
    <x v="0"/>
    <x v="8"/>
    <x v="3"/>
    <x v="2"/>
    <x v="2"/>
  </r>
  <r>
    <s v="TX500336"/>
    <x v="6"/>
    <x v="1"/>
    <n v="75.8"/>
    <x v="318"/>
    <d v="2025-01-15T00:00:00"/>
    <d v="2025-01-21T00:00:00"/>
    <s v="M"/>
    <x v="0"/>
    <x v="0"/>
    <x v="0"/>
    <x v="8"/>
    <x v="4"/>
    <x v="2"/>
    <x v="1"/>
  </r>
  <r>
    <s v="TX500337"/>
    <x v="7"/>
    <x v="0"/>
    <n v="48.5"/>
    <x v="319"/>
    <d v="2025-01-15T00:00:00"/>
    <d v="2025-01-27T00:00:00"/>
    <s v=""/>
    <x v="4"/>
    <x v="2"/>
    <x v="0"/>
    <x v="8"/>
    <x v="13"/>
    <x v="2"/>
    <x v="0"/>
  </r>
  <r>
    <s v="TX500338"/>
    <x v="6"/>
    <x v="2"/>
    <n v="98.9"/>
    <x v="320"/>
    <d v="2025-01-15T00:00:00"/>
    <d v="2025-01-17T00:00:00"/>
    <s v="F"/>
    <x v="4"/>
    <x v="1"/>
    <x v="0"/>
    <x v="8"/>
    <x v="1"/>
    <x v="2"/>
    <x v="2"/>
  </r>
  <r>
    <s v="TX500339"/>
    <x v="1"/>
    <x v="4"/>
    <n v="50.9"/>
    <x v="321"/>
    <d v="2025-01-15T00:00:00"/>
    <d v="2025-01-15T00:00:00"/>
    <s v="M"/>
    <x v="4"/>
    <x v="0"/>
    <x v="0"/>
    <x v="8"/>
    <x v="7"/>
    <x v="2"/>
    <x v="1"/>
  </r>
  <r>
    <s v="TX500340"/>
    <x v="12"/>
    <x v="13"/>
    <n v="84.7"/>
    <x v="322"/>
    <d v="2025-01-15T00:00:00"/>
    <d v="2025-01-15T00:00:00"/>
    <s v="F"/>
    <x v="2"/>
    <x v="0"/>
    <x v="0"/>
    <x v="8"/>
    <x v="7"/>
    <x v="2"/>
    <x v="2"/>
  </r>
  <r>
    <s v="TX500341"/>
    <x v="8"/>
    <x v="0"/>
    <n v="20.7"/>
    <x v="323"/>
    <d v="2025-01-15T00:00:00"/>
    <d v="2025-01-17T00:00:00"/>
    <s v="F"/>
    <x v="3"/>
    <x v="2"/>
    <x v="0"/>
    <x v="8"/>
    <x v="1"/>
    <x v="2"/>
    <x v="2"/>
  </r>
  <r>
    <s v="TX500342"/>
    <x v="12"/>
    <x v="11"/>
    <n v="57.8"/>
    <x v="324"/>
    <d v="2025-01-15T00:00:00"/>
    <d v="2025-01-26T00:00:00"/>
    <s v="M"/>
    <x v="0"/>
    <x v="4"/>
    <x v="0"/>
    <x v="17"/>
    <x v="11"/>
    <x v="2"/>
    <x v="1"/>
  </r>
  <r>
    <s v="TX500343"/>
    <x v="2"/>
    <x v="1"/>
    <n v="106.9"/>
    <x v="325"/>
    <d v="2025-01-15T00:00:00"/>
    <d v="2025-01-17T00:00:00"/>
    <s v="F"/>
    <x v="0"/>
    <x v="2"/>
    <x v="0"/>
    <x v="41"/>
    <x v="1"/>
    <x v="2"/>
    <x v="2"/>
  </r>
  <r>
    <s v="TX500344"/>
    <x v="3"/>
    <x v="9"/>
    <n v="45.2"/>
    <x v="326"/>
    <d v="2025-01-15T00:00:00"/>
    <d v="2025-01-19T00:00:00"/>
    <s v="F"/>
    <x v="1"/>
    <x v="0"/>
    <x v="0"/>
    <x v="21"/>
    <x v="5"/>
    <x v="2"/>
    <x v="2"/>
  </r>
  <r>
    <s v="TX500345"/>
    <x v="8"/>
    <x v="15"/>
    <n v="34.6"/>
    <x v="327"/>
    <d v="2025-01-15T00:00:00"/>
    <d v="2025-01-15T00:00:00"/>
    <s v="F"/>
    <x v="1"/>
    <x v="1"/>
    <x v="0"/>
    <x v="21"/>
    <x v="7"/>
    <x v="2"/>
    <x v="2"/>
  </r>
  <r>
    <s v="TX500346"/>
    <x v="15"/>
    <x v="0"/>
    <n v="43.8"/>
    <x v="328"/>
    <d v="2025-01-15T00:00:00"/>
    <d v="2025-01-17T00:00:00"/>
    <s v=""/>
    <x v="0"/>
    <x v="2"/>
    <x v="0"/>
    <x v="21"/>
    <x v="1"/>
    <x v="2"/>
    <x v="0"/>
  </r>
  <r>
    <s v="TX500347"/>
    <x v="15"/>
    <x v="0"/>
    <n v="20.399999999999999"/>
    <x v="190"/>
    <d v="2025-01-15T00:00:00"/>
    <d v="2025-01-17T00:00:00"/>
    <s v="M"/>
    <x v="4"/>
    <x v="1"/>
    <x v="0"/>
    <x v="21"/>
    <x v="1"/>
    <x v="2"/>
    <x v="1"/>
  </r>
  <r>
    <s v="TX500348"/>
    <x v="1"/>
    <x v="0"/>
    <n v="36.700000000000003"/>
    <x v="329"/>
    <d v="2025-01-15T00:00:00"/>
    <d v="2025-01-16T00:00:00"/>
    <s v="M"/>
    <x v="0"/>
    <x v="1"/>
    <x v="0"/>
    <x v="1"/>
    <x v="3"/>
    <x v="2"/>
    <x v="1"/>
  </r>
  <r>
    <s v="TX500349"/>
    <x v="8"/>
    <x v="2"/>
    <n v="27.2"/>
    <x v="330"/>
    <d v="2025-01-15T00:00:00"/>
    <d v="2025-01-19T00:00:00"/>
    <s v="M"/>
    <x v="0"/>
    <x v="2"/>
    <x v="0"/>
    <x v="1"/>
    <x v="5"/>
    <x v="2"/>
    <x v="1"/>
  </r>
  <r>
    <s v="TX500350"/>
    <x v="6"/>
    <x v="0"/>
    <n v="58.2"/>
    <x v="331"/>
    <d v="2025-01-15T00:00:00"/>
    <d v="2025-01-16T00:00:00"/>
    <s v="F"/>
    <x v="0"/>
    <x v="2"/>
    <x v="0"/>
    <x v="42"/>
    <x v="3"/>
    <x v="2"/>
    <x v="2"/>
  </r>
  <r>
    <s v="TX500351"/>
    <x v="8"/>
    <x v="2"/>
    <n v="25.6"/>
    <x v="332"/>
    <d v="2025-01-15T00:00:00"/>
    <d v="2025-01-16T00:00:00"/>
    <s v="M"/>
    <x v="4"/>
    <x v="4"/>
    <x v="0"/>
    <x v="2"/>
    <x v="3"/>
    <x v="2"/>
    <x v="1"/>
  </r>
  <r>
    <s v="TX500352"/>
    <x v="10"/>
    <x v="0"/>
    <n v="21.2"/>
    <x v="333"/>
    <d v="2025-01-15T00:00:00"/>
    <d v="2025-01-15T00:00:00"/>
    <s v="F"/>
    <x v="1"/>
    <x v="2"/>
    <x v="0"/>
    <x v="3"/>
    <x v="7"/>
    <x v="2"/>
    <x v="2"/>
  </r>
  <r>
    <s v="TX500353"/>
    <x v="6"/>
    <x v="1"/>
    <n v="48.2"/>
    <x v="334"/>
    <d v="2025-01-15T00:00:00"/>
    <d v="2025-01-23T00:00:00"/>
    <s v="F"/>
    <x v="0"/>
    <x v="2"/>
    <x v="0"/>
    <x v="3"/>
    <x v="9"/>
    <x v="2"/>
    <x v="2"/>
  </r>
  <r>
    <s v="TX500354"/>
    <x v="1"/>
    <x v="12"/>
    <n v="83.4"/>
    <x v="335"/>
    <d v="2025-01-16T00:00:00"/>
    <d v="2025-01-17T00:00:00"/>
    <s v="M"/>
    <x v="0"/>
    <x v="0"/>
    <x v="0"/>
    <x v="3"/>
    <x v="3"/>
    <x v="2"/>
    <x v="1"/>
  </r>
  <r>
    <s v="TX500355"/>
    <x v="9"/>
    <x v="2"/>
    <n v="45.3"/>
    <x v="336"/>
    <d v="2025-01-16T00:00:00"/>
    <d v="2025-01-22T00:00:00"/>
    <s v="M"/>
    <x v="2"/>
    <x v="1"/>
    <x v="0"/>
    <x v="3"/>
    <x v="4"/>
    <x v="2"/>
    <x v="1"/>
  </r>
  <r>
    <s v="TX500356"/>
    <x v="17"/>
    <x v="0"/>
    <n v="42"/>
    <x v="337"/>
    <d v="2025-01-16T00:00:00"/>
    <d v="2025-01-17T00:00:00"/>
    <s v=""/>
    <x v="0"/>
    <x v="0"/>
    <x v="0"/>
    <x v="3"/>
    <x v="3"/>
    <x v="2"/>
    <x v="0"/>
  </r>
  <r>
    <s v="TX500357"/>
    <x v="0"/>
    <x v="11"/>
    <n v="21.8"/>
    <x v="338"/>
    <d v="2025-01-16T00:00:00"/>
    <d v="2025-01-18T00:00:00"/>
    <s v="F"/>
    <x v="1"/>
    <x v="0"/>
    <x v="0"/>
    <x v="3"/>
    <x v="1"/>
    <x v="2"/>
    <x v="2"/>
  </r>
  <r>
    <s v="TX500358"/>
    <x v="8"/>
    <x v="16"/>
    <n v="21.4"/>
    <x v="339"/>
    <d v="2025-01-16T00:00:00"/>
    <d v="2025-01-19T00:00:00"/>
    <s v="F"/>
    <x v="1"/>
    <x v="2"/>
    <x v="0"/>
    <x v="3"/>
    <x v="2"/>
    <x v="2"/>
    <x v="2"/>
  </r>
  <r>
    <s v="TX500359"/>
    <x v="10"/>
    <x v="2"/>
    <n v="45"/>
    <x v="340"/>
    <d v="2025-01-16T00:00:00"/>
    <d v="2025-01-16T00:00:00"/>
    <s v="F"/>
    <x v="1"/>
    <x v="2"/>
    <x v="0"/>
    <x v="3"/>
    <x v="7"/>
    <x v="2"/>
    <x v="2"/>
  </r>
  <r>
    <s v="TX500360"/>
    <x v="14"/>
    <x v="0"/>
    <n v="39.6"/>
    <x v="341"/>
    <d v="2025-01-16T00:00:00"/>
    <d v="2025-01-17T00:00:00"/>
    <s v="M"/>
    <x v="0"/>
    <x v="2"/>
    <x v="0"/>
    <x v="3"/>
    <x v="3"/>
    <x v="2"/>
    <x v="1"/>
  </r>
  <r>
    <s v="TX500361"/>
    <x v="12"/>
    <x v="2"/>
    <n v="79.8"/>
    <x v="342"/>
    <d v="2025-01-16T00:00:00"/>
    <d v="2025-01-22T00:00:00"/>
    <s v="F"/>
    <x v="1"/>
    <x v="4"/>
    <x v="0"/>
    <x v="3"/>
    <x v="4"/>
    <x v="2"/>
    <x v="2"/>
  </r>
  <r>
    <s v="TX500362"/>
    <x v="1"/>
    <x v="12"/>
    <n v="63.6"/>
    <x v="343"/>
    <d v="2025-01-16T00:00:00"/>
    <d v="2025-01-17T00:00:00"/>
    <s v="O"/>
    <x v="0"/>
    <x v="2"/>
    <x v="0"/>
    <x v="24"/>
    <x v="3"/>
    <x v="2"/>
    <x v="3"/>
  </r>
  <r>
    <s v="TX500363"/>
    <x v="7"/>
    <x v="7"/>
    <n v="92.7"/>
    <x v="344"/>
    <d v="2025-01-16T00:00:00"/>
    <d v="2025-01-20T00:00:00"/>
    <s v="M"/>
    <x v="1"/>
    <x v="2"/>
    <x v="0"/>
    <x v="6"/>
    <x v="5"/>
    <x v="2"/>
    <x v="1"/>
  </r>
  <r>
    <s v="TX500364"/>
    <x v="1"/>
    <x v="12"/>
    <n v="48.4"/>
    <x v="345"/>
    <d v="2025-01-16T00:00:00"/>
    <d v="2025-01-18T00:00:00"/>
    <s v="F"/>
    <x v="1"/>
    <x v="2"/>
    <x v="0"/>
    <x v="6"/>
    <x v="1"/>
    <x v="2"/>
    <x v="2"/>
  </r>
  <r>
    <s v="TX500365"/>
    <x v="9"/>
    <x v="8"/>
    <n v="36"/>
    <x v="346"/>
    <d v="2025-01-16T00:00:00"/>
    <d v="2025-01-19T00:00:00"/>
    <s v="M"/>
    <x v="2"/>
    <x v="2"/>
    <x v="0"/>
    <x v="8"/>
    <x v="2"/>
    <x v="2"/>
    <x v="1"/>
  </r>
  <r>
    <s v="TX500366"/>
    <x v="8"/>
    <x v="4"/>
    <n v="27"/>
    <x v="347"/>
    <d v="2025-01-16T00:00:00"/>
    <d v="2025-01-18T00:00:00"/>
    <s v="F"/>
    <x v="2"/>
    <x v="1"/>
    <x v="0"/>
    <x v="8"/>
    <x v="1"/>
    <x v="2"/>
    <x v="2"/>
  </r>
  <r>
    <s v="TX500367"/>
    <x v="2"/>
    <x v="8"/>
    <n v="53.9"/>
    <x v="348"/>
    <d v="2025-01-16T00:00:00"/>
    <d v="2025-01-17T00:00:00"/>
    <s v=""/>
    <x v="0"/>
    <x v="0"/>
    <x v="0"/>
    <x v="8"/>
    <x v="3"/>
    <x v="2"/>
    <x v="0"/>
  </r>
  <r>
    <s v="TX500368"/>
    <x v="3"/>
    <x v="11"/>
    <n v="48.4"/>
    <x v="349"/>
    <d v="2025-01-16T00:00:00"/>
    <d v="2025-01-17T00:00:00"/>
    <s v="F"/>
    <x v="1"/>
    <x v="0"/>
    <x v="0"/>
    <x v="9"/>
    <x v="3"/>
    <x v="2"/>
    <x v="2"/>
  </r>
  <r>
    <s v="TX500369"/>
    <x v="17"/>
    <x v="1"/>
    <n v="49.9"/>
    <x v="350"/>
    <d v="2025-01-16T00:00:00"/>
    <d v="2025-01-21T00:00:00"/>
    <s v="M"/>
    <x v="4"/>
    <x v="4"/>
    <x v="0"/>
    <x v="10"/>
    <x v="0"/>
    <x v="2"/>
    <x v="1"/>
  </r>
  <r>
    <s v="TX500370"/>
    <x v="1"/>
    <x v="2"/>
    <n v="51.7"/>
    <x v="351"/>
    <d v="2025-01-16T00:00:00"/>
    <d v="2025-01-17T00:00:00"/>
    <s v="F"/>
    <x v="0"/>
    <x v="2"/>
    <x v="0"/>
    <x v="11"/>
    <x v="3"/>
    <x v="2"/>
    <x v="2"/>
  </r>
  <r>
    <s v="TX500371"/>
    <x v="8"/>
    <x v="2"/>
    <n v="41.8"/>
    <x v="352"/>
    <d v="2025-01-16T00:00:00"/>
    <d v="2025-01-18T00:00:00"/>
    <s v="F"/>
    <x v="2"/>
    <x v="0"/>
    <x v="0"/>
    <x v="18"/>
    <x v="1"/>
    <x v="2"/>
    <x v="2"/>
  </r>
  <r>
    <s v="TX500372"/>
    <x v="4"/>
    <x v="12"/>
    <n v="36.200000000000003"/>
    <x v="353"/>
    <d v="2025-01-17T00:00:00"/>
    <d v="2025-01-18T00:00:00"/>
    <s v="M"/>
    <x v="2"/>
    <x v="2"/>
    <x v="0"/>
    <x v="21"/>
    <x v="3"/>
    <x v="2"/>
    <x v="1"/>
  </r>
  <r>
    <s v="TX500373"/>
    <x v="2"/>
    <x v="0"/>
    <n v="150.9"/>
    <x v="354"/>
    <d v="2025-01-17T00:00:00"/>
    <d v="2025-01-27T00:00:00"/>
    <s v="M"/>
    <x v="0"/>
    <x v="0"/>
    <x v="0"/>
    <x v="1"/>
    <x v="14"/>
    <x v="2"/>
    <x v="1"/>
  </r>
  <r>
    <s v="TX500374"/>
    <x v="18"/>
    <x v="12"/>
    <n v="77.599999999999994"/>
    <x v="355"/>
    <d v="2025-01-17T00:00:00"/>
    <d v="2025-01-18T00:00:00"/>
    <s v=""/>
    <x v="2"/>
    <x v="0"/>
    <x v="0"/>
    <x v="3"/>
    <x v="3"/>
    <x v="2"/>
    <x v="0"/>
  </r>
  <r>
    <s v="TX500375"/>
    <x v="13"/>
    <x v="9"/>
    <n v="65.5"/>
    <x v="356"/>
    <d v="2025-01-17T00:00:00"/>
    <d v="2025-01-17T00:00:00"/>
    <s v="M"/>
    <x v="1"/>
    <x v="0"/>
    <x v="0"/>
    <x v="3"/>
    <x v="7"/>
    <x v="2"/>
    <x v="1"/>
  </r>
  <r>
    <s v="TX500376"/>
    <x v="6"/>
    <x v="2"/>
    <n v="90.1"/>
    <x v="357"/>
    <d v="2025-01-17T00:00:00"/>
    <d v="2025-01-19T00:00:00"/>
    <s v="F"/>
    <x v="0"/>
    <x v="0"/>
    <x v="0"/>
    <x v="3"/>
    <x v="1"/>
    <x v="2"/>
    <x v="2"/>
  </r>
  <r>
    <s v="TX500377"/>
    <x v="1"/>
    <x v="1"/>
    <n v="108.3"/>
    <x v="358"/>
    <d v="2025-01-17T00:00:00"/>
    <d v="2025-01-20T00:00:00"/>
    <s v="O"/>
    <x v="4"/>
    <x v="0"/>
    <x v="0"/>
    <x v="3"/>
    <x v="2"/>
    <x v="2"/>
    <x v="3"/>
  </r>
  <r>
    <s v="TX500378"/>
    <x v="5"/>
    <x v="2"/>
    <n v="59.9"/>
    <x v="359"/>
    <d v="2025-01-17T00:00:00"/>
    <d v="2025-01-21T00:00:00"/>
    <s v="F"/>
    <x v="0"/>
    <x v="0"/>
    <x v="0"/>
    <x v="3"/>
    <x v="5"/>
    <x v="2"/>
    <x v="2"/>
  </r>
  <r>
    <s v="TX500379"/>
    <x v="2"/>
    <x v="14"/>
    <n v="139"/>
    <x v="360"/>
    <d v="2025-01-17T00:00:00"/>
    <d v="2025-01-19T00:00:00"/>
    <s v="F"/>
    <x v="1"/>
    <x v="4"/>
    <x v="0"/>
    <x v="3"/>
    <x v="1"/>
    <x v="2"/>
    <x v="2"/>
  </r>
  <r>
    <s v="TX500380"/>
    <x v="6"/>
    <x v="2"/>
    <n v="87.3"/>
    <x v="361"/>
    <d v="2025-01-17T00:00:00"/>
    <d v="2025-01-18T00:00:00"/>
    <s v="F"/>
    <x v="0"/>
    <x v="0"/>
    <x v="0"/>
    <x v="3"/>
    <x v="3"/>
    <x v="2"/>
    <x v="2"/>
  </r>
  <r>
    <s v="TX500381"/>
    <x v="11"/>
    <x v="12"/>
    <n v="42.3"/>
    <x v="362"/>
    <d v="2025-01-17T00:00:00"/>
    <d v="2025-01-17T00:00:00"/>
    <s v="M"/>
    <x v="0"/>
    <x v="0"/>
    <x v="0"/>
    <x v="3"/>
    <x v="7"/>
    <x v="2"/>
    <x v="1"/>
  </r>
  <r>
    <s v="TX500382"/>
    <x v="14"/>
    <x v="8"/>
    <n v="103.6"/>
    <x v="363"/>
    <d v="2025-01-17T00:00:00"/>
    <d v="2025-01-18T00:00:00"/>
    <s v="O"/>
    <x v="0"/>
    <x v="1"/>
    <x v="0"/>
    <x v="3"/>
    <x v="3"/>
    <x v="2"/>
    <x v="3"/>
  </r>
  <r>
    <s v="TX500383"/>
    <x v="6"/>
    <x v="1"/>
    <n v="90.9"/>
    <x v="364"/>
    <d v="2025-01-17T00:00:00"/>
    <d v="2025-01-18T00:00:00"/>
    <s v="M"/>
    <x v="1"/>
    <x v="0"/>
    <x v="0"/>
    <x v="6"/>
    <x v="3"/>
    <x v="2"/>
    <x v="1"/>
  </r>
  <r>
    <s v="TX500384"/>
    <x v="9"/>
    <x v="27"/>
    <n v="100.9"/>
    <x v="365"/>
    <d v="2025-01-17T00:00:00"/>
    <d v="2025-01-18T00:00:00"/>
    <s v="F"/>
    <x v="1"/>
    <x v="0"/>
    <x v="0"/>
    <x v="6"/>
    <x v="3"/>
    <x v="2"/>
    <x v="2"/>
  </r>
  <r>
    <s v="TX500385"/>
    <x v="4"/>
    <x v="9"/>
    <n v="36"/>
    <x v="366"/>
    <d v="2025-01-17T00:00:00"/>
    <d v="2025-01-19T00:00:00"/>
    <s v="F"/>
    <x v="1"/>
    <x v="0"/>
    <x v="0"/>
    <x v="7"/>
    <x v="1"/>
    <x v="2"/>
    <x v="2"/>
  </r>
  <r>
    <s v="TX500386"/>
    <x v="6"/>
    <x v="13"/>
    <n v="83.3"/>
    <x v="367"/>
    <d v="2025-01-17T00:00:00"/>
    <d v="2025-01-20T00:00:00"/>
    <s v=""/>
    <x v="2"/>
    <x v="0"/>
    <x v="0"/>
    <x v="7"/>
    <x v="2"/>
    <x v="2"/>
    <x v="0"/>
  </r>
  <r>
    <s v="TX500387"/>
    <x v="2"/>
    <x v="14"/>
    <n v="60.3"/>
    <x v="368"/>
    <d v="2025-01-17T00:00:00"/>
    <d v="2025-01-18T00:00:00"/>
    <s v="M"/>
    <x v="2"/>
    <x v="1"/>
    <x v="0"/>
    <x v="7"/>
    <x v="3"/>
    <x v="2"/>
    <x v="1"/>
  </r>
  <r>
    <s v="TX500388"/>
    <x v="2"/>
    <x v="13"/>
    <n v="120.3"/>
    <x v="369"/>
    <d v="2025-01-17T00:00:00"/>
    <d v="2025-01-18T00:00:00"/>
    <s v="M"/>
    <x v="2"/>
    <x v="0"/>
    <x v="0"/>
    <x v="8"/>
    <x v="3"/>
    <x v="2"/>
    <x v="1"/>
  </r>
  <r>
    <s v="TX500389"/>
    <x v="4"/>
    <x v="7"/>
    <n v="34"/>
    <x v="370"/>
    <d v="2025-01-17T00:00:00"/>
    <d v="2025-01-21T00:00:00"/>
    <s v="F"/>
    <x v="2"/>
    <x v="0"/>
    <x v="0"/>
    <x v="8"/>
    <x v="5"/>
    <x v="2"/>
    <x v="2"/>
  </r>
  <r>
    <s v="TX500390"/>
    <x v="10"/>
    <x v="9"/>
    <n v="42.6"/>
    <x v="226"/>
    <d v="2025-01-17T00:00:00"/>
    <d v="2025-01-20T00:00:00"/>
    <s v="M"/>
    <x v="1"/>
    <x v="0"/>
    <x v="0"/>
    <x v="8"/>
    <x v="2"/>
    <x v="2"/>
    <x v="1"/>
  </r>
  <r>
    <s v="TX500391"/>
    <x v="5"/>
    <x v="28"/>
    <n v="47.4"/>
    <x v="371"/>
    <d v="2025-01-17T00:00:00"/>
    <d v="2025-01-17T00:00:00"/>
    <s v="F"/>
    <x v="2"/>
    <x v="1"/>
    <x v="0"/>
    <x v="17"/>
    <x v="7"/>
    <x v="2"/>
    <x v="2"/>
  </r>
  <r>
    <s v="TX500392"/>
    <x v="2"/>
    <x v="0"/>
    <n v="74"/>
    <x v="372"/>
    <d v="2025-01-18T00:00:00"/>
    <d v="2025-01-19T00:00:00"/>
    <s v="M"/>
    <x v="1"/>
    <x v="0"/>
    <x v="0"/>
    <x v="11"/>
    <x v="3"/>
    <x v="2"/>
    <x v="1"/>
  </r>
  <r>
    <s v="TX500393"/>
    <x v="2"/>
    <x v="9"/>
    <n v="60.4"/>
    <x v="373"/>
    <d v="2025-01-18T00:00:00"/>
    <d v="2025-01-21T00:00:00"/>
    <s v="F"/>
    <x v="1"/>
    <x v="4"/>
    <x v="0"/>
    <x v="18"/>
    <x v="2"/>
    <x v="2"/>
    <x v="2"/>
  </r>
  <r>
    <s v="TX500394"/>
    <x v="12"/>
    <x v="1"/>
    <n v="69.3"/>
    <x v="374"/>
    <d v="2025-01-18T00:00:00"/>
    <d v="2025-01-21T00:00:00"/>
    <s v="M"/>
    <x v="1"/>
    <x v="1"/>
    <x v="0"/>
    <x v="13"/>
    <x v="2"/>
    <x v="2"/>
    <x v="1"/>
  </r>
  <r>
    <s v="TX500395"/>
    <x v="5"/>
    <x v="9"/>
    <n v="81"/>
    <x v="375"/>
    <d v="2025-01-18T00:00:00"/>
    <d v="2025-01-24T00:00:00"/>
    <s v="M"/>
    <x v="3"/>
    <x v="0"/>
    <x v="0"/>
    <x v="21"/>
    <x v="4"/>
    <x v="2"/>
    <x v="1"/>
  </r>
  <r>
    <s v="TX500396"/>
    <x v="15"/>
    <x v="2"/>
    <n v="41.5"/>
    <x v="376"/>
    <d v="2025-01-18T00:00:00"/>
    <d v="2025-01-20T00:00:00"/>
    <s v="O"/>
    <x v="1"/>
    <x v="0"/>
    <x v="0"/>
    <x v="21"/>
    <x v="1"/>
    <x v="2"/>
    <x v="3"/>
  </r>
  <r>
    <s v="TX500397"/>
    <x v="18"/>
    <x v="1"/>
    <n v="69.7"/>
    <x v="377"/>
    <d v="2025-01-18T00:00:00"/>
    <d v="2025-01-23T00:00:00"/>
    <s v="M"/>
    <x v="1"/>
    <x v="0"/>
    <x v="0"/>
    <x v="21"/>
    <x v="0"/>
    <x v="2"/>
    <x v="1"/>
  </r>
  <r>
    <s v="TX500398"/>
    <x v="2"/>
    <x v="9"/>
    <n v="83.6"/>
    <x v="378"/>
    <d v="2025-01-18T00:00:00"/>
    <d v="2025-01-18T00:00:00"/>
    <s v="F"/>
    <x v="4"/>
    <x v="0"/>
    <x v="0"/>
    <x v="1"/>
    <x v="7"/>
    <x v="2"/>
    <x v="2"/>
  </r>
  <r>
    <s v="TX500399"/>
    <x v="8"/>
    <x v="3"/>
    <n v="21.5"/>
    <x v="379"/>
    <d v="2025-01-18T00:00:00"/>
    <d v="2025-01-20T00:00:00"/>
    <s v="M"/>
    <x v="1"/>
    <x v="4"/>
    <x v="0"/>
    <x v="34"/>
    <x v="1"/>
    <x v="2"/>
    <x v="1"/>
  </r>
  <r>
    <s v="TX500400"/>
    <x v="8"/>
    <x v="8"/>
    <n v="28.6"/>
    <x v="27"/>
    <d v="2025-01-18T00:00:00"/>
    <d v="2025-01-19T00:00:00"/>
    <s v="M"/>
    <x v="0"/>
    <x v="0"/>
    <x v="0"/>
    <x v="3"/>
    <x v="3"/>
    <x v="2"/>
    <x v="1"/>
  </r>
  <r>
    <s v="TX500401"/>
    <x v="8"/>
    <x v="13"/>
    <n v="18.8"/>
    <x v="380"/>
    <d v="2025-01-18T00:00:00"/>
    <d v="2025-01-21T00:00:00"/>
    <s v="M"/>
    <x v="3"/>
    <x v="2"/>
    <x v="0"/>
    <x v="3"/>
    <x v="2"/>
    <x v="2"/>
    <x v="1"/>
  </r>
  <r>
    <s v="TX500402"/>
    <x v="10"/>
    <x v="12"/>
    <n v="35.1"/>
    <x v="381"/>
    <d v="2025-01-18T00:00:00"/>
    <d v="2025-01-18T00:00:00"/>
    <s v="F"/>
    <x v="1"/>
    <x v="1"/>
    <x v="0"/>
    <x v="3"/>
    <x v="7"/>
    <x v="2"/>
    <x v="2"/>
  </r>
  <r>
    <s v="TX500403"/>
    <x v="0"/>
    <x v="1"/>
    <n v="12.7"/>
    <x v="382"/>
    <d v="2025-01-18T00:00:00"/>
    <d v="2025-01-20T00:00:00"/>
    <s v="F"/>
    <x v="1"/>
    <x v="2"/>
    <x v="0"/>
    <x v="3"/>
    <x v="1"/>
    <x v="2"/>
    <x v="2"/>
  </r>
  <r>
    <s v="TX500404"/>
    <x v="8"/>
    <x v="9"/>
    <n v="27.4"/>
    <x v="383"/>
    <d v="2025-01-18T00:00:00"/>
    <d v="2025-01-20T00:00:00"/>
    <s v="O"/>
    <x v="0"/>
    <x v="0"/>
    <x v="0"/>
    <x v="3"/>
    <x v="1"/>
    <x v="2"/>
    <x v="3"/>
  </r>
  <r>
    <s v="TX500405"/>
    <x v="10"/>
    <x v="1"/>
    <n v="61.3"/>
    <x v="384"/>
    <d v="2025-01-18T00:00:00"/>
    <d v="2025-01-19T00:00:00"/>
    <s v="F"/>
    <x v="1"/>
    <x v="0"/>
    <x v="0"/>
    <x v="6"/>
    <x v="3"/>
    <x v="2"/>
    <x v="2"/>
  </r>
  <r>
    <s v="TX500406"/>
    <x v="8"/>
    <x v="1"/>
    <n v="64.7"/>
    <x v="385"/>
    <d v="2025-01-18T00:00:00"/>
    <d v="2025-01-20T00:00:00"/>
    <s v="F"/>
    <x v="3"/>
    <x v="2"/>
    <x v="0"/>
    <x v="6"/>
    <x v="1"/>
    <x v="2"/>
    <x v="2"/>
  </r>
  <r>
    <s v="TX500407"/>
    <x v="7"/>
    <x v="12"/>
    <n v="91.4"/>
    <x v="386"/>
    <d v="2025-01-18T00:00:00"/>
    <d v="2025-01-20T00:00:00"/>
    <s v="F"/>
    <x v="0"/>
    <x v="0"/>
    <x v="0"/>
    <x v="8"/>
    <x v="1"/>
    <x v="2"/>
    <x v="2"/>
  </r>
  <r>
    <s v="TX500408"/>
    <x v="0"/>
    <x v="1"/>
    <n v="33.1"/>
    <x v="387"/>
    <d v="2025-01-19T00:00:00"/>
    <d v="2025-01-20T00:00:00"/>
    <s v="M"/>
    <x v="0"/>
    <x v="2"/>
    <x v="0"/>
    <x v="8"/>
    <x v="3"/>
    <x v="3"/>
    <x v="1"/>
  </r>
  <r>
    <s v="TX500409"/>
    <x v="3"/>
    <x v="1"/>
    <n v="105.6"/>
    <x v="23"/>
    <d v="2025-01-19T00:00:00"/>
    <d v="2025-01-20T00:00:00"/>
    <s v="M"/>
    <x v="2"/>
    <x v="1"/>
    <x v="0"/>
    <x v="8"/>
    <x v="3"/>
    <x v="3"/>
    <x v="1"/>
  </r>
  <r>
    <s v="TX500410"/>
    <x v="10"/>
    <x v="2"/>
    <n v="46.4"/>
    <x v="388"/>
    <d v="2025-01-19T00:00:00"/>
    <d v="2025-01-20T00:00:00"/>
    <s v="M"/>
    <x v="2"/>
    <x v="0"/>
    <x v="0"/>
    <x v="9"/>
    <x v="3"/>
    <x v="3"/>
    <x v="1"/>
  </r>
  <r>
    <s v="TX500411"/>
    <x v="9"/>
    <x v="21"/>
    <n v="35.299999999999997"/>
    <x v="389"/>
    <d v="2025-01-19T00:00:00"/>
    <d v="2025-01-22T00:00:00"/>
    <s v="F"/>
    <x v="4"/>
    <x v="1"/>
    <x v="0"/>
    <x v="11"/>
    <x v="2"/>
    <x v="3"/>
    <x v="2"/>
  </r>
  <r>
    <s v="TX500412"/>
    <x v="0"/>
    <x v="1"/>
    <n v="16.100000000000001"/>
    <x v="390"/>
    <d v="2025-01-19T00:00:00"/>
    <d v="2025-01-21T00:00:00"/>
    <s v="M"/>
    <x v="3"/>
    <x v="2"/>
    <x v="0"/>
    <x v="32"/>
    <x v="1"/>
    <x v="3"/>
    <x v="1"/>
  </r>
  <r>
    <s v="TX500413"/>
    <x v="4"/>
    <x v="1"/>
    <n v="27.9"/>
    <x v="391"/>
    <d v="2025-01-19T00:00:00"/>
    <d v="2025-01-22T00:00:00"/>
    <s v="M"/>
    <x v="0"/>
    <x v="0"/>
    <x v="0"/>
    <x v="13"/>
    <x v="2"/>
    <x v="3"/>
    <x v="1"/>
  </r>
  <r>
    <s v="TX500414"/>
    <x v="8"/>
    <x v="0"/>
    <n v="47.1"/>
    <x v="392"/>
    <d v="2025-01-19T00:00:00"/>
    <d v="2025-01-27T00:00:00"/>
    <s v="F"/>
    <x v="1"/>
    <x v="0"/>
    <x v="0"/>
    <x v="2"/>
    <x v="9"/>
    <x v="3"/>
    <x v="2"/>
  </r>
  <r>
    <s v="TX500415"/>
    <x v="6"/>
    <x v="1"/>
    <n v="85"/>
    <x v="393"/>
    <d v="2025-01-19T00:00:00"/>
    <d v="2025-01-22T00:00:00"/>
    <s v=""/>
    <x v="2"/>
    <x v="2"/>
    <x v="0"/>
    <x v="22"/>
    <x v="2"/>
    <x v="3"/>
    <x v="0"/>
  </r>
  <r>
    <s v="TX500416"/>
    <x v="18"/>
    <x v="1"/>
    <n v="89"/>
    <x v="394"/>
    <d v="2025-01-19T00:00:00"/>
    <d v="2025-01-21T00:00:00"/>
    <s v="F"/>
    <x v="0"/>
    <x v="0"/>
    <x v="0"/>
    <x v="3"/>
    <x v="1"/>
    <x v="3"/>
    <x v="2"/>
  </r>
  <r>
    <s v="TX500417"/>
    <x v="16"/>
    <x v="2"/>
    <n v="36.6"/>
    <x v="17"/>
    <d v="2025-01-19T00:00:00"/>
    <d v="2025-01-20T00:00:00"/>
    <s v="O"/>
    <x v="3"/>
    <x v="2"/>
    <x v="0"/>
    <x v="3"/>
    <x v="3"/>
    <x v="3"/>
    <x v="3"/>
  </r>
  <r>
    <s v="TX500418"/>
    <x v="6"/>
    <x v="3"/>
    <n v="43.5"/>
    <x v="395"/>
    <d v="2025-01-19T00:00:00"/>
    <d v="2025-01-20T00:00:00"/>
    <s v="M"/>
    <x v="1"/>
    <x v="2"/>
    <x v="0"/>
    <x v="3"/>
    <x v="3"/>
    <x v="3"/>
    <x v="1"/>
  </r>
  <r>
    <s v="TX500419"/>
    <x v="9"/>
    <x v="10"/>
    <n v="30.5"/>
    <x v="396"/>
    <d v="2025-01-19T00:00:00"/>
    <d v="2025-01-19T00:00:00"/>
    <s v="F"/>
    <x v="3"/>
    <x v="0"/>
    <x v="0"/>
    <x v="3"/>
    <x v="7"/>
    <x v="3"/>
    <x v="2"/>
  </r>
  <r>
    <s v="TX500420"/>
    <x v="1"/>
    <x v="1"/>
    <n v="107.7"/>
    <x v="397"/>
    <d v="2025-01-19T00:00:00"/>
    <d v="2025-01-23T00:00:00"/>
    <s v="M"/>
    <x v="3"/>
    <x v="4"/>
    <x v="0"/>
    <x v="3"/>
    <x v="5"/>
    <x v="3"/>
    <x v="1"/>
  </r>
  <r>
    <s v="TX500421"/>
    <x v="17"/>
    <x v="18"/>
    <n v="57.1"/>
    <x v="398"/>
    <d v="2025-01-19T00:00:00"/>
    <d v="2025-01-20T00:00:00"/>
    <s v="M"/>
    <x v="1"/>
    <x v="0"/>
    <x v="0"/>
    <x v="3"/>
    <x v="3"/>
    <x v="3"/>
    <x v="1"/>
  </r>
  <r>
    <s v="TX500422"/>
    <x v="2"/>
    <x v="7"/>
    <n v="111.7"/>
    <x v="399"/>
    <d v="2025-01-19T00:00:00"/>
    <d v="2025-01-20T00:00:00"/>
    <s v="F"/>
    <x v="4"/>
    <x v="2"/>
    <x v="0"/>
    <x v="3"/>
    <x v="3"/>
    <x v="3"/>
    <x v="2"/>
  </r>
  <r>
    <s v="TX500423"/>
    <x v="18"/>
    <x v="3"/>
    <n v="44.3"/>
    <x v="400"/>
    <d v="2025-01-19T00:00:00"/>
    <d v="2025-01-22T00:00:00"/>
    <s v="M"/>
    <x v="3"/>
    <x v="2"/>
    <x v="0"/>
    <x v="3"/>
    <x v="2"/>
    <x v="3"/>
    <x v="1"/>
  </r>
  <r>
    <s v="TX500424"/>
    <x v="2"/>
    <x v="8"/>
    <n v="95.8"/>
    <x v="401"/>
    <d v="2025-01-19T00:00:00"/>
    <d v="2025-01-25T00:00:00"/>
    <s v="O"/>
    <x v="0"/>
    <x v="0"/>
    <x v="0"/>
    <x v="3"/>
    <x v="4"/>
    <x v="3"/>
    <x v="3"/>
  </r>
  <r>
    <s v="TX500425"/>
    <x v="10"/>
    <x v="3"/>
    <n v="22.6"/>
    <x v="402"/>
    <d v="2025-01-19T00:00:00"/>
    <d v="2025-01-22T00:00:00"/>
    <s v="F"/>
    <x v="3"/>
    <x v="1"/>
    <x v="0"/>
    <x v="3"/>
    <x v="2"/>
    <x v="3"/>
    <x v="2"/>
  </r>
  <r>
    <s v="TX500426"/>
    <x v="8"/>
    <x v="8"/>
    <n v="25.6"/>
    <x v="403"/>
    <d v="2025-01-19T00:00:00"/>
    <d v="2025-01-21T00:00:00"/>
    <s v="F"/>
    <x v="4"/>
    <x v="0"/>
    <x v="0"/>
    <x v="3"/>
    <x v="1"/>
    <x v="3"/>
    <x v="2"/>
  </r>
  <r>
    <s v="TX500427"/>
    <x v="6"/>
    <x v="27"/>
    <n v="54.3"/>
    <x v="404"/>
    <d v="2025-01-19T00:00:00"/>
    <d v="2025-01-22T00:00:00"/>
    <s v="F"/>
    <x v="4"/>
    <x v="0"/>
    <x v="0"/>
    <x v="3"/>
    <x v="2"/>
    <x v="3"/>
    <x v="2"/>
  </r>
  <r>
    <s v="TX500428"/>
    <x v="18"/>
    <x v="15"/>
    <n v="51.3"/>
    <x v="405"/>
    <d v="2025-01-19T00:00:00"/>
    <d v="2025-01-21T00:00:00"/>
    <s v="M"/>
    <x v="0"/>
    <x v="2"/>
    <x v="0"/>
    <x v="3"/>
    <x v="1"/>
    <x v="3"/>
    <x v="1"/>
  </r>
  <r>
    <s v="TX500429"/>
    <x v="0"/>
    <x v="8"/>
    <n v="25.6"/>
    <x v="403"/>
    <d v="2025-01-19T00:00:00"/>
    <d v="2025-01-20T00:00:00"/>
    <s v="F"/>
    <x v="1"/>
    <x v="1"/>
    <x v="0"/>
    <x v="3"/>
    <x v="3"/>
    <x v="3"/>
    <x v="2"/>
  </r>
  <r>
    <s v="TX500430"/>
    <x v="0"/>
    <x v="1"/>
    <n v="15.6"/>
    <x v="406"/>
    <d v="2025-01-19T00:00:00"/>
    <d v="2025-01-20T00:00:00"/>
    <s v="F"/>
    <x v="2"/>
    <x v="2"/>
    <x v="0"/>
    <x v="3"/>
    <x v="3"/>
    <x v="3"/>
    <x v="2"/>
  </r>
  <r>
    <s v="TX500431"/>
    <x v="8"/>
    <x v="2"/>
    <n v="30.3"/>
    <x v="407"/>
    <d v="2025-01-19T00:00:00"/>
    <d v="2025-01-23T00:00:00"/>
    <s v="F"/>
    <x v="0"/>
    <x v="1"/>
    <x v="0"/>
    <x v="3"/>
    <x v="5"/>
    <x v="3"/>
    <x v="2"/>
  </r>
  <r>
    <s v="TX500432"/>
    <x v="12"/>
    <x v="1"/>
    <n v="30.3"/>
    <x v="408"/>
    <d v="2025-01-19T00:00:00"/>
    <d v="2025-01-24T00:00:00"/>
    <s v="F"/>
    <x v="0"/>
    <x v="2"/>
    <x v="0"/>
    <x v="37"/>
    <x v="0"/>
    <x v="3"/>
    <x v="2"/>
  </r>
  <r>
    <s v="TX500433"/>
    <x v="10"/>
    <x v="2"/>
    <n v="53"/>
    <x v="409"/>
    <d v="2025-01-19T00:00:00"/>
    <d v="2025-01-26T00:00:00"/>
    <s v="F"/>
    <x v="2"/>
    <x v="0"/>
    <x v="0"/>
    <x v="24"/>
    <x v="6"/>
    <x v="3"/>
    <x v="2"/>
  </r>
  <r>
    <s v="TX500434"/>
    <x v="5"/>
    <x v="16"/>
    <n v="59.9"/>
    <x v="410"/>
    <d v="2025-01-19T00:00:00"/>
    <d v="2025-01-22T00:00:00"/>
    <s v="M"/>
    <x v="2"/>
    <x v="4"/>
    <x v="0"/>
    <x v="25"/>
    <x v="2"/>
    <x v="3"/>
    <x v="1"/>
  </r>
  <r>
    <s v="TX500435"/>
    <x v="9"/>
    <x v="1"/>
    <n v="45.7"/>
    <x v="411"/>
    <d v="2025-01-19T00:00:00"/>
    <d v="2025-01-20T00:00:00"/>
    <s v="F"/>
    <x v="1"/>
    <x v="2"/>
    <x v="0"/>
    <x v="6"/>
    <x v="3"/>
    <x v="3"/>
    <x v="2"/>
  </r>
  <r>
    <s v="TX500436"/>
    <x v="8"/>
    <x v="12"/>
    <n v="46.1"/>
    <x v="412"/>
    <d v="2025-01-19T00:00:00"/>
    <d v="2025-01-20T00:00:00"/>
    <s v="M"/>
    <x v="0"/>
    <x v="0"/>
    <x v="0"/>
    <x v="6"/>
    <x v="3"/>
    <x v="3"/>
    <x v="1"/>
  </r>
  <r>
    <s v="TX500437"/>
    <x v="8"/>
    <x v="2"/>
    <n v="17.5"/>
    <x v="413"/>
    <d v="2025-01-19T00:00:00"/>
    <d v="2025-01-20T00:00:00"/>
    <s v="F"/>
    <x v="0"/>
    <x v="2"/>
    <x v="0"/>
    <x v="8"/>
    <x v="3"/>
    <x v="3"/>
    <x v="2"/>
  </r>
  <r>
    <s v="TX500438"/>
    <x v="10"/>
    <x v="2"/>
    <n v="36.5"/>
    <x v="414"/>
    <d v="2025-01-19T00:00:00"/>
    <d v="2025-01-30T00:00:00"/>
    <s v="M"/>
    <x v="2"/>
    <x v="0"/>
    <x v="0"/>
    <x v="8"/>
    <x v="11"/>
    <x v="3"/>
    <x v="1"/>
  </r>
  <r>
    <s v="TX500439"/>
    <x v="8"/>
    <x v="1"/>
    <n v="47.5"/>
    <x v="415"/>
    <d v="2025-01-20T00:00:00"/>
    <d v="2025-01-22T00:00:00"/>
    <s v="F"/>
    <x v="1"/>
    <x v="0"/>
    <x v="0"/>
    <x v="8"/>
    <x v="1"/>
    <x v="3"/>
    <x v="2"/>
  </r>
  <r>
    <s v="TX500440"/>
    <x v="6"/>
    <x v="9"/>
    <n v="45.6"/>
    <x v="416"/>
    <d v="2025-01-20T00:00:00"/>
    <d v="2025-01-22T00:00:00"/>
    <s v="F"/>
    <x v="0"/>
    <x v="2"/>
    <x v="0"/>
    <x v="8"/>
    <x v="1"/>
    <x v="3"/>
    <x v="2"/>
  </r>
  <r>
    <s v="TX500441"/>
    <x v="9"/>
    <x v="1"/>
    <n v="50.5"/>
    <x v="95"/>
    <d v="2025-01-20T00:00:00"/>
    <d v="2025-01-22T00:00:00"/>
    <s v="M"/>
    <x v="0"/>
    <x v="1"/>
    <x v="0"/>
    <x v="17"/>
    <x v="1"/>
    <x v="3"/>
    <x v="1"/>
  </r>
  <r>
    <s v="TX500442"/>
    <x v="2"/>
    <x v="7"/>
    <n v="99.8"/>
    <x v="417"/>
    <d v="2025-01-20T00:00:00"/>
    <d v="2025-01-23T00:00:00"/>
    <s v="F"/>
    <x v="2"/>
    <x v="1"/>
    <x v="0"/>
    <x v="17"/>
    <x v="2"/>
    <x v="3"/>
    <x v="2"/>
  </r>
  <r>
    <s v="TX500443"/>
    <x v="8"/>
    <x v="20"/>
    <n v="19.2"/>
    <x v="346"/>
    <d v="2025-01-20T00:00:00"/>
    <d v="2025-01-22T00:00:00"/>
    <s v="O"/>
    <x v="4"/>
    <x v="1"/>
    <x v="0"/>
    <x v="26"/>
    <x v="1"/>
    <x v="3"/>
    <x v="3"/>
  </r>
  <r>
    <s v="TX500444"/>
    <x v="17"/>
    <x v="2"/>
    <n v="22.6"/>
    <x v="418"/>
    <d v="2025-01-20T00:00:00"/>
    <d v="2025-01-21T00:00:00"/>
    <s v="M"/>
    <x v="1"/>
    <x v="0"/>
    <x v="0"/>
    <x v="11"/>
    <x v="3"/>
    <x v="3"/>
    <x v="1"/>
  </r>
  <r>
    <s v="TX500445"/>
    <x v="1"/>
    <x v="20"/>
    <n v="126.9"/>
    <x v="419"/>
    <d v="2025-01-20T00:00:00"/>
    <d v="2025-01-22T00:00:00"/>
    <s v="F"/>
    <x v="0"/>
    <x v="2"/>
    <x v="0"/>
    <x v="11"/>
    <x v="1"/>
    <x v="3"/>
    <x v="2"/>
  </r>
  <r>
    <s v="TX500446"/>
    <x v="2"/>
    <x v="1"/>
    <n v="100.3"/>
    <x v="420"/>
    <d v="2025-01-20T00:00:00"/>
    <d v="2025-01-21T00:00:00"/>
    <s v="F"/>
    <x v="0"/>
    <x v="1"/>
    <x v="0"/>
    <x v="11"/>
    <x v="3"/>
    <x v="3"/>
    <x v="2"/>
  </r>
  <r>
    <s v="TX500447"/>
    <x v="4"/>
    <x v="16"/>
    <n v="24.6"/>
    <x v="421"/>
    <d v="2025-01-20T00:00:00"/>
    <d v="2025-01-21T00:00:00"/>
    <s v="F"/>
    <x v="4"/>
    <x v="0"/>
    <x v="0"/>
    <x v="13"/>
    <x v="3"/>
    <x v="3"/>
    <x v="2"/>
  </r>
  <r>
    <s v="TX500448"/>
    <x v="6"/>
    <x v="1"/>
    <n v="47.3"/>
    <x v="422"/>
    <d v="2025-01-20T00:00:00"/>
    <d v="2025-01-21T00:00:00"/>
    <s v="M"/>
    <x v="1"/>
    <x v="2"/>
    <x v="0"/>
    <x v="13"/>
    <x v="3"/>
    <x v="3"/>
    <x v="1"/>
  </r>
  <r>
    <s v="TX500449"/>
    <x v="6"/>
    <x v="3"/>
    <n v="40.799999999999997"/>
    <x v="423"/>
    <d v="2025-01-20T00:00:00"/>
    <d v="2025-01-23T00:00:00"/>
    <s v="F"/>
    <x v="2"/>
    <x v="2"/>
    <x v="0"/>
    <x v="21"/>
    <x v="2"/>
    <x v="3"/>
    <x v="2"/>
  </r>
  <r>
    <s v="TX500450"/>
    <x v="8"/>
    <x v="8"/>
    <n v="49.2"/>
    <x v="424"/>
    <d v="2025-01-20T00:00:00"/>
    <d v="2025-01-22T00:00:00"/>
    <s v="F"/>
    <x v="0"/>
    <x v="0"/>
    <x v="0"/>
    <x v="1"/>
    <x v="1"/>
    <x v="3"/>
    <x v="2"/>
  </r>
  <r>
    <s v="TX500451"/>
    <x v="8"/>
    <x v="0"/>
    <n v="28.5"/>
    <x v="425"/>
    <d v="2025-01-20T00:00:00"/>
    <d v="2025-01-22T00:00:00"/>
    <s v=""/>
    <x v="2"/>
    <x v="1"/>
    <x v="0"/>
    <x v="3"/>
    <x v="1"/>
    <x v="3"/>
    <x v="0"/>
  </r>
  <r>
    <s v="TX500452"/>
    <x v="18"/>
    <x v="1"/>
    <n v="36.799999999999997"/>
    <x v="426"/>
    <d v="2025-01-20T00:00:00"/>
    <d v="2025-01-26T00:00:00"/>
    <s v="F"/>
    <x v="0"/>
    <x v="2"/>
    <x v="0"/>
    <x v="3"/>
    <x v="4"/>
    <x v="3"/>
    <x v="2"/>
  </r>
  <r>
    <s v="TX500453"/>
    <x v="7"/>
    <x v="2"/>
    <n v="33.5"/>
    <x v="427"/>
    <d v="2025-01-20T00:00:00"/>
    <d v="2025-01-21T00:00:00"/>
    <s v="F"/>
    <x v="0"/>
    <x v="1"/>
    <x v="0"/>
    <x v="3"/>
    <x v="3"/>
    <x v="3"/>
    <x v="2"/>
  </r>
  <r>
    <s v="TX500454"/>
    <x v="6"/>
    <x v="13"/>
    <n v="62.5"/>
    <x v="428"/>
    <d v="2025-01-20T00:00:00"/>
    <d v="2025-01-22T00:00:00"/>
    <s v="F"/>
    <x v="0"/>
    <x v="0"/>
    <x v="0"/>
    <x v="3"/>
    <x v="1"/>
    <x v="3"/>
    <x v="2"/>
  </r>
  <r>
    <s v="TX500455"/>
    <x v="8"/>
    <x v="29"/>
    <n v="47.9"/>
    <x v="429"/>
    <d v="2025-01-20T00:00:00"/>
    <d v="2025-01-21T00:00:00"/>
    <s v="F"/>
    <x v="3"/>
    <x v="0"/>
    <x v="0"/>
    <x v="3"/>
    <x v="3"/>
    <x v="3"/>
    <x v="2"/>
  </r>
  <r>
    <s v="TX500456"/>
    <x v="6"/>
    <x v="13"/>
    <n v="92.9"/>
    <x v="430"/>
    <d v="2025-01-20T00:00:00"/>
    <d v="2025-01-31T00:00:00"/>
    <s v="F"/>
    <x v="0"/>
    <x v="4"/>
    <x v="0"/>
    <x v="3"/>
    <x v="11"/>
    <x v="3"/>
    <x v="2"/>
  </r>
  <r>
    <s v="TX500457"/>
    <x v="12"/>
    <x v="2"/>
    <n v="44.1"/>
    <x v="431"/>
    <d v="2025-01-20T00:00:00"/>
    <d v="2025-01-20T00:00:00"/>
    <s v="F"/>
    <x v="1"/>
    <x v="1"/>
    <x v="0"/>
    <x v="43"/>
    <x v="7"/>
    <x v="3"/>
    <x v="2"/>
  </r>
  <r>
    <s v="TX500458"/>
    <x v="0"/>
    <x v="0"/>
    <n v="11.4"/>
    <x v="432"/>
    <d v="2025-01-21T00:00:00"/>
    <d v="2025-01-23T00:00:00"/>
    <s v="F"/>
    <x v="2"/>
    <x v="0"/>
    <x v="0"/>
    <x v="5"/>
    <x v="1"/>
    <x v="3"/>
    <x v="2"/>
  </r>
  <r>
    <s v="TX500459"/>
    <x v="6"/>
    <x v="0"/>
    <n v="83.7"/>
    <x v="433"/>
    <d v="2025-01-21T00:00:00"/>
    <d v="2025-01-23T00:00:00"/>
    <s v="F"/>
    <x v="0"/>
    <x v="2"/>
    <x v="0"/>
    <x v="6"/>
    <x v="1"/>
    <x v="3"/>
    <x v="2"/>
  </r>
  <r>
    <s v="TX500460"/>
    <x v="10"/>
    <x v="1"/>
    <n v="23.2"/>
    <x v="434"/>
    <d v="2025-01-21T00:00:00"/>
    <d v="2025-01-22T00:00:00"/>
    <s v="M"/>
    <x v="2"/>
    <x v="0"/>
    <x v="0"/>
    <x v="8"/>
    <x v="3"/>
    <x v="3"/>
    <x v="1"/>
  </r>
  <r>
    <s v="TX500461"/>
    <x v="2"/>
    <x v="0"/>
    <n v="162.1"/>
    <x v="435"/>
    <d v="2025-01-21T00:00:00"/>
    <d v="2025-01-24T00:00:00"/>
    <s v="F"/>
    <x v="0"/>
    <x v="2"/>
    <x v="0"/>
    <x v="9"/>
    <x v="2"/>
    <x v="3"/>
    <x v="2"/>
  </r>
  <r>
    <s v="TX500462"/>
    <x v="6"/>
    <x v="12"/>
    <n v="49.2"/>
    <x v="436"/>
    <d v="2025-01-21T00:00:00"/>
    <d v="2025-01-25T00:00:00"/>
    <s v="M"/>
    <x v="1"/>
    <x v="0"/>
    <x v="0"/>
    <x v="9"/>
    <x v="5"/>
    <x v="3"/>
    <x v="1"/>
  </r>
  <r>
    <s v="TX500463"/>
    <x v="1"/>
    <x v="1"/>
    <n v="61"/>
    <x v="164"/>
    <d v="2025-01-21T00:00:00"/>
    <d v="2025-01-22T00:00:00"/>
    <s v="M"/>
    <x v="3"/>
    <x v="0"/>
    <x v="0"/>
    <x v="10"/>
    <x v="3"/>
    <x v="3"/>
    <x v="1"/>
  </r>
  <r>
    <s v="TX500464"/>
    <x v="2"/>
    <x v="7"/>
    <n v="53.1"/>
    <x v="437"/>
    <d v="2025-01-21T00:00:00"/>
    <d v="2025-01-23T00:00:00"/>
    <s v="M"/>
    <x v="0"/>
    <x v="0"/>
    <x v="0"/>
    <x v="11"/>
    <x v="1"/>
    <x v="3"/>
    <x v="1"/>
  </r>
  <r>
    <s v="TX500465"/>
    <x v="4"/>
    <x v="1"/>
    <n v="22.4"/>
    <x v="438"/>
    <d v="2025-01-21T00:00:00"/>
    <d v="2025-01-23T00:00:00"/>
    <s v=""/>
    <x v="1"/>
    <x v="2"/>
    <x v="0"/>
    <x v="13"/>
    <x v="1"/>
    <x v="3"/>
    <x v="0"/>
  </r>
  <r>
    <s v="TX500466"/>
    <x v="1"/>
    <x v="9"/>
    <n v="75.3"/>
    <x v="439"/>
    <d v="2025-01-21T00:00:00"/>
    <d v="2025-01-22T00:00:00"/>
    <s v="M"/>
    <x v="0"/>
    <x v="0"/>
    <x v="0"/>
    <x v="21"/>
    <x v="3"/>
    <x v="3"/>
    <x v="1"/>
  </r>
  <r>
    <s v="TX500467"/>
    <x v="6"/>
    <x v="0"/>
    <n v="48.5"/>
    <x v="319"/>
    <d v="2025-01-21T00:00:00"/>
    <d v="2025-01-22T00:00:00"/>
    <s v="F"/>
    <x v="0"/>
    <x v="1"/>
    <x v="0"/>
    <x v="21"/>
    <x v="3"/>
    <x v="3"/>
    <x v="2"/>
  </r>
  <r>
    <s v="TX500468"/>
    <x v="6"/>
    <x v="0"/>
    <n v="42.6"/>
    <x v="440"/>
    <d v="2025-01-21T00:00:00"/>
    <d v="2025-01-25T00:00:00"/>
    <s v="F"/>
    <x v="3"/>
    <x v="0"/>
    <x v="0"/>
    <x v="1"/>
    <x v="5"/>
    <x v="3"/>
    <x v="2"/>
  </r>
  <r>
    <s v="TX500469"/>
    <x v="5"/>
    <x v="9"/>
    <n v="49"/>
    <x v="441"/>
    <d v="2025-01-21T00:00:00"/>
    <d v="2025-01-22T00:00:00"/>
    <s v="M"/>
    <x v="0"/>
    <x v="0"/>
    <x v="0"/>
    <x v="22"/>
    <x v="3"/>
    <x v="3"/>
    <x v="1"/>
  </r>
  <r>
    <s v="TX500470"/>
    <x v="8"/>
    <x v="2"/>
    <n v="31.3"/>
    <x v="442"/>
    <d v="2025-01-21T00:00:00"/>
    <d v="2025-01-22T00:00:00"/>
    <s v="M"/>
    <x v="2"/>
    <x v="1"/>
    <x v="0"/>
    <x v="3"/>
    <x v="3"/>
    <x v="3"/>
    <x v="1"/>
  </r>
  <r>
    <s v="TX500471"/>
    <x v="2"/>
    <x v="1"/>
    <n v="85.4"/>
    <x v="443"/>
    <d v="2025-01-21T00:00:00"/>
    <d v="2025-01-22T00:00:00"/>
    <s v="F"/>
    <x v="2"/>
    <x v="0"/>
    <x v="0"/>
    <x v="3"/>
    <x v="3"/>
    <x v="3"/>
    <x v="2"/>
  </r>
  <r>
    <s v="TX500472"/>
    <x v="8"/>
    <x v="12"/>
    <n v="40"/>
    <x v="444"/>
    <d v="2025-01-21T00:00:00"/>
    <d v="2025-01-22T00:00:00"/>
    <s v="O"/>
    <x v="0"/>
    <x v="2"/>
    <x v="0"/>
    <x v="3"/>
    <x v="3"/>
    <x v="3"/>
    <x v="3"/>
  </r>
  <r>
    <s v="TX500473"/>
    <x v="5"/>
    <x v="1"/>
    <n v="38.5"/>
    <x v="445"/>
    <d v="2025-01-21T00:00:00"/>
    <d v="2025-01-24T00:00:00"/>
    <s v="M"/>
    <x v="1"/>
    <x v="2"/>
    <x v="0"/>
    <x v="3"/>
    <x v="2"/>
    <x v="3"/>
    <x v="1"/>
  </r>
  <r>
    <s v="TX500474"/>
    <x v="2"/>
    <x v="1"/>
    <n v="57.8"/>
    <x v="446"/>
    <d v="2025-01-21T00:00:00"/>
    <d v="2025-01-22T00:00:00"/>
    <s v=""/>
    <x v="0"/>
    <x v="0"/>
    <x v="0"/>
    <x v="3"/>
    <x v="3"/>
    <x v="3"/>
    <x v="0"/>
  </r>
  <r>
    <s v="TX500475"/>
    <x v="8"/>
    <x v="0"/>
    <n v="19.2"/>
    <x v="447"/>
    <d v="2025-01-21T00:00:00"/>
    <d v="2025-01-22T00:00:00"/>
    <s v="F"/>
    <x v="0"/>
    <x v="4"/>
    <x v="0"/>
    <x v="3"/>
    <x v="3"/>
    <x v="3"/>
    <x v="2"/>
  </r>
  <r>
    <s v="TX500476"/>
    <x v="6"/>
    <x v="13"/>
    <n v="114.8"/>
    <x v="448"/>
    <d v="2025-01-21T00:00:00"/>
    <d v="2025-01-24T00:00:00"/>
    <s v="M"/>
    <x v="1"/>
    <x v="1"/>
    <x v="0"/>
    <x v="3"/>
    <x v="2"/>
    <x v="3"/>
    <x v="1"/>
  </r>
  <r>
    <s v="TX500477"/>
    <x v="10"/>
    <x v="3"/>
    <n v="48.4"/>
    <x v="449"/>
    <d v="2025-01-21T00:00:00"/>
    <d v="2025-01-24T00:00:00"/>
    <s v="F"/>
    <x v="3"/>
    <x v="1"/>
    <x v="0"/>
    <x v="3"/>
    <x v="2"/>
    <x v="3"/>
    <x v="2"/>
  </r>
  <r>
    <s v="TX500478"/>
    <x v="9"/>
    <x v="9"/>
    <n v="73.2"/>
    <x v="450"/>
    <d v="2025-01-21T00:00:00"/>
    <d v="2025-01-22T00:00:00"/>
    <s v="F"/>
    <x v="1"/>
    <x v="4"/>
    <x v="0"/>
    <x v="3"/>
    <x v="3"/>
    <x v="3"/>
    <x v="2"/>
  </r>
  <r>
    <s v="TX500479"/>
    <x v="15"/>
    <x v="1"/>
    <n v="48.6"/>
    <x v="451"/>
    <d v="2025-01-21T00:00:00"/>
    <d v="2025-01-25T00:00:00"/>
    <s v="F"/>
    <x v="3"/>
    <x v="0"/>
    <x v="0"/>
    <x v="3"/>
    <x v="5"/>
    <x v="3"/>
    <x v="2"/>
  </r>
  <r>
    <s v="TX500480"/>
    <x v="0"/>
    <x v="13"/>
    <n v="48.7"/>
    <x v="452"/>
    <d v="2025-01-21T00:00:00"/>
    <d v="2025-01-22T00:00:00"/>
    <s v="M"/>
    <x v="0"/>
    <x v="0"/>
    <x v="0"/>
    <x v="3"/>
    <x v="3"/>
    <x v="3"/>
    <x v="1"/>
  </r>
  <r>
    <s v="TX500481"/>
    <x v="4"/>
    <x v="1"/>
    <n v="32.200000000000003"/>
    <x v="453"/>
    <d v="2025-01-21T00:00:00"/>
    <d v="2025-01-24T00:00:00"/>
    <s v="M"/>
    <x v="2"/>
    <x v="2"/>
    <x v="0"/>
    <x v="3"/>
    <x v="2"/>
    <x v="3"/>
    <x v="1"/>
  </r>
  <r>
    <s v="TX500482"/>
    <x v="15"/>
    <x v="8"/>
    <n v="25.8"/>
    <x v="454"/>
    <d v="2025-01-21T00:00:00"/>
    <d v="2025-01-22T00:00:00"/>
    <s v="M"/>
    <x v="0"/>
    <x v="0"/>
    <x v="0"/>
    <x v="37"/>
    <x v="3"/>
    <x v="3"/>
    <x v="1"/>
  </r>
  <r>
    <s v="TX500483"/>
    <x v="6"/>
    <x v="1"/>
    <n v="94.8"/>
    <x v="455"/>
    <d v="2025-01-22T00:00:00"/>
    <d v="2025-01-25T00:00:00"/>
    <s v="F"/>
    <x v="1"/>
    <x v="1"/>
    <x v="0"/>
    <x v="25"/>
    <x v="2"/>
    <x v="3"/>
    <x v="2"/>
  </r>
  <r>
    <s v="TX500484"/>
    <x v="15"/>
    <x v="30"/>
    <n v="56.8"/>
    <x v="456"/>
    <d v="2025-01-22T00:00:00"/>
    <d v="2025-01-25T00:00:00"/>
    <s v="M"/>
    <x v="0"/>
    <x v="0"/>
    <x v="0"/>
    <x v="25"/>
    <x v="2"/>
    <x v="3"/>
    <x v="1"/>
  </r>
  <r>
    <s v="TX500485"/>
    <x v="8"/>
    <x v="27"/>
    <n v="18.3"/>
    <x v="457"/>
    <d v="2025-01-22T00:00:00"/>
    <d v="2025-01-29T00:00:00"/>
    <s v="F"/>
    <x v="2"/>
    <x v="2"/>
    <x v="0"/>
    <x v="23"/>
    <x v="6"/>
    <x v="3"/>
    <x v="2"/>
  </r>
  <r>
    <s v="TX500486"/>
    <x v="0"/>
    <x v="2"/>
    <n v="16.8"/>
    <x v="458"/>
    <d v="2025-01-22T00:00:00"/>
    <d v="2025-01-27T00:00:00"/>
    <s v="F"/>
    <x v="2"/>
    <x v="2"/>
    <x v="0"/>
    <x v="8"/>
    <x v="0"/>
    <x v="3"/>
    <x v="2"/>
  </r>
  <r>
    <s v="TX500487"/>
    <x v="5"/>
    <x v="5"/>
    <n v="35.799999999999997"/>
    <x v="459"/>
    <d v="2025-01-22T00:00:00"/>
    <d v="2025-01-23T00:00:00"/>
    <s v="M"/>
    <x v="1"/>
    <x v="0"/>
    <x v="0"/>
    <x v="17"/>
    <x v="3"/>
    <x v="3"/>
    <x v="1"/>
  </r>
  <r>
    <s v="TX500488"/>
    <x v="18"/>
    <x v="0"/>
    <n v="64.900000000000006"/>
    <x v="460"/>
    <d v="2025-01-22T00:00:00"/>
    <d v="2025-01-23T00:00:00"/>
    <s v="M"/>
    <x v="0"/>
    <x v="1"/>
    <x v="0"/>
    <x v="17"/>
    <x v="3"/>
    <x v="3"/>
    <x v="1"/>
  </r>
  <r>
    <s v="TX500489"/>
    <x v="18"/>
    <x v="0"/>
    <n v="28.5"/>
    <x v="425"/>
    <d v="2025-01-22T00:00:00"/>
    <d v="2025-01-24T00:00:00"/>
    <s v=""/>
    <x v="1"/>
    <x v="0"/>
    <x v="0"/>
    <x v="9"/>
    <x v="1"/>
    <x v="3"/>
    <x v="0"/>
  </r>
  <r>
    <s v="TX500490"/>
    <x v="18"/>
    <x v="1"/>
    <n v="103.5"/>
    <x v="461"/>
    <d v="2025-01-22T00:00:00"/>
    <d v="2025-01-24T00:00:00"/>
    <s v="F"/>
    <x v="1"/>
    <x v="0"/>
    <x v="0"/>
    <x v="10"/>
    <x v="1"/>
    <x v="3"/>
    <x v="2"/>
  </r>
  <r>
    <s v="TX500491"/>
    <x v="4"/>
    <x v="1"/>
    <n v="41.2"/>
    <x v="462"/>
    <d v="2025-01-22T00:00:00"/>
    <d v="2025-01-23T00:00:00"/>
    <s v="F"/>
    <x v="1"/>
    <x v="0"/>
    <x v="0"/>
    <x v="10"/>
    <x v="3"/>
    <x v="3"/>
    <x v="2"/>
  </r>
  <r>
    <s v="TX500492"/>
    <x v="9"/>
    <x v="0"/>
    <n v="37.799999999999997"/>
    <x v="463"/>
    <d v="2025-01-22T00:00:00"/>
    <d v="2025-01-24T00:00:00"/>
    <s v="F"/>
    <x v="3"/>
    <x v="3"/>
    <x v="0"/>
    <x v="11"/>
    <x v="1"/>
    <x v="3"/>
    <x v="2"/>
  </r>
  <r>
    <s v="TX500493"/>
    <x v="8"/>
    <x v="1"/>
    <n v="42.6"/>
    <x v="464"/>
    <d v="2025-01-22T00:00:00"/>
    <d v="2025-01-24T00:00:00"/>
    <s v="F"/>
    <x v="4"/>
    <x v="0"/>
    <x v="0"/>
    <x v="11"/>
    <x v="1"/>
    <x v="3"/>
    <x v="2"/>
  </r>
  <r>
    <s v="TX500494"/>
    <x v="8"/>
    <x v="7"/>
    <n v="15.2"/>
    <x v="465"/>
    <d v="2025-01-22T00:00:00"/>
    <d v="2025-01-24T00:00:00"/>
    <s v="F"/>
    <x v="2"/>
    <x v="0"/>
    <x v="0"/>
    <x v="11"/>
    <x v="1"/>
    <x v="3"/>
    <x v="2"/>
  </r>
  <r>
    <s v="TX500495"/>
    <x v="7"/>
    <x v="12"/>
    <n v="83.4"/>
    <x v="335"/>
    <d v="2025-01-22T00:00:00"/>
    <d v="2025-01-23T00:00:00"/>
    <s v="F"/>
    <x v="2"/>
    <x v="1"/>
    <x v="0"/>
    <x v="18"/>
    <x v="3"/>
    <x v="3"/>
    <x v="2"/>
  </r>
  <r>
    <s v="TX500496"/>
    <x v="19"/>
    <x v="1"/>
    <n v="27.7"/>
    <x v="466"/>
    <d v="2025-01-22T00:00:00"/>
    <d v="2025-01-23T00:00:00"/>
    <s v="F"/>
    <x v="0"/>
    <x v="1"/>
    <x v="0"/>
    <x v="13"/>
    <x v="3"/>
    <x v="3"/>
    <x v="2"/>
  </r>
  <r>
    <s v="TX500497"/>
    <x v="10"/>
    <x v="4"/>
    <n v="20.8"/>
    <x v="467"/>
    <d v="2025-01-22T00:00:00"/>
    <d v="2025-01-23T00:00:00"/>
    <s v="M"/>
    <x v="3"/>
    <x v="0"/>
    <x v="0"/>
    <x v="13"/>
    <x v="3"/>
    <x v="3"/>
    <x v="1"/>
  </r>
  <r>
    <s v="TX500498"/>
    <x v="11"/>
    <x v="1"/>
    <n v="72.7"/>
    <x v="468"/>
    <d v="2025-01-22T00:00:00"/>
    <d v="2025-01-26T00:00:00"/>
    <s v="F"/>
    <x v="4"/>
    <x v="2"/>
    <x v="0"/>
    <x v="44"/>
    <x v="5"/>
    <x v="3"/>
    <x v="2"/>
  </r>
  <r>
    <s v="TX500499"/>
    <x v="10"/>
    <x v="12"/>
    <n v="38.6"/>
    <x v="55"/>
    <d v="2025-01-22T00:00:00"/>
    <d v="2025-01-23T00:00:00"/>
    <s v="M"/>
    <x v="0"/>
    <x v="2"/>
    <x v="0"/>
    <x v="22"/>
    <x v="3"/>
    <x v="3"/>
    <x v="1"/>
  </r>
  <r>
    <s v="TX500500"/>
    <x v="8"/>
    <x v="3"/>
    <n v="33.1"/>
    <x v="217"/>
    <d v="2025-01-22T00:00:00"/>
    <d v="2025-01-23T00:00:00"/>
    <s v="O"/>
    <x v="4"/>
    <x v="3"/>
    <x v="0"/>
    <x v="3"/>
    <x v="3"/>
    <x v="3"/>
    <x v="3"/>
  </r>
  <r>
    <s v="TX500501"/>
    <x v="10"/>
    <x v="1"/>
    <n v="30.5"/>
    <x v="170"/>
    <d v="2025-01-22T00:00:00"/>
    <d v="2025-01-22T00:00:00"/>
    <s v=""/>
    <x v="1"/>
    <x v="1"/>
    <x v="0"/>
    <x v="3"/>
    <x v="7"/>
    <x v="3"/>
    <x v="0"/>
  </r>
  <r>
    <s v="TX500502"/>
    <x v="9"/>
    <x v="1"/>
    <n v="69.599999999999994"/>
    <x v="388"/>
    <d v="2025-01-22T00:00:00"/>
    <d v="2025-01-23T00:00:00"/>
    <s v="M"/>
    <x v="0"/>
    <x v="1"/>
    <x v="0"/>
    <x v="3"/>
    <x v="3"/>
    <x v="3"/>
    <x v="1"/>
  </r>
  <r>
    <s v="TX500503"/>
    <x v="11"/>
    <x v="0"/>
    <n v="42.4"/>
    <x v="469"/>
    <d v="2025-01-22T00:00:00"/>
    <d v="2025-01-26T00:00:00"/>
    <s v="F"/>
    <x v="1"/>
    <x v="0"/>
    <x v="0"/>
    <x v="3"/>
    <x v="5"/>
    <x v="3"/>
    <x v="2"/>
  </r>
  <r>
    <s v="TX500504"/>
    <x v="17"/>
    <x v="0"/>
    <n v="32.200000000000003"/>
    <x v="390"/>
    <d v="2025-01-22T00:00:00"/>
    <d v="2025-01-25T00:00:00"/>
    <s v="F"/>
    <x v="2"/>
    <x v="1"/>
    <x v="0"/>
    <x v="3"/>
    <x v="2"/>
    <x v="3"/>
    <x v="2"/>
  </r>
  <r>
    <s v="TX500505"/>
    <x v="6"/>
    <x v="1"/>
    <n v="41.5"/>
    <x v="470"/>
    <d v="2025-01-22T00:00:00"/>
    <d v="2025-01-25T00:00:00"/>
    <s v="F"/>
    <x v="0"/>
    <x v="2"/>
    <x v="0"/>
    <x v="3"/>
    <x v="2"/>
    <x v="3"/>
    <x v="2"/>
  </r>
  <r>
    <s v="TX500506"/>
    <x v="16"/>
    <x v="11"/>
    <n v="58.9"/>
    <x v="471"/>
    <d v="2025-01-22T00:00:00"/>
    <d v="2025-01-26T00:00:00"/>
    <s v="F"/>
    <x v="3"/>
    <x v="0"/>
    <x v="0"/>
    <x v="3"/>
    <x v="5"/>
    <x v="3"/>
    <x v="2"/>
  </r>
  <r>
    <s v="TX500507"/>
    <x v="2"/>
    <x v="0"/>
    <n v="57.1"/>
    <x v="472"/>
    <d v="2025-01-22T00:00:00"/>
    <d v="2025-01-25T00:00:00"/>
    <s v="F"/>
    <x v="1"/>
    <x v="0"/>
    <x v="0"/>
    <x v="3"/>
    <x v="2"/>
    <x v="3"/>
    <x v="2"/>
  </r>
  <r>
    <s v="TX500508"/>
    <x v="6"/>
    <x v="0"/>
    <n v="57.2"/>
    <x v="473"/>
    <d v="2025-01-22T00:00:00"/>
    <d v="2025-01-24T00:00:00"/>
    <s v="M"/>
    <x v="1"/>
    <x v="0"/>
    <x v="0"/>
    <x v="3"/>
    <x v="1"/>
    <x v="3"/>
    <x v="1"/>
  </r>
  <r>
    <s v="TX500509"/>
    <x v="8"/>
    <x v="1"/>
    <n v="35.1"/>
    <x v="474"/>
    <d v="2025-01-22T00:00:00"/>
    <d v="2025-01-23T00:00:00"/>
    <s v="M"/>
    <x v="1"/>
    <x v="0"/>
    <x v="0"/>
    <x v="6"/>
    <x v="3"/>
    <x v="3"/>
    <x v="1"/>
  </r>
  <r>
    <s v="TX500510"/>
    <x v="1"/>
    <x v="0"/>
    <n v="52.1"/>
    <x v="475"/>
    <d v="2025-01-22T00:00:00"/>
    <d v="2025-01-24T00:00:00"/>
    <s v="F"/>
    <x v="4"/>
    <x v="1"/>
    <x v="0"/>
    <x v="8"/>
    <x v="1"/>
    <x v="3"/>
    <x v="2"/>
  </r>
  <r>
    <s v="TX500511"/>
    <x v="13"/>
    <x v="2"/>
    <n v="59.8"/>
    <x v="476"/>
    <d v="2025-01-22T00:00:00"/>
    <d v="2025-01-24T00:00:00"/>
    <s v="F"/>
    <x v="4"/>
    <x v="1"/>
    <x v="0"/>
    <x v="8"/>
    <x v="1"/>
    <x v="3"/>
    <x v="2"/>
  </r>
  <r>
    <s v="TX500512"/>
    <x v="3"/>
    <x v="12"/>
    <n v="83.3"/>
    <x v="477"/>
    <d v="2025-01-22T00:00:00"/>
    <d v="2025-01-22T00:00:00"/>
    <s v=""/>
    <x v="2"/>
    <x v="0"/>
    <x v="0"/>
    <x v="8"/>
    <x v="7"/>
    <x v="3"/>
    <x v="0"/>
  </r>
  <r>
    <s v="TX500513"/>
    <x v="15"/>
    <x v="4"/>
    <n v="41.3"/>
    <x v="478"/>
    <d v="2025-01-22T00:00:00"/>
    <d v="2025-01-23T00:00:00"/>
    <s v="F"/>
    <x v="1"/>
    <x v="0"/>
    <x v="0"/>
    <x v="8"/>
    <x v="3"/>
    <x v="3"/>
    <x v="2"/>
  </r>
  <r>
    <s v="TX500514"/>
    <x v="8"/>
    <x v="9"/>
    <n v="16"/>
    <x v="479"/>
    <d v="2025-01-22T00:00:00"/>
    <d v="2025-01-24T00:00:00"/>
    <s v="M"/>
    <x v="4"/>
    <x v="1"/>
    <x v="0"/>
    <x v="9"/>
    <x v="1"/>
    <x v="3"/>
    <x v="1"/>
  </r>
  <r>
    <s v="TX500515"/>
    <x v="10"/>
    <x v="1"/>
    <n v="20.8"/>
    <x v="480"/>
    <d v="2025-01-23T00:00:00"/>
    <d v="2025-01-25T00:00:00"/>
    <s v="M"/>
    <x v="0"/>
    <x v="2"/>
    <x v="0"/>
    <x v="11"/>
    <x v="1"/>
    <x v="3"/>
    <x v="1"/>
  </r>
  <r>
    <s v="TX500516"/>
    <x v="8"/>
    <x v="31"/>
    <n v="27.1"/>
    <x v="481"/>
    <d v="2025-01-23T00:00:00"/>
    <d v="2025-01-24T00:00:00"/>
    <s v=""/>
    <x v="3"/>
    <x v="2"/>
    <x v="0"/>
    <x v="11"/>
    <x v="3"/>
    <x v="3"/>
    <x v="0"/>
  </r>
  <r>
    <s v="TX500517"/>
    <x v="10"/>
    <x v="1"/>
    <n v="38.9"/>
    <x v="482"/>
    <d v="2025-01-23T00:00:00"/>
    <d v="2025-01-25T00:00:00"/>
    <s v="F"/>
    <x v="0"/>
    <x v="0"/>
    <x v="0"/>
    <x v="18"/>
    <x v="1"/>
    <x v="3"/>
    <x v="2"/>
  </r>
  <r>
    <s v="TX500518"/>
    <x v="0"/>
    <x v="1"/>
    <n v="10.8"/>
    <x v="483"/>
    <d v="2025-01-23T00:00:00"/>
    <d v="2025-01-26T00:00:00"/>
    <s v="F"/>
    <x v="1"/>
    <x v="2"/>
    <x v="0"/>
    <x v="45"/>
    <x v="2"/>
    <x v="3"/>
    <x v="2"/>
  </r>
  <r>
    <s v="TX500519"/>
    <x v="4"/>
    <x v="15"/>
    <n v="48.4"/>
    <x v="484"/>
    <d v="2025-01-23T00:00:00"/>
    <d v="2025-01-27T00:00:00"/>
    <s v="F"/>
    <x v="0"/>
    <x v="0"/>
    <x v="0"/>
    <x v="21"/>
    <x v="5"/>
    <x v="3"/>
    <x v="2"/>
  </r>
  <r>
    <s v="TX500520"/>
    <x v="4"/>
    <x v="2"/>
    <n v="29.2"/>
    <x v="485"/>
    <d v="2025-01-23T00:00:00"/>
    <d v="2025-01-26T00:00:00"/>
    <s v="F"/>
    <x v="1"/>
    <x v="1"/>
    <x v="0"/>
    <x v="2"/>
    <x v="2"/>
    <x v="3"/>
    <x v="2"/>
  </r>
  <r>
    <s v="TX500521"/>
    <x v="4"/>
    <x v="1"/>
    <n v="25.1"/>
    <x v="486"/>
    <d v="2025-01-23T00:00:00"/>
    <d v="2025-01-24T00:00:00"/>
    <s v="M"/>
    <x v="0"/>
    <x v="1"/>
    <x v="0"/>
    <x v="2"/>
    <x v="3"/>
    <x v="3"/>
    <x v="1"/>
  </r>
  <r>
    <s v="TX500522"/>
    <x v="7"/>
    <x v="2"/>
    <n v="65.599999999999994"/>
    <x v="487"/>
    <d v="2025-01-23T00:00:00"/>
    <d v="2025-01-23T00:00:00"/>
    <s v="F"/>
    <x v="2"/>
    <x v="1"/>
    <x v="0"/>
    <x v="3"/>
    <x v="7"/>
    <x v="3"/>
    <x v="2"/>
  </r>
  <r>
    <s v="TX500523"/>
    <x v="2"/>
    <x v="1"/>
    <n v="57.3"/>
    <x v="488"/>
    <d v="2025-01-23T00:00:00"/>
    <d v="2025-01-23T00:00:00"/>
    <s v=""/>
    <x v="0"/>
    <x v="0"/>
    <x v="0"/>
    <x v="3"/>
    <x v="7"/>
    <x v="3"/>
    <x v="0"/>
  </r>
  <r>
    <s v="TX500524"/>
    <x v="9"/>
    <x v="12"/>
    <n v="22.4"/>
    <x v="70"/>
    <d v="2025-01-23T00:00:00"/>
    <d v="2025-01-24T00:00:00"/>
    <s v="F"/>
    <x v="2"/>
    <x v="2"/>
    <x v="0"/>
    <x v="3"/>
    <x v="3"/>
    <x v="3"/>
    <x v="2"/>
  </r>
  <r>
    <s v="TX500525"/>
    <x v="12"/>
    <x v="11"/>
    <n v="45.7"/>
    <x v="489"/>
    <d v="2025-01-23T00:00:00"/>
    <d v="2025-01-24T00:00:00"/>
    <s v="F"/>
    <x v="0"/>
    <x v="0"/>
    <x v="0"/>
    <x v="3"/>
    <x v="3"/>
    <x v="3"/>
    <x v="2"/>
  </r>
  <r>
    <s v="TX500526"/>
    <x v="8"/>
    <x v="1"/>
    <n v="29.3"/>
    <x v="150"/>
    <d v="2025-01-23T00:00:00"/>
    <d v="2025-01-24T00:00:00"/>
    <s v="M"/>
    <x v="1"/>
    <x v="0"/>
    <x v="0"/>
    <x v="3"/>
    <x v="3"/>
    <x v="3"/>
    <x v="1"/>
  </r>
  <r>
    <s v="TX500527"/>
    <x v="18"/>
    <x v="32"/>
    <n v="74"/>
    <x v="490"/>
    <d v="2025-01-23T00:00:00"/>
    <d v="2025-01-24T00:00:00"/>
    <s v="M"/>
    <x v="0"/>
    <x v="2"/>
    <x v="0"/>
    <x v="3"/>
    <x v="3"/>
    <x v="3"/>
    <x v="1"/>
  </r>
  <r>
    <s v="TX500528"/>
    <x v="14"/>
    <x v="1"/>
    <n v="39.200000000000003"/>
    <x v="491"/>
    <d v="2025-01-23T00:00:00"/>
    <d v="2025-01-25T00:00:00"/>
    <s v="F"/>
    <x v="1"/>
    <x v="0"/>
    <x v="0"/>
    <x v="3"/>
    <x v="1"/>
    <x v="3"/>
    <x v="2"/>
  </r>
  <r>
    <s v="TX500529"/>
    <x v="4"/>
    <x v="14"/>
    <n v="62.7"/>
    <x v="492"/>
    <d v="2025-01-23T00:00:00"/>
    <d v="2025-01-24T00:00:00"/>
    <s v="F"/>
    <x v="2"/>
    <x v="1"/>
    <x v="0"/>
    <x v="3"/>
    <x v="3"/>
    <x v="3"/>
    <x v="2"/>
  </r>
  <r>
    <s v="TX500530"/>
    <x v="10"/>
    <x v="1"/>
    <n v="60.1"/>
    <x v="493"/>
    <d v="2025-01-23T00:00:00"/>
    <d v="2025-01-24T00:00:00"/>
    <s v="F"/>
    <x v="3"/>
    <x v="0"/>
    <x v="0"/>
    <x v="3"/>
    <x v="3"/>
    <x v="3"/>
    <x v="2"/>
  </r>
  <r>
    <s v="TX500531"/>
    <x v="0"/>
    <x v="12"/>
    <n v="11.2"/>
    <x v="438"/>
    <d v="2025-01-23T00:00:00"/>
    <d v="2025-01-24T00:00:00"/>
    <s v="F"/>
    <x v="3"/>
    <x v="1"/>
    <x v="0"/>
    <x v="3"/>
    <x v="3"/>
    <x v="3"/>
    <x v="2"/>
  </r>
  <r>
    <s v="TX500532"/>
    <x v="8"/>
    <x v="1"/>
    <n v="22.9"/>
    <x v="494"/>
    <d v="2025-01-23T00:00:00"/>
    <d v="2025-01-24T00:00:00"/>
    <s v="F"/>
    <x v="0"/>
    <x v="0"/>
    <x v="0"/>
    <x v="6"/>
    <x v="3"/>
    <x v="3"/>
    <x v="2"/>
  </r>
  <r>
    <s v="TX500533"/>
    <x v="1"/>
    <x v="1"/>
    <n v="37.6"/>
    <x v="495"/>
    <d v="2025-01-23T00:00:00"/>
    <d v="2025-01-26T00:00:00"/>
    <s v="F"/>
    <x v="0"/>
    <x v="0"/>
    <x v="0"/>
    <x v="6"/>
    <x v="2"/>
    <x v="3"/>
    <x v="2"/>
  </r>
  <r>
    <s v="TX500534"/>
    <x v="6"/>
    <x v="0"/>
    <n v="42.4"/>
    <x v="469"/>
    <d v="2025-01-23T00:00:00"/>
    <d v="2025-01-24T00:00:00"/>
    <s v="F"/>
    <x v="3"/>
    <x v="2"/>
    <x v="0"/>
    <x v="6"/>
    <x v="3"/>
    <x v="3"/>
    <x v="2"/>
  </r>
  <r>
    <s v="TX500535"/>
    <x v="8"/>
    <x v="1"/>
    <n v="19.600000000000001"/>
    <x v="496"/>
    <d v="2025-01-23T00:00:00"/>
    <d v="2025-01-27T00:00:00"/>
    <s v="F"/>
    <x v="2"/>
    <x v="0"/>
    <x v="0"/>
    <x v="7"/>
    <x v="5"/>
    <x v="3"/>
    <x v="2"/>
  </r>
  <r>
    <s v="TX500536"/>
    <x v="9"/>
    <x v="0"/>
    <n v="90.5"/>
    <x v="497"/>
    <d v="2025-01-23T00:00:00"/>
    <d v="2025-01-26T00:00:00"/>
    <s v="F"/>
    <x v="2"/>
    <x v="0"/>
    <x v="0"/>
    <x v="7"/>
    <x v="2"/>
    <x v="3"/>
    <x v="2"/>
  </r>
  <r>
    <s v="TX500537"/>
    <x v="16"/>
    <x v="5"/>
    <n v="33.9"/>
    <x v="498"/>
    <d v="2025-01-23T00:00:00"/>
    <d v="2025-01-24T00:00:00"/>
    <s v="M"/>
    <x v="2"/>
    <x v="1"/>
    <x v="0"/>
    <x v="7"/>
    <x v="3"/>
    <x v="3"/>
    <x v="1"/>
  </r>
  <r>
    <s v="TX500538"/>
    <x v="0"/>
    <x v="1"/>
    <n v="32.799999999999997"/>
    <x v="499"/>
    <d v="2025-01-23T00:00:00"/>
    <d v="2025-01-25T00:00:00"/>
    <s v="F"/>
    <x v="4"/>
    <x v="4"/>
    <x v="0"/>
    <x v="8"/>
    <x v="1"/>
    <x v="3"/>
    <x v="2"/>
  </r>
  <r>
    <s v="TX500539"/>
    <x v="15"/>
    <x v="0"/>
    <n v="49.9"/>
    <x v="500"/>
    <d v="2025-01-23T00:00:00"/>
    <d v="2025-01-24T00:00:00"/>
    <s v="M"/>
    <x v="3"/>
    <x v="1"/>
    <x v="0"/>
    <x v="8"/>
    <x v="3"/>
    <x v="3"/>
    <x v="1"/>
  </r>
  <r>
    <s v="TX500540"/>
    <x v="7"/>
    <x v="9"/>
    <n v="79.2"/>
    <x v="501"/>
    <d v="2025-01-23T00:00:00"/>
    <d v="2025-01-24T00:00:00"/>
    <s v="F"/>
    <x v="4"/>
    <x v="0"/>
    <x v="0"/>
    <x v="8"/>
    <x v="3"/>
    <x v="3"/>
    <x v="2"/>
  </r>
  <r>
    <s v="TX500541"/>
    <x v="8"/>
    <x v="27"/>
    <n v="19.5"/>
    <x v="502"/>
    <d v="2025-01-23T00:00:00"/>
    <d v="2025-01-25T00:00:00"/>
    <s v="M"/>
    <x v="3"/>
    <x v="2"/>
    <x v="0"/>
    <x v="8"/>
    <x v="1"/>
    <x v="3"/>
    <x v="1"/>
  </r>
  <r>
    <s v="TX500542"/>
    <x v="8"/>
    <x v="12"/>
    <n v="18"/>
    <x v="503"/>
    <d v="2025-01-23T00:00:00"/>
    <d v="2025-01-24T00:00:00"/>
    <s v="M"/>
    <x v="1"/>
    <x v="0"/>
    <x v="0"/>
    <x v="10"/>
    <x v="3"/>
    <x v="3"/>
    <x v="1"/>
  </r>
  <r>
    <s v="TX500543"/>
    <x v="9"/>
    <x v="2"/>
    <n v="45.9"/>
    <x v="223"/>
    <d v="2025-01-23T00:00:00"/>
    <d v="2025-01-25T00:00:00"/>
    <s v="F"/>
    <x v="1"/>
    <x v="1"/>
    <x v="0"/>
    <x v="10"/>
    <x v="1"/>
    <x v="3"/>
    <x v="2"/>
  </r>
  <r>
    <s v="TX500544"/>
    <x v="11"/>
    <x v="0"/>
    <n v="41.2"/>
    <x v="504"/>
    <d v="2025-01-23T00:00:00"/>
    <d v="2025-01-25T00:00:00"/>
    <s v="F"/>
    <x v="1"/>
    <x v="2"/>
    <x v="0"/>
    <x v="11"/>
    <x v="1"/>
    <x v="3"/>
    <x v="2"/>
  </r>
  <r>
    <s v="TX500545"/>
    <x v="2"/>
    <x v="7"/>
    <n v="167.2"/>
    <x v="505"/>
    <d v="2025-01-23T00:00:00"/>
    <d v="2025-01-25T00:00:00"/>
    <s v="F"/>
    <x v="2"/>
    <x v="2"/>
    <x v="0"/>
    <x v="32"/>
    <x v="1"/>
    <x v="3"/>
    <x v="2"/>
  </r>
  <r>
    <s v="TX500546"/>
    <x v="6"/>
    <x v="17"/>
    <n v="74.5"/>
    <x v="506"/>
    <d v="2025-01-24T00:00:00"/>
    <d v="2025-01-27T00:00:00"/>
    <s v="F"/>
    <x v="1"/>
    <x v="2"/>
    <x v="0"/>
    <x v="38"/>
    <x v="2"/>
    <x v="3"/>
    <x v="2"/>
  </r>
  <r>
    <s v="TX500547"/>
    <x v="7"/>
    <x v="12"/>
    <n v="39.299999999999997"/>
    <x v="507"/>
    <d v="2025-01-24T00:00:00"/>
    <d v="2025-01-25T00:00:00"/>
    <s v=""/>
    <x v="2"/>
    <x v="0"/>
    <x v="0"/>
    <x v="19"/>
    <x v="3"/>
    <x v="3"/>
    <x v="0"/>
  </r>
  <r>
    <s v="TX500548"/>
    <x v="9"/>
    <x v="0"/>
    <n v="68.5"/>
    <x v="508"/>
    <d v="2025-01-24T00:00:00"/>
    <d v="2025-01-27T00:00:00"/>
    <s v="M"/>
    <x v="1"/>
    <x v="2"/>
    <x v="0"/>
    <x v="12"/>
    <x v="2"/>
    <x v="3"/>
    <x v="1"/>
  </r>
  <r>
    <s v="TX500549"/>
    <x v="0"/>
    <x v="2"/>
    <n v="22.5"/>
    <x v="509"/>
    <d v="2025-01-24T00:00:00"/>
    <d v="2025-01-24T00:00:00"/>
    <s v="F"/>
    <x v="4"/>
    <x v="0"/>
    <x v="0"/>
    <x v="13"/>
    <x v="7"/>
    <x v="3"/>
    <x v="2"/>
  </r>
  <r>
    <s v="TX500550"/>
    <x v="1"/>
    <x v="0"/>
    <n v="48"/>
    <x v="510"/>
    <d v="2025-01-24T00:00:00"/>
    <d v="2025-01-25T00:00:00"/>
    <s v="O"/>
    <x v="4"/>
    <x v="1"/>
    <x v="0"/>
    <x v="46"/>
    <x v="3"/>
    <x v="3"/>
    <x v="3"/>
  </r>
  <r>
    <s v="TX500551"/>
    <x v="6"/>
    <x v="0"/>
    <n v="94"/>
    <x v="255"/>
    <d v="2025-01-24T00:00:00"/>
    <d v="2025-01-25T00:00:00"/>
    <s v="M"/>
    <x v="3"/>
    <x v="1"/>
    <x v="0"/>
    <x v="1"/>
    <x v="3"/>
    <x v="3"/>
    <x v="1"/>
  </r>
  <r>
    <s v="TX500552"/>
    <x v="8"/>
    <x v="2"/>
    <n v="21.9"/>
    <x v="511"/>
    <d v="2025-01-24T00:00:00"/>
    <d v="2025-01-25T00:00:00"/>
    <s v="F"/>
    <x v="0"/>
    <x v="0"/>
    <x v="0"/>
    <x v="44"/>
    <x v="3"/>
    <x v="3"/>
    <x v="2"/>
  </r>
  <r>
    <s v="TX500553"/>
    <x v="6"/>
    <x v="3"/>
    <n v="64.900000000000006"/>
    <x v="512"/>
    <d v="2025-01-24T00:00:00"/>
    <d v="2025-01-25T00:00:00"/>
    <s v="F"/>
    <x v="0"/>
    <x v="0"/>
    <x v="0"/>
    <x v="3"/>
    <x v="3"/>
    <x v="3"/>
    <x v="2"/>
  </r>
  <r>
    <s v="TX500554"/>
    <x v="12"/>
    <x v="0"/>
    <n v="52.9"/>
    <x v="513"/>
    <d v="2025-01-24T00:00:00"/>
    <d v="2025-01-24T00:00:00"/>
    <s v="F"/>
    <x v="1"/>
    <x v="1"/>
    <x v="0"/>
    <x v="3"/>
    <x v="7"/>
    <x v="3"/>
    <x v="2"/>
  </r>
  <r>
    <s v="TX500555"/>
    <x v="8"/>
    <x v="2"/>
    <n v="25.5"/>
    <x v="514"/>
    <d v="2025-01-24T00:00:00"/>
    <d v="2025-01-25T00:00:00"/>
    <s v="F"/>
    <x v="1"/>
    <x v="2"/>
    <x v="0"/>
    <x v="3"/>
    <x v="3"/>
    <x v="3"/>
    <x v="2"/>
  </r>
  <r>
    <s v="TX500556"/>
    <x v="6"/>
    <x v="2"/>
    <n v="51.9"/>
    <x v="515"/>
    <d v="2025-01-24T00:00:00"/>
    <d v="2025-01-25T00:00:00"/>
    <s v="F"/>
    <x v="3"/>
    <x v="0"/>
    <x v="0"/>
    <x v="3"/>
    <x v="3"/>
    <x v="3"/>
    <x v="2"/>
  </r>
  <r>
    <s v="TX500557"/>
    <x v="5"/>
    <x v="0"/>
    <n v="46.3"/>
    <x v="516"/>
    <d v="2025-01-24T00:00:00"/>
    <d v="2025-01-27T00:00:00"/>
    <s v="F"/>
    <x v="4"/>
    <x v="0"/>
    <x v="0"/>
    <x v="3"/>
    <x v="2"/>
    <x v="3"/>
    <x v="2"/>
  </r>
  <r>
    <s v="TX500558"/>
    <x v="6"/>
    <x v="1"/>
    <n v="68.2"/>
    <x v="517"/>
    <d v="2025-01-24T00:00:00"/>
    <d v="2025-01-26T00:00:00"/>
    <s v="F"/>
    <x v="3"/>
    <x v="0"/>
    <x v="0"/>
    <x v="3"/>
    <x v="1"/>
    <x v="3"/>
    <x v="2"/>
  </r>
  <r>
    <s v="TX500559"/>
    <x v="1"/>
    <x v="0"/>
    <n v="40.299999999999997"/>
    <x v="518"/>
    <d v="2025-01-24T00:00:00"/>
    <d v="2025-01-25T00:00:00"/>
    <s v="M"/>
    <x v="0"/>
    <x v="1"/>
    <x v="0"/>
    <x v="3"/>
    <x v="3"/>
    <x v="3"/>
    <x v="1"/>
  </r>
  <r>
    <s v="TX500560"/>
    <x v="2"/>
    <x v="2"/>
    <n v="91.3"/>
    <x v="54"/>
    <d v="2025-01-24T00:00:00"/>
    <d v="2025-01-29T00:00:00"/>
    <s v="M"/>
    <x v="0"/>
    <x v="2"/>
    <x v="0"/>
    <x v="6"/>
    <x v="0"/>
    <x v="3"/>
    <x v="1"/>
  </r>
  <r>
    <s v="TX500561"/>
    <x v="0"/>
    <x v="2"/>
    <n v="11.9"/>
    <x v="519"/>
    <d v="2025-01-24T00:00:00"/>
    <d v="2025-01-25T00:00:00"/>
    <s v="F"/>
    <x v="0"/>
    <x v="1"/>
    <x v="0"/>
    <x v="6"/>
    <x v="3"/>
    <x v="3"/>
    <x v="2"/>
  </r>
  <r>
    <s v="TX500562"/>
    <x v="2"/>
    <x v="1"/>
    <n v="63.5"/>
    <x v="520"/>
    <d v="2025-01-24T00:00:00"/>
    <d v="2025-01-26T00:00:00"/>
    <s v="M"/>
    <x v="1"/>
    <x v="0"/>
    <x v="0"/>
    <x v="6"/>
    <x v="1"/>
    <x v="3"/>
    <x v="1"/>
  </r>
  <r>
    <s v="TX500563"/>
    <x v="4"/>
    <x v="1"/>
    <n v="27.1"/>
    <x v="521"/>
    <d v="2025-01-24T00:00:00"/>
    <d v="2025-01-27T00:00:00"/>
    <s v="M"/>
    <x v="2"/>
    <x v="2"/>
    <x v="0"/>
    <x v="6"/>
    <x v="2"/>
    <x v="3"/>
    <x v="1"/>
  </r>
  <r>
    <s v="TX500564"/>
    <x v="1"/>
    <x v="1"/>
    <n v="82.1"/>
    <x v="522"/>
    <d v="2025-01-25T00:00:00"/>
    <d v="2025-01-28T00:00:00"/>
    <s v="M"/>
    <x v="1"/>
    <x v="1"/>
    <x v="0"/>
    <x v="7"/>
    <x v="2"/>
    <x v="3"/>
    <x v="1"/>
  </r>
  <r>
    <s v="TX500565"/>
    <x v="3"/>
    <x v="9"/>
    <n v="42.9"/>
    <x v="523"/>
    <d v="2025-01-25T00:00:00"/>
    <d v="2025-01-27T00:00:00"/>
    <s v="F"/>
    <x v="1"/>
    <x v="0"/>
    <x v="0"/>
    <x v="8"/>
    <x v="1"/>
    <x v="3"/>
    <x v="2"/>
  </r>
  <r>
    <s v="TX500566"/>
    <x v="8"/>
    <x v="5"/>
    <n v="37.9"/>
    <x v="524"/>
    <d v="2025-01-25T00:00:00"/>
    <d v="2025-02-01T00:00:00"/>
    <s v="M"/>
    <x v="0"/>
    <x v="0"/>
    <x v="0"/>
    <x v="8"/>
    <x v="6"/>
    <x v="3"/>
    <x v="1"/>
  </r>
  <r>
    <s v="TX500567"/>
    <x v="0"/>
    <x v="0"/>
    <n v="22.4"/>
    <x v="525"/>
    <d v="2025-01-25T00:00:00"/>
    <d v="2025-01-26T00:00:00"/>
    <s v="F"/>
    <x v="0"/>
    <x v="1"/>
    <x v="0"/>
    <x v="17"/>
    <x v="3"/>
    <x v="3"/>
    <x v="2"/>
  </r>
  <r>
    <s v="TX500568"/>
    <x v="2"/>
    <x v="15"/>
    <n v="79.900000000000006"/>
    <x v="526"/>
    <d v="2025-01-25T00:00:00"/>
    <d v="2025-02-07T00:00:00"/>
    <s v="F"/>
    <x v="3"/>
    <x v="1"/>
    <x v="0"/>
    <x v="11"/>
    <x v="10"/>
    <x v="3"/>
    <x v="2"/>
  </r>
  <r>
    <s v="TX500569"/>
    <x v="1"/>
    <x v="0"/>
    <n v="70.599999999999994"/>
    <x v="527"/>
    <d v="2025-01-25T00:00:00"/>
    <d v="2025-01-28T00:00:00"/>
    <s v="F"/>
    <x v="0"/>
    <x v="1"/>
    <x v="0"/>
    <x v="11"/>
    <x v="2"/>
    <x v="3"/>
    <x v="2"/>
  </r>
  <r>
    <s v="TX500570"/>
    <x v="6"/>
    <x v="0"/>
    <n v="49.5"/>
    <x v="528"/>
    <d v="2025-01-25T00:00:00"/>
    <d v="2025-01-27T00:00:00"/>
    <s v="M"/>
    <x v="0"/>
    <x v="0"/>
    <x v="0"/>
    <x v="13"/>
    <x v="1"/>
    <x v="3"/>
    <x v="1"/>
  </r>
  <r>
    <s v="TX500571"/>
    <x v="2"/>
    <x v="1"/>
    <n v="96.6"/>
    <x v="529"/>
    <d v="2025-01-25T00:00:00"/>
    <d v="2025-01-27T00:00:00"/>
    <s v="M"/>
    <x v="0"/>
    <x v="0"/>
    <x v="0"/>
    <x v="21"/>
    <x v="1"/>
    <x v="3"/>
    <x v="1"/>
  </r>
  <r>
    <s v="TX500572"/>
    <x v="6"/>
    <x v="1"/>
    <n v="52.8"/>
    <x v="142"/>
    <d v="2025-01-25T00:00:00"/>
    <d v="2025-01-26T00:00:00"/>
    <s v="F"/>
    <x v="1"/>
    <x v="1"/>
    <x v="0"/>
    <x v="21"/>
    <x v="3"/>
    <x v="3"/>
    <x v="2"/>
  </r>
  <r>
    <s v="TX500573"/>
    <x v="2"/>
    <x v="0"/>
    <n v="101.7"/>
    <x v="530"/>
    <d v="2025-01-25T00:00:00"/>
    <d v="2025-01-26T00:00:00"/>
    <s v="M"/>
    <x v="0"/>
    <x v="0"/>
    <x v="0"/>
    <x v="1"/>
    <x v="3"/>
    <x v="3"/>
    <x v="1"/>
  </r>
  <r>
    <s v="TX500574"/>
    <x v="4"/>
    <x v="9"/>
    <n v="26.9"/>
    <x v="531"/>
    <d v="2025-01-25T00:00:00"/>
    <d v="2025-01-30T00:00:00"/>
    <s v="F"/>
    <x v="1"/>
    <x v="1"/>
    <x v="0"/>
    <x v="22"/>
    <x v="0"/>
    <x v="3"/>
    <x v="2"/>
  </r>
  <r>
    <s v="TX500575"/>
    <x v="2"/>
    <x v="12"/>
    <n v="211"/>
    <x v="532"/>
    <d v="2025-01-25T00:00:00"/>
    <d v="2025-01-25T00:00:00"/>
    <s v="F"/>
    <x v="1"/>
    <x v="1"/>
    <x v="0"/>
    <x v="3"/>
    <x v="7"/>
    <x v="3"/>
    <x v="2"/>
  </r>
  <r>
    <s v="TX500576"/>
    <x v="0"/>
    <x v="12"/>
    <n v="21.1"/>
    <x v="533"/>
    <d v="2025-01-25T00:00:00"/>
    <d v="2025-01-28T00:00:00"/>
    <s v="M"/>
    <x v="4"/>
    <x v="0"/>
    <x v="0"/>
    <x v="3"/>
    <x v="2"/>
    <x v="3"/>
    <x v="1"/>
  </r>
  <r>
    <s v="TX500577"/>
    <x v="10"/>
    <x v="0"/>
    <n v="26.6"/>
    <x v="534"/>
    <d v="2025-01-25T00:00:00"/>
    <d v="2025-01-27T00:00:00"/>
    <s v="M"/>
    <x v="0"/>
    <x v="4"/>
    <x v="0"/>
    <x v="3"/>
    <x v="1"/>
    <x v="3"/>
    <x v="1"/>
  </r>
  <r>
    <s v="TX500578"/>
    <x v="12"/>
    <x v="12"/>
    <n v="51.2"/>
    <x v="403"/>
    <d v="2025-01-25T00:00:00"/>
    <d v="2025-01-26T00:00:00"/>
    <s v="F"/>
    <x v="3"/>
    <x v="0"/>
    <x v="0"/>
    <x v="47"/>
    <x v="3"/>
    <x v="3"/>
    <x v="2"/>
  </r>
  <r>
    <s v="TX500579"/>
    <x v="0"/>
    <x v="9"/>
    <n v="10.6"/>
    <x v="535"/>
    <d v="2025-01-25T00:00:00"/>
    <d v="2025-01-29T00:00:00"/>
    <s v="F"/>
    <x v="0"/>
    <x v="0"/>
    <x v="0"/>
    <x v="8"/>
    <x v="5"/>
    <x v="3"/>
    <x v="2"/>
  </r>
  <r>
    <s v="TX500580"/>
    <x v="6"/>
    <x v="2"/>
    <n v="43.4"/>
    <x v="33"/>
    <d v="2025-01-25T00:00:00"/>
    <d v="2025-01-28T00:00:00"/>
    <s v="F"/>
    <x v="4"/>
    <x v="0"/>
    <x v="0"/>
    <x v="8"/>
    <x v="2"/>
    <x v="3"/>
    <x v="2"/>
  </r>
  <r>
    <s v="TX500581"/>
    <x v="12"/>
    <x v="0"/>
    <n v="80"/>
    <x v="479"/>
    <d v="2025-01-25T00:00:00"/>
    <d v="2025-01-25T00:00:00"/>
    <s v="F"/>
    <x v="0"/>
    <x v="2"/>
    <x v="0"/>
    <x v="8"/>
    <x v="7"/>
    <x v="3"/>
    <x v="2"/>
  </r>
  <r>
    <s v="TX500582"/>
    <x v="10"/>
    <x v="12"/>
    <n v="64.7"/>
    <x v="536"/>
    <d v="2025-01-25T00:00:00"/>
    <d v="2025-01-27T00:00:00"/>
    <s v="F"/>
    <x v="1"/>
    <x v="4"/>
    <x v="0"/>
    <x v="8"/>
    <x v="1"/>
    <x v="3"/>
    <x v="2"/>
  </r>
  <r>
    <s v="TX500583"/>
    <x v="8"/>
    <x v="5"/>
    <n v="26.3"/>
    <x v="537"/>
    <d v="2025-01-26T00:00:00"/>
    <d v="2025-01-26T00:00:00"/>
    <s v="F"/>
    <x v="4"/>
    <x v="1"/>
    <x v="0"/>
    <x v="26"/>
    <x v="7"/>
    <x v="4"/>
    <x v="2"/>
  </r>
  <r>
    <s v="TX500584"/>
    <x v="10"/>
    <x v="0"/>
    <n v="28.5"/>
    <x v="425"/>
    <d v="2025-01-26T00:00:00"/>
    <d v="2025-01-26T00:00:00"/>
    <s v="M"/>
    <x v="0"/>
    <x v="1"/>
    <x v="0"/>
    <x v="9"/>
    <x v="7"/>
    <x v="4"/>
    <x v="1"/>
  </r>
  <r>
    <s v="TX500585"/>
    <x v="17"/>
    <x v="0"/>
    <n v="47.8"/>
    <x v="538"/>
    <d v="2025-01-26T00:00:00"/>
    <d v="2025-01-28T00:00:00"/>
    <s v="F"/>
    <x v="0"/>
    <x v="1"/>
    <x v="0"/>
    <x v="9"/>
    <x v="1"/>
    <x v="4"/>
    <x v="2"/>
  </r>
  <r>
    <s v="TX500586"/>
    <x v="10"/>
    <x v="2"/>
    <n v="42.8"/>
    <x v="539"/>
    <d v="2025-01-26T00:00:00"/>
    <d v="2025-01-29T00:00:00"/>
    <s v="F"/>
    <x v="4"/>
    <x v="1"/>
    <x v="0"/>
    <x v="11"/>
    <x v="2"/>
    <x v="4"/>
    <x v="2"/>
  </r>
  <r>
    <s v="TX500587"/>
    <x v="6"/>
    <x v="9"/>
    <n v="46.8"/>
    <x v="540"/>
    <d v="2025-01-26T00:00:00"/>
    <d v="2025-01-31T00:00:00"/>
    <s v="F"/>
    <x v="1"/>
    <x v="2"/>
    <x v="0"/>
    <x v="11"/>
    <x v="0"/>
    <x v="4"/>
    <x v="2"/>
  </r>
  <r>
    <s v="TX500588"/>
    <x v="1"/>
    <x v="7"/>
    <n v="64.099999999999994"/>
    <x v="541"/>
    <d v="2025-01-26T00:00:00"/>
    <d v="2025-01-27T00:00:00"/>
    <s v="M"/>
    <x v="1"/>
    <x v="0"/>
    <x v="0"/>
    <x v="11"/>
    <x v="3"/>
    <x v="4"/>
    <x v="1"/>
  </r>
  <r>
    <s v="TX500589"/>
    <x v="2"/>
    <x v="0"/>
    <n v="89.1"/>
    <x v="542"/>
    <d v="2025-01-26T00:00:00"/>
    <d v="2025-01-27T00:00:00"/>
    <s v="F"/>
    <x v="0"/>
    <x v="1"/>
    <x v="0"/>
    <x v="20"/>
    <x v="3"/>
    <x v="4"/>
    <x v="2"/>
  </r>
  <r>
    <s v="TX500590"/>
    <x v="2"/>
    <x v="2"/>
    <n v="83.1"/>
    <x v="543"/>
    <d v="2025-01-26T00:00:00"/>
    <d v="2025-01-27T00:00:00"/>
    <s v="F"/>
    <x v="2"/>
    <x v="1"/>
    <x v="0"/>
    <x v="13"/>
    <x v="3"/>
    <x v="4"/>
    <x v="2"/>
  </r>
  <r>
    <s v="TX500591"/>
    <x v="8"/>
    <x v="2"/>
    <n v="40.9"/>
    <x v="544"/>
    <d v="2025-01-26T00:00:00"/>
    <d v="2025-01-27T00:00:00"/>
    <s v="M"/>
    <x v="0"/>
    <x v="0"/>
    <x v="0"/>
    <x v="1"/>
    <x v="3"/>
    <x v="4"/>
    <x v="1"/>
  </r>
  <r>
    <s v="TX500592"/>
    <x v="2"/>
    <x v="1"/>
    <n v="125.7"/>
    <x v="545"/>
    <d v="2025-01-26T00:00:00"/>
    <d v="2025-01-27T00:00:00"/>
    <s v="F"/>
    <x v="3"/>
    <x v="0"/>
    <x v="0"/>
    <x v="2"/>
    <x v="3"/>
    <x v="4"/>
    <x v="2"/>
  </r>
  <r>
    <s v="TX500593"/>
    <x v="3"/>
    <x v="1"/>
    <n v="30.9"/>
    <x v="546"/>
    <d v="2025-01-26T00:00:00"/>
    <d v="2025-01-26T00:00:00"/>
    <s v="F"/>
    <x v="2"/>
    <x v="2"/>
    <x v="0"/>
    <x v="22"/>
    <x v="7"/>
    <x v="4"/>
    <x v="2"/>
  </r>
  <r>
    <s v="TX500594"/>
    <x v="8"/>
    <x v="1"/>
    <n v="18.3"/>
    <x v="547"/>
    <d v="2025-01-26T00:00:00"/>
    <d v="2025-01-27T00:00:00"/>
    <s v="F"/>
    <x v="1"/>
    <x v="0"/>
    <x v="0"/>
    <x v="3"/>
    <x v="3"/>
    <x v="4"/>
    <x v="2"/>
  </r>
  <r>
    <s v="TX500595"/>
    <x v="4"/>
    <x v="1"/>
    <n v="56.5"/>
    <x v="548"/>
    <d v="2025-01-26T00:00:00"/>
    <d v="2025-01-30T00:00:00"/>
    <s v="M"/>
    <x v="2"/>
    <x v="2"/>
    <x v="0"/>
    <x v="3"/>
    <x v="5"/>
    <x v="4"/>
    <x v="1"/>
  </r>
  <r>
    <s v="TX500596"/>
    <x v="10"/>
    <x v="3"/>
    <n v="29.9"/>
    <x v="549"/>
    <d v="2025-01-26T00:00:00"/>
    <d v="2025-01-28T00:00:00"/>
    <s v="M"/>
    <x v="4"/>
    <x v="2"/>
    <x v="0"/>
    <x v="3"/>
    <x v="1"/>
    <x v="4"/>
    <x v="1"/>
  </r>
  <r>
    <s v="TX500597"/>
    <x v="5"/>
    <x v="1"/>
    <n v="50.4"/>
    <x v="90"/>
    <d v="2025-01-26T00:00:00"/>
    <d v="2025-01-27T00:00:00"/>
    <s v="F"/>
    <x v="2"/>
    <x v="0"/>
    <x v="0"/>
    <x v="3"/>
    <x v="3"/>
    <x v="4"/>
    <x v="2"/>
  </r>
  <r>
    <s v="TX500598"/>
    <x v="2"/>
    <x v="0"/>
    <n v="85.8"/>
    <x v="550"/>
    <d v="2025-01-26T00:00:00"/>
    <d v="2025-01-26T00:00:00"/>
    <s v="F"/>
    <x v="2"/>
    <x v="2"/>
    <x v="0"/>
    <x v="3"/>
    <x v="7"/>
    <x v="4"/>
    <x v="2"/>
  </r>
  <r>
    <s v="TX500599"/>
    <x v="4"/>
    <x v="27"/>
    <n v="66.599999999999994"/>
    <x v="551"/>
    <d v="2025-01-26T00:00:00"/>
    <d v="2025-01-28T00:00:00"/>
    <s v="M"/>
    <x v="1"/>
    <x v="0"/>
    <x v="0"/>
    <x v="3"/>
    <x v="1"/>
    <x v="4"/>
    <x v="1"/>
  </r>
  <r>
    <s v="TX500600"/>
    <x v="6"/>
    <x v="12"/>
    <n v="70.3"/>
    <x v="552"/>
    <d v="2025-01-26T00:00:00"/>
    <d v="2025-01-27T00:00:00"/>
    <s v="F"/>
    <x v="0"/>
    <x v="1"/>
    <x v="0"/>
    <x v="3"/>
    <x v="3"/>
    <x v="4"/>
    <x v="2"/>
  </r>
  <r>
    <s v="TX500601"/>
    <x v="8"/>
    <x v="12"/>
    <n v="31"/>
    <x v="553"/>
    <d v="2025-01-26T00:00:00"/>
    <d v="2025-01-29T00:00:00"/>
    <s v="M"/>
    <x v="0"/>
    <x v="2"/>
    <x v="0"/>
    <x v="3"/>
    <x v="2"/>
    <x v="4"/>
    <x v="1"/>
  </r>
  <r>
    <s v="TX500602"/>
    <x v="7"/>
    <x v="13"/>
    <n v="81.599999999999994"/>
    <x v="554"/>
    <d v="2025-01-26T00:00:00"/>
    <d v="2025-01-27T00:00:00"/>
    <s v="F"/>
    <x v="1"/>
    <x v="1"/>
    <x v="0"/>
    <x v="37"/>
    <x v="3"/>
    <x v="4"/>
    <x v="2"/>
  </r>
  <r>
    <s v="TX500603"/>
    <x v="1"/>
    <x v="30"/>
    <n v="58.3"/>
    <x v="555"/>
    <d v="2025-01-26T00:00:00"/>
    <d v="2025-01-27T00:00:00"/>
    <s v="F"/>
    <x v="0"/>
    <x v="0"/>
    <x v="0"/>
    <x v="16"/>
    <x v="3"/>
    <x v="4"/>
    <x v="2"/>
  </r>
  <r>
    <s v="TX500604"/>
    <x v="1"/>
    <x v="12"/>
    <n v="35.1"/>
    <x v="381"/>
    <d v="2025-01-26T00:00:00"/>
    <d v="2025-01-28T00:00:00"/>
    <s v="M"/>
    <x v="0"/>
    <x v="2"/>
    <x v="0"/>
    <x v="8"/>
    <x v="1"/>
    <x v="4"/>
    <x v="1"/>
  </r>
  <r>
    <s v="TX500605"/>
    <x v="2"/>
    <x v="0"/>
    <n v="80.2"/>
    <x v="556"/>
    <d v="2025-01-26T00:00:00"/>
    <d v="2025-01-27T00:00:00"/>
    <s v="M"/>
    <x v="3"/>
    <x v="2"/>
    <x v="0"/>
    <x v="8"/>
    <x v="3"/>
    <x v="4"/>
    <x v="1"/>
  </r>
  <r>
    <s v="TX500606"/>
    <x v="14"/>
    <x v="2"/>
    <n v="39.200000000000003"/>
    <x v="557"/>
    <d v="2025-01-26T00:00:00"/>
    <d v="2025-01-28T00:00:00"/>
    <s v="F"/>
    <x v="1"/>
    <x v="0"/>
    <x v="0"/>
    <x v="9"/>
    <x v="1"/>
    <x v="4"/>
    <x v="2"/>
  </r>
  <r>
    <s v="TX500607"/>
    <x v="0"/>
    <x v="1"/>
    <n v="15.4"/>
    <x v="558"/>
    <d v="2025-01-26T00:00:00"/>
    <d v="2025-01-26T00:00:00"/>
    <s v="F"/>
    <x v="3"/>
    <x v="0"/>
    <x v="0"/>
    <x v="48"/>
    <x v="7"/>
    <x v="4"/>
    <x v="2"/>
  </r>
  <r>
    <s v="TX500608"/>
    <x v="3"/>
    <x v="2"/>
    <n v="65.400000000000006"/>
    <x v="338"/>
    <d v="2025-01-26T00:00:00"/>
    <d v="2025-01-29T00:00:00"/>
    <s v="M"/>
    <x v="3"/>
    <x v="0"/>
    <x v="0"/>
    <x v="18"/>
    <x v="2"/>
    <x v="4"/>
    <x v="1"/>
  </r>
  <r>
    <s v="TX500609"/>
    <x v="1"/>
    <x v="8"/>
    <n v="63.2"/>
    <x v="559"/>
    <d v="2025-01-26T00:00:00"/>
    <d v="2025-01-28T00:00:00"/>
    <s v="F"/>
    <x v="1"/>
    <x v="0"/>
    <x v="0"/>
    <x v="19"/>
    <x v="1"/>
    <x v="4"/>
    <x v="2"/>
  </r>
  <r>
    <s v="TX500610"/>
    <x v="1"/>
    <x v="13"/>
    <n v="35.700000000000003"/>
    <x v="560"/>
    <d v="2025-01-26T00:00:00"/>
    <d v="2025-01-30T00:00:00"/>
    <s v="F"/>
    <x v="4"/>
    <x v="1"/>
    <x v="0"/>
    <x v="19"/>
    <x v="5"/>
    <x v="4"/>
    <x v="2"/>
  </r>
  <r>
    <s v="TX500611"/>
    <x v="0"/>
    <x v="28"/>
    <n v="26.2"/>
    <x v="561"/>
    <d v="2025-01-26T00:00:00"/>
    <d v="2025-01-27T00:00:00"/>
    <s v="F"/>
    <x v="3"/>
    <x v="0"/>
    <x v="0"/>
    <x v="21"/>
    <x v="3"/>
    <x v="4"/>
    <x v="2"/>
  </r>
  <r>
    <s v="TX500612"/>
    <x v="7"/>
    <x v="1"/>
    <n v="31"/>
    <x v="85"/>
    <d v="2025-01-26T00:00:00"/>
    <d v="2025-01-27T00:00:00"/>
    <s v="F"/>
    <x v="0"/>
    <x v="2"/>
    <x v="0"/>
    <x v="1"/>
    <x v="3"/>
    <x v="4"/>
    <x v="2"/>
  </r>
  <r>
    <s v="TX500613"/>
    <x v="8"/>
    <x v="12"/>
    <n v="37.700000000000003"/>
    <x v="562"/>
    <d v="2025-01-26T00:00:00"/>
    <d v="2025-01-27T00:00:00"/>
    <s v="F"/>
    <x v="1"/>
    <x v="0"/>
    <x v="0"/>
    <x v="22"/>
    <x v="3"/>
    <x v="4"/>
    <x v="2"/>
  </r>
  <r>
    <s v="TX500614"/>
    <x v="10"/>
    <x v="33"/>
    <n v="43.6"/>
    <x v="563"/>
    <d v="2025-01-26T00:00:00"/>
    <d v="2025-01-28T00:00:00"/>
    <s v="F"/>
    <x v="4"/>
    <x v="1"/>
    <x v="0"/>
    <x v="3"/>
    <x v="1"/>
    <x v="4"/>
    <x v="2"/>
  </r>
  <r>
    <s v="TX500615"/>
    <x v="9"/>
    <x v="12"/>
    <n v="26.5"/>
    <x v="101"/>
    <d v="2025-01-26T00:00:00"/>
    <d v="2025-01-28T00:00:00"/>
    <s v="M"/>
    <x v="0"/>
    <x v="4"/>
    <x v="0"/>
    <x v="3"/>
    <x v="1"/>
    <x v="4"/>
    <x v="1"/>
  </r>
  <r>
    <s v="TX500616"/>
    <x v="0"/>
    <x v="1"/>
    <n v="34.6"/>
    <x v="564"/>
    <d v="2025-01-26T00:00:00"/>
    <d v="2025-01-27T00:00:00"/>
    <s v="M"/>
    <x v="4"/>
    <x v="1"/>
    <x v="0"/>
    <x v="3"/>
    <x v="3"/>
    <x v="4"/>
    <x v="1"/>
  </r>
  <r>
    <s v="TX500617"/>
    <x v="8"/>
    <x v="1"/>
    <n v="58.2"/>
    <x v="565"/>
    <d v="2025-01-26T00:00:00"/>
    <d v="2025-01-27T00:00:00"/>
    <s v="M"/>
    <x v="2"/>
    <x v="2"/>
    <x v="0"/>
    <x v="3"/>
    <x v="3"/>
    <x v="4"/>
    <x v="1"/>
  </r>
  <r>
    <s v="TX500618"/>
    <x v="7"/>
    <x v="0"/>
    <n v="30.2"/>
    <x v="242"/>
    <d v="2025-01-27T00:00:00"/>
    <d v="2025-01-28T00:00:00"/>
    <s v="F"/>
    <x v="2"/>
    <x v="1"/>
    <x v="0"/>
    <x v="3"/>
    <x v="3"/>
    <x v="4"/>
    <x v="2"/>
  </r>
  <r>
    <s v="TX500619"/>
    <x v="1"/>
    <x v="7"/>
    <n v="53.2"/>
    <x v="566"/>
    <d v="2025-01-27T00:00:00"/>
    <d v="2025-01-28T00:00:00"/>
    <s v="M"/>
    <x v="0"/>
    <x v="2"/>
    <x v="0"/>
    <x v="5"/>
    <x v="3"/>
    <x v="4"/>
    <x v="1"/>
  </r>
  <r>
    <s v="TX500620"/>
    <x v="12"/>
    <x v="13"/>
    <n v="51.1"/>
    <x v="567"/>
    <d v="2025-01-27T00:00:00"/>
    <d v="2025-01-27T00:00:00"/>
    <s v="M"/>
    <x v="1"/>
    <x v="2"/>
    <x v="0"/>
    <x v="5"/>
    <x v="7"/>
    <x v="4"/>
    <x v="1"/>
  </r>
  <r>
    <s v="TX500621"/>
    <x v="1"/>
    <x v="0"/>
    <n v="105.4"/>
    <x v="568"/>
    <d v="2025-01-27T00:00:00"/>
    <d v="2025-01-31T00:00:00"/>
    <s v="F"/>
    <x v="1"/>
    <x v="2"/>
    <x v="0"/>
    <x v="23"/>
    <x v="5"/>
    <x v="4"/>
    <x v="2"/>
  </r>
  <r>
    <s v="TX500622"/>
    <x v="7"/>
    <x v="0"/>
    <n v="57.7"/>
    <x v="569"/>
    <d v="2025-01-27T00:00:00"/>
    <d v="2025-01-27T00:00:00"/>
    <s v="M"/>
    <x v="0"/>
    <x v="4"/>
    <x v="0"/>
    <x v="8"/>
    <x v="7"/>
    <x v="4"/>
    <x v="1"/>
  </r>
  <r>
    <s v="TX500623"/>
    <x v="15"/>
    <x v="1"/>
    <n v="72.400000000000006"/>
    <x v="353"/>
    <d v="2025-01-27T00:00:00"/>
    <d v="2025-02-01T00:00:00"/>
    <s v="F"/>
    <x v="0"/>
    <x v="0"/>
    <x v="0"/>
    <x v="17"/>
    <x v="0"/>
    <x v="4"/>
    <x v="2"/>
  </r>
  <r>
    <s v="TX500624"/>
    <x v="6"/>
    <x v="1"/>
    <n v="62.5"/>
    <x v="570"/>
    <d v="2025-01-27T00:00:00"/>
    <d v="2025-01-28T00:00:00"/>
    <s v=""/>
    <x v="0"/>
    <x v="2"/>
    <x v="0"/>
    <x v="11"/>
    <x v="3"/>
    <x v="4"/>
    <x v="0"/>
  </r>
  <r>
    <s v="TX500625"/>
    <x v="0"/>
    <x v="32"/>
    <n v="11.6"/>
    <x v="281"/>
    <d v="2025-01-27T00:00:00"/>
    <d v="2025-01-29T00:00:00"/>
    <s v="F"/>
    <x v="3"/>
    <x v="2"/>
    <x v="0"/>
    <x v="18"/>
    <x v="1"/>
    <x v="4"/>
    <x v="2"/>
  </r>
  <r>
    <s v="TX500626"/>
    <x v="10"/>
    <x v="7"/>
    <n v="39.6"/>
    <x v="501"/>
    <d v="2025-01-27T00:00:00"/>
    <d v="2025-01-29T00:00:00"/>
    <s v="F"/>
    <x v="2"/>
    <x v="2"/>
    <x v="0"/>
    <x v="18"/>
    <x v="1"/>
    <x v="4"/>
    <x v="2"/>
  </r>
  <r>
    <s v="TX500627"/>
    <x v="8"/>
    <x v="1"/>
    <n v="40.1"/>
    <x v="556"/>
    <d v="2025-01-27T00:00:00"/>
    <d v="2025-01-28T00:00:00"/>
    <s v="F"/>
    <x v="2"/>
    <x v="0"/>
    <x v="0"/>
    <x v="18"/>
    <x v="3"/>
    <x v="4"/>
    <x v="2"/>
  </r>
  <r>
    <s v="TX500628"/>
    <x v="8"/>
    <x v="2"/>
    <n v="18.600000000000001"/>
    <x v="571"/>
    <d v="2025-01-27T00:00:00"/>
    <d v="2025-01-28T00:00:00"/>
    <s v="F"/>
    <x v="2"/>
    <x v="0"/>
    <x v="0"/>
    <x v="21"/>
    <x v="3"/>
    <x v="4"/>
    <x v="2"/>
  </r>
  <r>
    <s v="TX500629"/>
    <x v="4"/>
    <x v="0"/>
    <n v="58.8"/>
    <x v="572"/>
    <d v="2025-01-27T00:00:00"/>
    <d v="2025-01-29T00:00:00"/>
    <s v="F"/>
    <x v="0"/>
    <x v="1"/>
    <x v="0"/>
    <x v="21"/>
    <x v="1"/>
    <x v="4"/>
    <x v="2"/>
  </r>
  <r>
    <s v="TX500630"/>
    <x v="8"/>
    <x v="1"/>
    <n v="22.1"/>
    <x v="573"/>
    <d v="2025-01-27T00:00:00"/>
    <d v="2025-01-30T00:00:00"/>
    <s v="M"/>
    <x v="1"/>
    <x v="2"/>
    <x v="0"/>
    <x v="21"/>
    <x v="2"/>
    <x v="4"/>
    <x v="1"/>
  </r>
  <r>
    <s v="TX500631"/>
    <x v="2"/>
    <x v="0"/>
    <n v="114.9"/>
    <x v="574"/>
    <d v="2025-01-28T00:00:00"/>
    <d v="2025-01-29T00:00:00"/>
    <s v="F"/>
    <x v="1"/>
    <x v="1"/>
    <x v="0"/>
    <x v="22"/>
    <x v="3"/>
    <x v="4"/>
    <x v="2"/>
  </r>
  <r>
    <s v="TX500632"/>
    <x v="9"/>
    <x v="9"/>
    <n v="75.8"/>
    <x v="575"/>
    <d v="2025-01-28T00:00:00"/>
    <d v="2025-01-29T00:00:00"/>
    <s v="M"/>
    <x v="0"/>
    <x v="2"/>
    <x v="0"/>
    <x v="3"/>
    <x v="3"/>
    <x v="4"/>
    <x v="1"/>
  </r>
  <r>
    <s v="TX500633"/>
    <x v="14"/>
    <x v="9"/>
    <n v="20.6"/>
    <x v="576"/>
    <d v="2025-01-28T00:00:00"/>
    <d v="2025-01-29T00:00:00"/>
    <s v="M"/>
    <x v="2"/>
    <x v="2"/>
    <x v="0"/>
    <x v="3"/>
    <x v="3"/>
    <x v="4"/>
    <x v="1"/>
  </r>
  <r>
    <s v="TX500634"/>
    <x v="17"/>
    <x v="2"/>
    <n v="67.900000000000006"/>
    <x v="577"/>
    <d v="2025-01-28T00:00:00"/>
    <d v="2025-01-29T00:00:00"/>
    <s v="F"/>
    <x v="1"/>
    <x v="1"/>
    <x v="0"/>
    <x v="3"/>
    <x v="3"/>
    <x v="4"/>
    <x v="2"/>
  </r>
  <r>
    <s v="TX500635"/>
    <x v="0"/>
    <x v="9"/>
    <n v="27"/>
    <x v="340"/>
    <d v="2025-01-28T00:00:00"/>
    <d v="2025-02-04T00:00:00"/>
    <s v="F"/>
    <x v="0"/>
    <x v="2"/>
    <x v="0"/>
    <x v="3"/>
    <x v="6"/>
    <x v="4"/>
    <x v="2"/>
  </r>
  <r>
    <s v="TX500636"/>
    <x v="13"/>
    <x v="0"/>
    <n v="50.6"/>
    <x v="578"/>
    <d v="2025-01-28T00:00:00"/>
    <d v="2025-01-28T00:00:00"/>
    <s v="M"/>
    <x v="0"/>
    <x v="1"/>
    <x v="0"/>
    <x v="3"/>
    <x v="7"/>
    <x v="4"/>
    <x v="1"/>
  </r>
  <r>
    <s v="TX500637"/>
    <x v="4"/>
    <x v="9"/>
    <n v="22.1"/>
    <x v="579"/>
    <d v="2025-01-28T00:00:00"/>
    <d v="2025-02-02T00:00:00"/>
    <s v="M"/>
    <x v="0"/>
    <x v="0"/>
    <x v="0"/>
    <x v="3"/>
    <x v="0"/>
    <x v="4"/>
    <x v="1"/>
  </r>
  <r>
    <s v="TX500638"/>
    <x v="8"/>
    <x v="2"/>
    <n v="42.9"/>
    <x v="580"/>
    <d v="2025-01-28T00:00:00"/>
    <d v="2025-01-30T00:00:00"/>
    <s v="F"/>
    <x v="0"/>
    <x v="0"/>
    <x v="0"/>
    <x v="3"/>
    <x v="1"/>
    <x v="4"/>
    <x v="2"/>
  </r>
  <r>
    <s v="TX500639"/>
    <x v="1"/>
    <x v="5"/>
    <n v="62.4"/>
    <x v="581"/>
    <d v="2025-01-28T00:00:00"/>
    <d v="2025-01-30T00:00:00"/>
    <s v="F"/>
    <x v="2"/>
    <x v="0"/>
    <x v="0"/>
    <x v="3"/>
    <x v="1"/>
    <x v="4"/>
    <x v="2"/>
  </r>
  <r>
    <s v="TX500640"/>
    <x v="13"/>
    <x v="11"/>
    <n v="36.4"/>
    <x v="582"/>
    <d v="2025-01-28T00:00:00"/>
    <d v="2025-01-30T00:00:00"/>
    <s v="F"/>
    <x v="0"/>
    <x v="2"/>
    <x v="0"/>
    <x v="3"/>
    <x v="1"/>
    <x v="4"/>
    <x v="2"/>
  </r>
  <r>
    <s v="TX500641"/>
    <x v="0"/>
    <x v="1"/>
    <n v="22.5"/>
    <x v="583"/>
    <d v="2025-01-28T00:00:00"/>
    <d v="2025-01-31T00:00:00"/>
    <s v="M"/>
    <x v="0"/>
    <x v="0"/>
    <x v="0"/>
    <x v="3"/>
    <x v="2"/>
    <x v="4"/>
    <x v="1"/>
  </r>
  <r>
    <s v="TX500642"/>
    <x v="6"/>
    <x v="12"/>
    <n v="70.8"/>
    <x v="584"/>
    <d v="2025-01-28T00:00:00"/>
    <d v="2025-01-30T00:00:00"/>
    <s v="F"/>
    <x v="4"/>
    <x v="0"/>
    <x v="0"/>
    <x v="3"/>
    <x v="1"/>
    <x v="4"/>
    <x v="2"/>
  </r>
  <r>
    <s v="TX500643"/>
    <x v="6"/>
    <x v="9"/>
    <n v="56.6"/>
    <x v="585"/>
    <d v="2025-01-28T00:00:00"/>
    <d v="2025-01-30T00:00:00"/>
    <s v="M"/>
    <x v="0"/>
    <x v="1"/>
    <x v="0"/>
    <x v="4"/>
    <x v="1"/>
    <x v="4"/>
    <x v="1"/>
  </r>
  <r>
    <s v="TX500644"/>
    <x v="6"/>
    <x v="1"/>
    <n v="47.9"/>
    <x v="586"/>
    <d v="2025-01-28T00:00:00"/>
    <d v="2025-01-29T00:00:00"/>
    <s v="F"/>
    <x v="0"/>
    <x v="0"/>
    <x v="0"/>
    <x v="6"/>
    <x v="3"/>
    <x v="4"/>
    <x v="2"/>
  </r>
  <r>
    <s v="TX500645"/>
    <x v="6"/>
    <x v="8"/>
    <n v="78.400000000000006"/>
    <x v="587"/>
    <d v="2025-01-28T00:00:00"/>
    <d v="2025-01-30T00:00:00"/>
    <s v="F"/>
    <x v="1"/>
    <x v="0"/>
    <x v="0"/>
    <x v="6"/>
    <x v="1"/>
    <x v="4"/>
    <x v="2"/>
  </r>
  <r>
    <s v="TX500646"/>
    <x v="2"/>
    <x v="21"/>
    <n v="122.1"/>
    <x v="588"/>
    <d v="2025-01-28T00:00:00"/>
    <d v="2025-02-02T00:00:00"/>
    <s v="F"/>
    <x v="0"/>
    <x v="2"/>
    <x v="0"/>
    <x v="6"/>
    <x v="0"/>
    <x v="4"/>
    <x v="2"/>
  </r>
  <r>
    <s v="TX500647"/>
    <x v="2"/>
    <x v="1"/>
    <n v="83.7"/>
    <x v="589"/>
    <d v="2025-01-29T00:00:00"/>
    <d v="2025-01-29T00:00:00"/>
    <s v=""/>
    <x v="1"/>
    <x v="2"/>
    <x v="0"/>
    <x v="7"/>
    <x v="7"/>
    <x v="4"/>
    <x v="0"/>
  </r>
  <r>
    <s v="TX500648"/>
    <x v="3"/>
    <x v="12"/>
    <n v="97.9"/>
    <x v="590"/>
    <d v="2025-01-29T00:00:00"/>
    <d v="2025-02-02T00:00:00"/>
    <s v="F"/>
    <x v="3"/>
    <x v="2"/>
    <x v="0"/>
    <x v="7"/>
    <x v="5"/>
    <x v="4"/>
    <x v="2"/>
  </r>
  <r>
    <s v="TX500649"/>
    <x v="14"/>
    <x v="0"/>
    <n v="15"/>
    <x v="591"/>
    <d v="2025-01-29T00:00:00"/>
    <d v="2025-02-03T00:00:00"/>
    <s v="F"/>
    <x v="3"/>
    <x v="0"/>
    <x v="0"/>
    <x v="8"/>
    <x v="0"/>
    <x v="4"/>
    <x v="2"/>
  </r>
  <r>
    <s v="TX500650"/>
    <x v="12"/>
    <x v="2"/>
    <n v="94.6"/>
    <x v="592"/>
    <d v="2025-01-29T00:00:00"/>
    <d v="2025-01-30T00:00:00"/>
    <s v="M"/>
    <x v="2"/>
    <x v="1"/>
    <x v="0"/>
    <x v="8"/>
    <x v="3"/>
    <x v="4"/>
    <x v="1"/>
  </r>
  <r>
    <s v="TX500651"/>
    <x v="0"/>
    <x v="13"/>
    <n v="19.7"/>
    <x v="593"/>
    <d v="2025-01-29T00:00:00"/>
    <d v="2025-02-09T00:00:00"/>
    <s v="F"/>
    <x v="0"/>
    <x v="2"/>
    <x v="0"/>
    <x v="8"/>
    <x v="11"/>
    <x v="4"/>
    <x v="2"/>
  </r>
  <r>
    <s v="TX500652"/>
    <x v="7"/>
    <x v="0"/>
    <n v="46.7"/>
    <x v="594"/>
    <d v="2025-01-29T00:00:00"/>
    <d v="2025-02-01T00:00:00"/>
    <s v="F"/>
    <x v="2"/>
    <x v="0"/>
    <x v="0"/>
    <x v="17"/>
    <x v="2"/>
    <x v="4"/>
    <x v="2"/>
  </r>
  <r>
    <s v="TX500653"/>
    <x v="1"/>
    <x v="12"/>
    <n v="43"/>
    <x v="595"/>
    <d v="2025-01-29T00:00:00"/>
    <d v="2025-01-30T00:00:00"/>
    <s v="M"/>
    <x v="2"/>
    <x v="2"/>
    <x v="0"/>
    <x v="17"/>
    <x v="3"/>
    <x v="4"/>
    <x v="1"/>
  </r>
  <r>
    <s v="TX500654"/>
    <x v="6"/>
    <x v="2"/>
    <n v="68.2"/>
    <x v="214"/>
    <d v="2025-01-29T00:00:00"/>
    <d v="2025-02-04T00:00:00"/>
    <s v="F"/>
    <x v="0"/>
    <x v="0"/>
    <x v="0"/>
    <x v="9"/>
    <x v="4"/>
    <x v="4"/>
    <x v="2"/>
  </r>
  <r>
    <s v="TX500655"/>
    <x v="10"/>
    <x v="7"/>
    <n v="24.3"/>
    <x v="596"/>
    <d v="2025-01-29T00:00:00"/>
    <d v="2025-01-30T00:00:00"/>
    <s v="M"/>
    <x v="0"/>
    <x v="2"/>
    <x v="0"/>
    <x v="10"/>
    <x v="3"/>
    <x v="4"/>
    <x v="1"/>
  </r>
  <r>
    <s v="TX500656"/>
    <x v="7"/>
    <x v="1"/>
    <n v="86.8"/>
    <x v="597"/>
    <d v="2025-01-29T00:00:00"/>
    <d v="2025-02-02T00:00:00"/>
    <s v="F"/>
    <x v="4"/>
    <x v="2"/>
    <x v="0"/>
    <x v="11"/>
    <x v="5"/>
    <x v="4"/>
    <x v="2"/>
  </r>
  <r>
    <s v="TX500657"/>
    <x v="0"/>
    <x v="1"/>
    <n v="15.8"/>
    <x v="35"/>
    <d v="2025-01-29T00:00:00"/>
    <d v="2025-01-31T00:00:00"/>
    <s v="M"/>
    <x v="1"/>
    <x v="0"/>
    <x v="0"/>
    <x v="11"/>
    <x v="1"/>
    <x v="4"/>
    <x v="1"/>
  </r>
  <r>
    <s v="TX500658"/>
    <x v="2"/>
    <x v="12"/>
    <n v="61.6"/>
    <x v="598"/>
    <d v="2025-01-29T00:00:00"/>
    <d v="2025-01-30T00:00:00"/>
    <s v="M"/>
    <x v="2"/>
    <x v="0"/>
    <x v="0"/>
    <x v="11"/>
    <x v="3"/>
    <x v="4"/>
    <x v="1"/>
  </r>
  <r>
    <s v="TX500659"/>
    <x v="6"/>
    <x v="2"/>
    <n v="48.7"/>
    <x v="599"/>
    <d v="2025-01-29T00:00:00"/>
    <d v="2025-02-04T00:00:00"/>
    <s v="F"/>
    <x v="1"/>
    <x v="2"/>
    <x v="0"/>
    <x v="45"/>
    <x v="4"/>
    <x v="4"/>
    <x v="2"/>
  </r>
  <r>
    <s v="TX500660"/>
    <x v="8"/>
    <x v="12"/>
    <n v="24.3"/>
    <x v="451"/>
    <d v="2025-01-29T00:00:00"/>
    <d v="2025-01-31T00:00:00"/>
    <s v="F"/>
    <x v="1"/>
    <x v="2"/>
    <x v="0"/>
    <x v="21"/>
    <x v="1"/>
    <x v="4"/>
    <x v="2"/>
  </r>
  <r>
    <s v="TX500661"/>
    <x v="2"/>
    <x v="1"/>
    <n v="130.69999999999999"/>
    <x v="600"/>
    <d v="2025-01-29T00:00:00"/>
    <d v="2025-01-30T00:00:00"/>
    <s v="F"/>
    <x v="2"/>
    <x v="0"/>
    <x v="0"/>
    <x v="44"/>
    <x v="3"/>
    <x v="4"/>
    <x v="2"/>
  </r>
  <r>
    <s v="TX500662"/>
    <x v="10"/>
    <x v="0"/>
    <n v="26"/>
    <x v="601"/>
    <d v="2025-01-29T00:00:00"/>
    <d v="2025-01-31T00:00:00"/>
    <s v="M"/>
    <x v="0"/>
    <x v="0"/>
    <x v="0"/>
    <x v="3"/>
    <x v="1"/>
    <x v="4"/>
    <x v="1"/>
  </r>
  <r>
    <s v="TX500663"/>
    <x v="2"/>
    <x v="9"/>
    <n v="94.4"/>
    <x v="602"/>
    <d v="2025-01-29T00:00:00"/>
    <d v="2025-01-30T00:00:00"/>
    <s v="F"/>
    <x v="0"/>
    <x v="0"/>
    <x v="0"/>
    <x v="3"/>
    <x v="3"/>
    <x v="4"/>
    <x v="2"/>
  </r>
  <r>
    <s v="TX500664"/>
    <x v="0"/>
    <x v="13"/>
    <n v="23.7"/>
    <x v="60"/>
    <d v="2025-01-29T00:00:00"/>
    <d v="2025-01-31T00:00:00"/>
    <s v="M"/>
    <x v="2"/>
    <x v="2"/>
    <x v="0"/>
    <x v="3"/>
    <x v="1"/>
    <x v="4"/>
    <x v="1"/>
  </r>
  <r>
    <s v="TX500665"/>
    <x v="9"/>
    <x v="4"/>
    <n v="37.4"/>
    <x v="603"/>
    <d v="2025-01-29T00:00:00"/>
    <d v="2025-01-31T00:00:00"/>
    <s v="M"/>
    <x v="2"/>
    <x v="0"/>
    <x v="0"/>
    <x v="3"/>
    <x v="1"/>
    <x v="4"/>
    <x v="1"/>
  </r>
  <r>
    <s v="TX500666"/>
    <x v="1"/>
    <x v="34"/>
    <n v="55.2"/>
    <x v="604"/>
    <d v="2025-01-29T00:00:00"/>
    <d v="2025-01-29T00:00:00"/>
    <s v="F"/>
    <x v="3"/>
    <x v="1"/>
    <x v="0"/>
    <x v="3"/>
    <x v="7"/>
    <x v="4"/>
    <x v="2"/>
  </r>
  <r>
    <s v="TX500667"/>
    <x v="2"/>
    <x v="11"/>
    <n v="57.1"/>
    <x v="605"/>
    <d v="2025-01-29T00:00:00"/>
    <d v="2025-01-31T00:00:00"/>
    <s v="M"/>
    <x v="0"/>
    <x v="2"/>
    <x v="0"/>
    <x v="3"/>
    <x v="1"/>
    <x v="4"/>
    <x v="1"/>
  </r>
  <r>
    <s v="TX500668"/>
    <x v="12"/>
    <x v="0"/>
    <n v="55.3"/>
    <x v="6"/>
    <d v="2025-01-29T00:00:00"/>
    <d v="2025-01-30T00:00:00"/>
    <s v="F"/>
    <x v="2"/>
    <x v="2"/>
    <x v="0"/>
    <x v="3"/>
    <x v="3"/>
    <x v="4"/>
    <x v="2"/>
  </r>
  <r>
    <s v="TX500669"/>
    <x v="15"/>
    <x v="3"/>
    <n v="23.9"/>
    <x v="606"/>
    <d v="2025-01-29T00:00:00"/>
    <d v="2025-01-30T00:00:00"/>
    <s v="F"/>
    <x v="4"/>
    <x v="1"/>
    <x v="0"/>
    <x v="3"/>
    <x v="3"/>
    <x v="4"/>
    <x v="2"/>
  </r>
  <r>
    <s v="TX500670"/>
    <x v="0"/>
    <x v="0"/>
    <n v="34.1"/>
    <x v="607"/>
    <d v="2025-01-29T00:00:00"/>
    <d v="2025-02-05T00:00:00"/>
    <s v="F"/>
    <x v="2"/>
    <x v="0"/>
    <x v="0"/>
    <x v="3"/>
    <x v="6"/>
    <x v="4"/>
    <x v="2"/>
  </r>
  <r>
    <s v="TX500671"/>
    <x v="12"/>
    <x v="12"/>
    <n v="38.5"/>
    <x v="608"/>
    <d v="2025-01-29T00:00:00"/>
    <d v="2025-02-09T00:00:00"/>
    <s v="F"/>
    <x v="0"/>
    <x v="0"/>
    <x v="0"/>
    <x v="3"/>
    <x v="11"/>
    <x v="4"/>
    <x v="2"/>
  </r>
  <r>
    <s v="TX500672"/>
    <x v="7"/>
    <x v="1"/>
    <n v="105"/>
    <x v="609"/>
    <d v="2025-01-29T00:00:00"/>
    <d v="2025-02-04T00:00:00"/>
    <s v="F"/>
    <x v="0"/>
    <x v="2"/>
    <x v="0"/>
    <x v="3"/>
    <x v="4"/>
    <x v="4"/>
    <x v="2"/>
  </r>
  <r>
    <s v="TX500673"/>
    <x v="8"/>
    <x v="9"/>
    <n v="45.2"/>
    <x v="326"/>
    <d v="2025-01-29T00:00:00"/>
    <d v="2025-01-31T00:00:00"/>
    <s v="F"/>
    <x v="0"/>
    <x v="2"/>
    <x v="0"/>
    <x v="3"/>
    <x v="1"/>
    <x v="4"/>
    <x v="2"/>
  </r>
  <r>
    <s v="TX500674"/>
    <x v="17"/>
    <x v="2"/>
    <n v="24.8"/>
    <x v="610"/>
    <d v="2025-01-29T00:00:00"/>
    <d v="2025-01-29T00:00:00"/>
    <s v=""/>
    <x v="0"/>
    <x v="1"/>
    <x v="0"/>
    <x v="3"/>
    <x v="7"/>
    <x v="4"/>
    <x v="0"/>
  </r>
  <r>
    <s v="TX500675"/>
    <x v="11"/>
    <x v="12"/>
    <n v="43.8"/>
    <x v="122"/>
    <d v="2025-01-29T00:00:00"/>
    <d v="2025-02-05T00:00:00"/>
    <s v="F"/>
    <x v="1"/>
    <x v="2"/>
    <x v="0"/>
    <x v="6"/>
    <x v="6"/>
    <x v="4"/>
    <x v="2"/>
  </r>
  <r>
    <s v="TX500676"/>
    <x v="1"/>
    <x v="0"/>
    <n v="75"/>
    <x v="611"/>
    <d v="2025-01-29T00:00:00"/>
    <d v="2025-01-31T00:00:00"/>
    <s v="F"/>
    <x v="4"/>
    <x v="1"/>
    <x v="0"/>
    <x v="6"/>
    <x v="1"/>
    <x v="4"/>
    <x v="2"/>
  </r>
  <r>
    <s v="TX500677"/>
    <x v="2"/>
    <x v="0"/>
    <n v="169.9"/>
    <x v="612"/>
    <d v="2025-01-29T00:00:00"/>
    <d v="2025-01-30T00:00:00"/>
    <s v="M"/>
    <x v="2"/>
    <x v="0"/>
    <x v="0"/>
    <x v="6"/>
    <x v="3"/>
    <x v="4"/>
    <x v="1"/>
  </r>
  <r>
    <s v="TX500678"/>
    <x v="9"/>
    <x v="1"/>
    <n v="72.2"/>
    <x v="613"/>
    <d v="2025-01-29T00:00:00"/>
    <d v="2025-01-31T00:00:00"/>
    <s v="F"/>
    <x v="4"/>
    <x v="1"/>
    <x v="0"/>
    <x v="6"/>
    <x v="1"/>
    <x v="4"/>
    <x v="2"/>
  </r>
  <r>
    <s v="TX500679"/>
    <x v="0"/>
    <x v="0"/>
    <n v="20"/>
    <x v="614"/>
    <d v="2025-01-30T00:00:00"/>
    <d v="2025-02-02T00:00:00"/>
    <s v="F"/>
    <x v="2"/>
    <x v="1"/>
    <x v="0"/>
    <x v="7"/>
    <x v="2"/>
    <x v="4"/>
    <x v="2"/>
  </r>
  <r>
    <s v="TX500680"/>
    <x v="9"/>
    <x v="1"/>
    <n v="40.799999999999997"/>
    <x v="330"/>
    <d v="2025-01-30T00:00:00"/>
    <d v="2025-02-01T00:00:00"/>
    <s v="F"/>
    <x v="3"/>
    <x v="2"/>
    <x v="0"/>
    <x v="8"/>
    <x v="1"/>
    <x v="4"/>
    <x v="2"/>
  </r>
  <r>
    <s v="TX500681"/>
    <x v="10"/>
    <x v="12"/>
    <n v="58"/>
    <x v="615"/>
    <d v="2025-01-30T00:00:00"/>
    <d v="2025-02-03T00:00:00"/>
    <s v="F"/>
    <x v="0"/>
    <x v="0"/>
    <x v="0"/>
    <x v="8"/>
    <x v="5"/>
    <x v="4"/>
    <x v="2"/>
  </r>
  <r>
    <s v="TX500682"/>
    <x v="12"/>
    <x v="1"/>
    <n v="43.1"/>
    <x v="616"/>
    <d v="2025-01-30T00:00:00"/>
    <d v="2025-01-31T00:00:00"/>
    <s v="F"/>
    <x v="1"/>
    <x v="2"/>
    <x v="0"/>
    <x v="8"/>
    <x v="3"/>
    <x v="4"/>
    <x v="2"/>
  </r>
  <r>
    <s v="TX500683"/>
    <x v="6"/>
    <x v="11"/>
    <n v="74.7"/>
    <x v="617"/>
    <d v="2025-01-30T00:00:00"/>
    <d v="2025-02-01T00:00:00"/>
    <s v="M"/>
    <x v="0"/>
    <x v="2"/>
    <x v="0"/>
    <x v="8"/>
    <x v="1"/>
    <x v="4"/>
    <x v="1"/>
  </r>
  <r>
    <s v="TX500684"/>
    <x v="6"/>
    <x v="0"/>
    <n v="128.19999999999999"/>
    <x v="618"/>
    <d v="2025-01-30T00:00:00"/>
    <d v="2025-01-30T00:00:00"/>
    <s v="M"/>
    <x v="1"/>
    <x v="0"/>
    <x v="0"/>
    <x v="8"/>
    <x v="7"/>
    <x v="4"/>
    <x v="1"/>
  </r>
  <r>
    <s v="TX500685"/>
    <x v="14"/>
    <x v="12"/>
    <n v="26.7"/>
    <x v="619"/>
    <d v="2025-01-30T00:00:00"/>
    <d v="2025-01-31T00:00:00"/>
    <s v="M"/>
    <x v="1"/>
    <x v="0"/>
    <x v="0"/>
    <x v="8"/>
    <x v="3"/>
    <x v="4"/>
    <x v="1"/>
  </r>
  <r>
    <s v="TX500686"/>
    <x v="17"/>
    <x v="13"/>
    <n v="31.5"/>
    <x v="620"/>
    <d v="2025-01-30T00:00:00"/>
    <d v="2025-01-31T00:00:00"/>
    <s v="F"/>
    <x v="2"/>
    <x v="0"/>
    <x v="0"/>
    <x v="17"/>
    <x v="3"/>
    <x v="4"/>
    <x v="2"/>
  </r>
  <r>
    <s v="TX500687"/>
    <x v="3"/>
    <x v="3"/>
    <n v="64.7"/>
    <x v="621"/>
    <d v="2025-01-30T00:00:00"/>
    <d v="2025-01-31T00:00:00"/>
    <s v="F"/>
    <x v="0"/>
    <x v="2"/>
    <x v="0"/>
    <x v="9"/>
    <x v="3"/>
    <x v="4"/>
    <x v="2"/>
  </r>
  <r>
    <s v="TX500688"/>
    <x v="5"/>
    <x v="1"/>
    <n v="55.6"/>
    <x v="622"/>
    <d v="2025-01-30T00:00:00"/>
    <d v="2025-02-02T00:00:00"/>
    <s v="F"/>
    <x v="3"/>
    <x v="0"/>
    <x v="0"/>
    <x v="11"/>
    <x v="2"/>
    <x v="4"/>
    <x v="2"/>
  </r>
  <r>
    <s v="TX500689"/>
    <x v="3"/>
    <x v="1"/>
    <n v="36.200000000000003"/>
    <x v="623"/>
    <d v="2025-01-30T00:00:00"/>
    <d v="2025-01-31T00:00:00"/>
    <s v="F"/>
    <x v="3"/>
    <x v="0"/>
    <x v="0"/>
    <x v="11"/>
    <x v="3"/>
    <x v="4"/>
    <x v="2"/>
  </r>
  <r>
    <s v="TX500690"/>
    <x v="0"/>
    <x v="0"/>
    <n v="26.6"/>
    <x v="534"/>
    <d v="2025-01-30T00:00:00"/>
    <d v="2025-01-31T00:00:00"/>
    <s v=""/>
    <x v="1"/>
    <x v="1"/>
    <x v="0"/>
    <x v="19"/>
    <x v="3"/>
    <x v="4"/>
    <x v="0"/>
  </r>
  <r>
    <s v="TX500691"/>
    <x v="10"/>
    <x v="12"/>
    <n v="31.5"/>
    <x v="624"/>
    <d v="2025-01-30T00:00:00"/>
    <d v="2025-02-01T00:00:00"/>
    <s v="M"/>
    <x v="0"/>
    <x v="0"/>
    <x v="0"/>
    <x v="31"/>
    <x v="1"/>
    <x v="4"/>
    <x v="1"/>
  </r>
  <r>
    <s v="TX500692"/>
    <x v="10"/>
    <x v="0"/>
    <n v="27"/>
    <x v="49"/>
    <d v="2025-01-30T00:00:00"/>
    <d v="2025-02-01T00:00:00"/>
    <s v="F"/>
    <x v="1"/>
    <x v="2"/>
    <x v="0"/>
    <x v="13"/>
    <x v="1"/>
    <x v="4"/>
    <x v="2"/>
  </r>
  <r>
    <s v="TX500693"/>
    <x v="4"/>
    <x v="0"/>
    <n v="32"/>
    <x v="109"/>
    <d v="2025-01-30T00:00:00"/>
    <d v="2025-02-02T00:00:00"/>
    <s v="M"/>
    <x v="3"/>
    <x v="0"/>
    <x v="0"/>
    <x v="21"/>
    <x v="2"/>
    <x v="4"/>
    <x v="1"/>
  </r>
  <r>
    <s v="TX500694"/>
    <x v="1"/>
    <x v="2"/>
    <n v="48.1"/>
    <x v="625"/>
    <d v="2025-01-30T00:00:00"/>
    <d v="2025-02-01T00:00:00"/>
    <s v="M"/>
    <x v="2"/>
    <x v="1"/>
    <x v="0"/>
    <x v="1"/>
    <x v="1"/>
    <x v="4"/>
    <x v="1"/>
  </r>
  <r>
    <s v="TX500695"/>
    <x v="9"/>
    <x v="1"/>
    <n v="43.4"/>
    <x v="626"/>
    <d v="2025-01-30T00:00:00"/>
    <d v="2025-01-31T00:00:00"/>
    <s v="M"/>
    <x v="1"/>
    <x v="1"/>
    <x v="0"/>
    <x v="22"/>
    <x v="3"/>
    <x v="4"/>
    <x v="1"/>
  </r>
  <r>
    <s v="TX500696"/>
    <x v="6"/>
    <x v="1"/>
    <n v="42.6"/>
    <x v="464"/>
    <d v="2025-01-30T00:00:00"/>
    <d v="2025-02-02T00:00:00"/>
    <s v="F"/>
    <x v="3"/>
    <x v="0"/>
    <x v="0"/>
    <x v="22"/>
    <x v="2"/>
    <x v="4"/>
    <x v="2"/>
  </r>
  <r>
    <s v="TX500697"/>
    <x v="8"/>
    <x v="1"/>
    <n v="15.9"/>
    <x v="627"/>
    <d v="2025-01-30T00:00:00"/>
    <d v="2025-01-31T00:00:00"/>
    <s v="F"/>
    <x v="0"/>
    <x v="0"/>
    <x v="0"/>
    <x v="34"/>
    <x v="3"/>
    <x v="4"/>
    <x v="2"/>
  </r>
  <r>
    <s v="TX500698"/>
    <x v="9"/>
    <x v="1"/>
    <n v="63.2"/>
    <x v="628"/>
    <d v="2025-01-30T00:00:00"/>
    <d v="2025-01-31T00:00:00"/>
    <s v="M"/>
    <x v="1"/>
    <x v="0"/>
    <x v="0"/>
    <x v="3"/>
    <x v="3"/>
    <x v="4"/>
    <x v="1"/>
  </r>
  <r>
    <s v="TX500699"/>
    <x v="7"/>
    <x v="12"/>
    <n v="64.8"/>
    <x v="629"/>
    <d v="2025-01-30T00:00:00"/>
    <d v="2025-02-01T00:00:00"/>
    <s v=""/>
    <x v="4"/>
    <x v="1"/>
    <x v="0"/>
    <x v="3"/>
    <x v="1"/>
    <x v="4"/>
    <x v="0"/>
  </r>
  <r>
    <s v="TX500700"/>
    <x v="7"/>
    <x v="2"/>
    <n v="79.8"/>
    <x v="342"/>
    <d v="2025-01-30T00:00:00"/>
    <d v="2025-01-31T00:00:00"/>
    <s v="M"/>
    <x v="0"/>
    <x v="0"/>
    <x v="0"/>
    <x v="3"/>
    <x v="3"/>
    <x v="4"/>
    <x v="1"/>
  </r>
  <r>
    <s v="TX500701"/>
    <x v="9"/>
    <x v="0"/>
    <n v="54.4"/>
    <x v="630"/>
    <d v="2025-01-30T00:00:00"/>
    <d v="2025-02-01T00:00:00"/>
    <s v="F"/>
    <x v="4"/>
    <x v="2"/>
    <x v="0"/>
    <x v="3"/>
    <x v="1"/>
    <x v="4"/>
    <x v="2"/>
  </r>
  <r>
    <s v="TX500702"/>
    <x v="6"/>
    <x v="0"/>
    <n v="87.3"/>
    <x v="631"/>
    <d v="2025-01-30T00:00:00"/>
    <d v="2025-01-31T00:00:00"/>
    <s v="M"/>
    <x v="1"/>
    <x v="0"/>
    <x v="0"/>
    <x v="3"/>
    <x v="3"/>
    <x v="4"/>
    <x v="1"/>
  </r>
  <r>
    <s v="TX500703"/>
    <x v="8"/>
    <x v="12"/>
    <n v="32.4"/>
    <x v="632"/>
    <d v="2025-01-30T00:00:00"/>
    <d v="2025-01-30T00:00:00"/>
    <s v="M"/>
    <x v="1"/>
    <x v="0"/>
    <x v="0"/>
    <x v="3"/>
    <x v="7"/>
    <x v="4"/>
    <x v="1"/>
  </r>
  <r>
    <s v="TX500704"/>
    <x v="2"/>
    <x v="0"/>
    <n v="177.4"/>
    <x v="633"/>
    <d v="2025-01-30T00:00:00"/>
    <d v="2025-02-03T00:00:00"/>
    <s v="M"/>
    <x v="0"/>
    <x v="2"/>
    <x v="0"/>
    <x v="3"/>
    <x v="5"/>
    <x v="4"/>
    <x v="1"/>
  </r>
  <r>
    <s v="TX500705"/>
    <x v="7"/>
    <x v="1"/>
    <n v="70.099999999999994"/>
    <x v="634"/>
    <d v="2025-01-30T00:00:00"/>
    <d v="2025-01-31T00:00:00"/>
    <s v="M"/>
    <x v="3"/>
    <x v="1"/>
    <x v="0"/>
    <x v="3"/>
    <x v="3"/>
    <x v="4"/>
    <x v="1"/>
  </r>
  <r>
    <s v="TX500706"/>
    <x v="9"/>
    <x v="13"/>
    <n v="51.1"/>
    <x v="567"/>
    <d v="2025-01-30T00:00:00"/>
    <d v="2025-01-31T00:00:00"/>
    <s v="F"/>
    <x v="0"/>
    <x v="0"/>
    <x v="0"/>
    <x v="3"/>
    <x v="3"/>
    <x v="4"/>
    <x v="2"/>
  </r>
  <r>
    <s v="TX500707"/>
    <x v="2"/>
    <x v="9"/>
    <n v="79.900000000000006"/>
    <x v="635"/>
    <d v="2025-01-30T00:00:00"/>
    <d v="2025-02-01T00:00:00"/>
    <s v="M"/>
    <x v="3"/>
    <x v="2"/>
    <x v="0"/>
    <x v="24"/>
    <x v="1"/>
    <x v="4"/>
    <x v="1"/>
  </r>
  <r>
    <s v="TX500708"/>
    <x v="6"/>
    <x v="0"/>
    <n v="57.6"/>
    <x v="636"/>
    <d v="2025-01-31T00:00:00"/>
    <d v="2025-02-05T00:00:00"/>
    <s v="M"/>
    <x v="0"/>
    <x v="2"/>
    <x v="0"/>
    <x v="49"/>
    <x v="0"/>
    <x v="4"/>
    <x v="1"/>
  </r>
  <r>
    <s v="TX500709"/>
    <x v="8"/>
    <x v="7"/>
    <n v="59.7"/>
    <x v="637"/>
    <d v="2025-01-31T00:00:00"/>
    <d v="2025-02-04T00:00:00"/>
    <s v="M"/>
    <x v="2"/>
    <x v="0"/>
    <x v="0"/>
    <x v="25"/>
    <x v="5"/>
    <x v="4"/>
    <x v="1"/>
  </r>
  <r>
    <s v="TX500710"/>
    <x v="8"/>
    <x v="9"/>
    <n v="30"/>
    <x v="638"/>
    <d v="2025-01-31T00:00:00"/>
    <d v="2025-02-02T00:00:00"/>
    <s v="M"/>
    <x v="1"/>
    <x v="0"/>
    <x v="0"/>
    <x v="6"/>
    <x v="1"/>
    <x v="4"/>
    <x v="1"/>
  </r>
  <r>
    <s v="TX500711"/>
    <x v="10"/>
    <x v="1"/>
    <n v="69.2"/>
    <x v="639"/>
    <d v="2025-01-31T00:00:00"/>
    <d v="2025-02-02T00:00:00"/>
    <s v=""/>
    <x v="2"/>
    <x v="1"/>
    <x v="0"/>
    <x v="6"/>
    <x v="1"/>
    <x v="4"/>
    <x v="0"/>
  </r>
  <r>
    <s v="TX500712"/>
    <x v="0"/>
    <x v="8"/>
    <n v="10.9"/>
    <x v="640"/>
    <d v="2025-01-31T00:00:00"/>
    <d v="2025-02-01T00:00:00"/>
    <s v="F"/>
    <x v="0"/>
    <x v="2"/>
    <x v="0"/>
    <x v="6"/>
    <x v="3"/>
    <x v="4"/>
    <x v="2"/>
  </r>
  <r>
    <s v="TX500713"/>
    <x v="16"/>
    <x v="1"/>
    <n v="48.6"/>
    <x v="451"/>
    <d v="2025-01-31T00:00:00"/>
    <d v="2025-02-04T00:00:00"/>
    <s v="M"/>
    <x v="1"/>
    <x v="2"/>
    <x v="0"/>
    <x v="6"/>
    <x v="5"/>
    <x v="4"/>
    <x v="1"/>
  </r>
  <r>
    <s v="TX500714"/>
    <x v="2"/>
    <x v="1"/>
    <n v="61.1"/>
    <x v="641"/>
    <d v="2025-01-31T00:00:00"/>
    <d v="2025-02-03T00:00:00"/>
    <s v="F"/>
    <x v="1"/>
    <x v="2"/>
    <x v="0"/>
    <x v="7"/>
    <x v="2"/>
    <x v="4"/>
    <x v="2"/>
  </r>
  <r>
    <s v="TX500715"/>
    <x v="8"/>
    <x v="1"/>
    <n v="23.2"/>
    <x v="434"/>
    <d v="2025-01-31T00:00:00"/>
    <d v="2025-02-01T00:00:00"/>
    <s v="M"/>
    <x v="3"/>
    <x v="2"/>
    <x v="0"/>
    <x v="8"/>
    <x v="3"/>
    <x v="4"/>
    <x v="1"/>
  </r>
  <r>
    <s v="TX500716"/>
    <x v="12"/>
    <x v="12"/>
    <n v="55.8"/>
    <x v="642"/>
    <d v="2025-01-31T00:00:00"/>
    <d v="2025-02-01T00:00:00"/>
    <s v="M"/>
    <x v="0"/>
    <x v="0"/>
    <x v="0"/>
    <x v="8"/>
    <x v="3"/>
    <x v="4"/>
    <x v="1"/>
  </r>
  <r>
    <s v="TX500717"/>
    <x v="9"/>
    <x v="12"/>
    <n v="24.8"/>
    <x v="643"/>
    <d v="2025-01-31T00:00:00"/>
    <d v="2025-02-01T00:00:00"/>
    <s v="F"/>
    <x v="0"/>
    <x v="2"/>
    <x v="0"/>
    <x v="8"/>
    <x v="3"/>
    <x v="4"/>
    <x v="2"/>
  </r>
  <r>
    <s v="TX500718"/>
    <x v="10"/>
    <x v="1"/>
    <n v="27.9"/>
    <x v="391"/>
    <d v="2025-01-31T00:00:00"/>
    <d v="2025-01-31T00:00:00"/>
    <s v="M"/>
    <x v="2"/>
    <x v="2"/>
    <x v="0"/>
    <x v="8"/>
    <x v="7"/>
    <x v="4"/>
    <x v="1"/>
  </r>
  <r>
    <s v="TX500719"/>
    <x v="10"/>
    <x v="13"/>
    <n v="51.1"/>
    <x v="567"/>
    <d v="2025-01-31T00:00:00"/>
    <d v="2025-01-31T00:00:00"/>
    <s v="F"/>
    <x v="3"/>
    <x v="0"/>
    <x v="0"/>
    <x v="8"/>
    <x v="7"/>
    <x v="4"/>
    <x v="2"/>
  </r>
  <r>
    <s v="TX500720"/>
    <x v="17"/>
    <x v="5"/>
    <n v="32.700000000000003"/>
    <x v="644"/>
    <d v="2025-01-31T00:00:00"/>
    <d v="2025-02-01T00:00:00"/>
    <s v="M"/>
    <x v="4"/>
    <x v="2"/>
    <x v="0"/>
    <x v="17"/>
    <x v="3"/>
    <x v="4"/>
    <x v="1"/>
  </r>
  <r>
    <s v="TX500721"/>
    <x v="8"/>
    <x v="12"/>
    <n v="22.5"/>
    <x v="645"/>
    <d v="2025-01-31T00:00:00"/>
    <d v="2025-01-31T00:00:00"/>
    <s v="M"/>
    <x v="0"/>
    <x v="2"/>
    <x v="0"/>
    <x v="26"/>
    <x v="7"/>
    <x v="4"/>
    <x v="1"/>
  </r>
  <r>
    <s v="TX500722"/>
    <x v="0"/>
    <x v="3"/>
    <n v="14.6"/>
    <x v="646"/>
    <d v="2025-01-31T00:00:00"/>
    <d v="2025-02-01T00:00:00"/>
    <s v="F"/>
    <x v="2"/>
    <x v="0"/>
    <x v="0"/>
    <x v="41"/>
    <x v="3"/>
    <x v="4"/>
    <x v="2"/>
  </r>
  <r>
    <s v="TX500723"/>
    <x v="5"/>
    <x v="2"/>
    <n v="32.5"/>
    <x v="647"/>
    <d v="2025-01-31T00:00:00"/>
    <d v="2025-02-03T00:00:00"/>
    <s v="M"/>
    <x v="0"/>
    <x v="0"/>
    <x v="0"/>
    <x v="10"/>
    <x v="2"/>
    <x v="4"/>
    <x v="1"/>
  </r>
  <r>
    <s v="TX500724"/>
    <x v="18"/>
    <x v="0"/>
    <n v="78.099999999999994"/>
    <x v="648"/>
    <d v="2025-01-31T00:00:00"/>
    <d v="2025-02-03T00:00:00"/>
    <s v="M"/>
    <x v="0"/>
    <x v="2"/>
    <x v="0"/>
    <x v="11"/>
    <x v="2"/>
    <x v="4"/>
    <x v="1"/>
  </r>
  <r>
    <s v="TX500725"/>
    <x v="12"/>
    <x v="13"/>
    <n v="110.2"/>
    <x v="649"/>
    <d v="2025-01-31T00:00:00"/>
    <d v="2025-01-31T00:00:00"/>
    <s v="M"/>
    <x v="1"/>
    <x v="4"/>
    <x v="0"/>
    <x v="13"/>
    <x v="7"/>
    <x v="4"/>
    <x v="1"/>
  </r>
  <r>
    <s v="TX500726"/>
    <x v="6"/>
    <x v="2"/>
    <n v="86.3"/>
    <x v="650"/>
    <d v="2025-01-31T00:00:00"/>
    <d v="2025-02-02T00:00:00"/>
    <s v="F"/>
    <x v="3"/>
    <x v="0"/>
    <x v="0"/>
    <x v="21"/>
    <x v="1"/>
    <x v="4"/>
    <x v="2"/>
  </r>
  <r>
    <s v="TX500727"/>
    <x v="1"/>
    <x v="13"/>
    <n v="73.599999999999994"/>
    <x v="651"/>
    <d v="2025-01-31T00:00:00"/>
    <d v="2025-02-02T00:00:00"/>
    <s v="O"/>
    <x v="3"/>
    <x v="4"/>
    <x v="0"/>
    <x v="44"/>
    <x v="1"/>
    <x v="4"/>
    <x v="3"/>
  </r>
  <r>
    <s v="TX500728"/>
    <x v="6"/>
    <x v="15"/>
    <n v="67.7"/>
    <x v="652"/>
    <d v="2025-01-31T00:00:00"/>
    <d v="2025-02-02T00:00:00"/>
    <s v="F"/>
    <x v="0"/>
    <x v="2"/>
    <x v="0"/>
    <x v="3"/>
    <x v="1"/>
    <x v="4"/>
    <x v="2"/>
  </r>
  <r>
    <s v="TX500729"/>
    <x v="7"/>
    <x v="13"/>
    <n v="142.19999999999999"/>
    <x v="653"/>
    <d v="2025-01-31T00:00:00"/>
    <d v="2025-02-01T00:00:00"/>
    <s v="F"/>
    <x v="2"/>
    <x v="4"/>
    <x v="0"/>
    <x v="3"/>
    <x v="3"/>
    <x v="4"/>
    <x v="2"/>
  </r>
  <r>
    <s v="TX500730"/>
    <x v="1"/>
    <x v="11"/>
    <n v="45.8"/>
    <x v="654"/>
    <d v="2025-01-31T00:00:00"/>
    <d v="2025-02-02T00:00:00"/>
    <s v="F"/>
    <x v="1"/>
    <x v="2"/>
    <x v="0"/>
    <x v="3"/>
    <x v="1"/>
    <x v="4"/>
    <x v="2"/>
  </r>
  <r>
    <s v="TX500731"/>
    <x v="10"/>
    <x v="1"/>
    <n v="24.2"/>
    <x v="655"/>
    <d v="2025-02-01T00:00:00"/>
    <d v="2025-02-04T00:00:00"/>
    <s v="F"/>
    <x v="3"/>
    <x v="2"/>
    <x v="0"/>
    <x v="3"/>
    <x v="2"/>
    <x v="4"/>
    <x v="2"/>
  </r>
  <r>
    <s v="TX500732"/>
    <x v="2"/>
    <x v="2"/>
    <n v="144.9"/>
    <x v="656"/>
    <d v="2025-02-01T00:00:00"/>
    <d v="2025-02-02T00:00:00"/>
    <s v="O"/>
    <x v="2"/>
    <x v="2"/>
    <x v="0"/>
    <x v="3"/>
    <x v="3"/>
    <x v="4"/>
    <x v="3"/>
  </r>
  <r>
    <s v="TX500733"/>
    <x v="11"/>
    <x v="9"/>
    <n v="32.799999999999997"/>
    <x v="657"/>
    <d v="2025-02-01T00:00:00"/>
    <d v="2025-02-04T00:00:00"/>
    <s v="F"/>
    <x v="2"/>
    <x v="0"/>
    <x v="0"/>
    <x v="23"/>
    <x v="2"/>
    <x v="4"/>
    <x v="2"/>
  </r>
  <r>
    <s v="TX500734"/>
    <x v="7"/>
    <x v="7"/>
    <n v="35.700000000000003"/>
    <x v="658"/>
    <d v="2025-02-01T00:00:00"/>
    <d v="2025-02-01T00:00:00"/>
    <s v="F"/>
    <x v="0"/>
    <x v="1"/>
    <x v="0"/>
    <x v="6"/>
    <x v="7"/>
    <x v="4"/>
    <x v="2"/>
  </r>
  <r>
    <s v="TX500735"/>
    <x v="9"/>
    <x v="1"/>
    <n v="54.6"/>
    <x v="659"/>
    <d v="2025-02-01T00:00:00"/>
    <d v="2025-02-02T00:00:00"/>
    <s v="F"/>
    <x v="2"/>
    <x v="0"/>
    <x v="0"/>
    <x v="6"/>
    <x v="3"/>
    <x v="4"/>
    <x v="2"/>
  </r>
  <r>
    <s v="TX500736"/>
    <x v="8"/>
    <x v="1"/>
    <n v="35.700000000000003"/>
    <x v="660"/>
    <d v="2025-02-01T00:00:00"/>
    <d v="2025-02-04T00:00:00"/>
    <s v=""/>
    <x v="0"/>
    <x v="1"/>
    <x v="0"/>
    <x v="6"/>
    <x v="2"/>
    <x v="4"/>
    <x v="0"/>
  </r>
  <r>
    <s v="TX500737"/>
    <x v="10"/>
    <x v="1"/>
    <n v="52.4"/>
    <x v="661"/>
    <d v="2025-02-01T00:00:00"/>
    <d v="2025-02-01T00:00:00"/>
    <s v="F"/>
    <x v="0"/>
    <x v="3"/>
    <x v="0"/>
    <x v="6"/>
    <x v="7"/>
    <x v="4"/>
    <x v="2"/>
  </r>
  <r>
    <s v="TX500738"/>
    <x v="8"/>
    <x v="21"/>
    <n v="16.2"/>
    <x v="662"/>
    <d v="2025-02-01T00:00:00"/>
    <d v="2025-02-02T00:00:00"/>
    <s v=""/>
    <x v="0"/>
    <x v="1"/>
    <x v="0"/>
    <x v="8"/>
    <x v="3"/>
    <x v="4"/>
    <x v="0"/>
  </r>
  <r>
    <s v="TX500739"/>
    <x v="6"/>
    <x v="35"/>
    <n v="42.8"/>
    <x v="663"/>
    <d v="2025-02-01T00:00:00"/>
    <d v="2025-02-02T00:00:00"/>
    <s v="F"/>
    <x v="0"/>
    <x v="0"/>
    <x v="0"/>
    <x v="8"/>
    <x v="3"/>
    <x v="4"/>
    <x v="2"/>
  </r>
  <r>
    <s v="TX500740"/>
    <x v="6"/>
    <x v="11"/>
    <n v="144.4"/>
    <x v="664"/>
    <d v="2025-02-01T00:00:00"/>
    <d v="2025-02-04T00:00:00"/>
    <s v="F"/>
    <x v="4"/>
    <x v="0"/>
    <x v="0"/>
    <x v="8"/>
    <x v="2"/>
    <x v="4"/>
    <x v="2"/>
  </r>
  <r>
    <s v="TX500741"/>
    <x v="3"/>
    <x v="34"/>
    <n v="30.6"/>
    <x v="665"/>
    <d v="2025-02-01T00:00:00"/>
    <d v="2025-02-05T00:00:00"/>
    <s v="F"/>
    <x v="2"/>
    <x v="2"/>
    <x v="0"/>
    <x v="11"/>
    <x v="5"/>
    <x v="4"/>
    <x v="2"/>
  </r>
  <r>
    <s v="TX500742"/>
    <x v="2"/>
    <x v="1"/>
    <n v="117.5"/>
    <x v="666"/>
    <d v="2025-02-01T00:00:00"/>
    <d v="2025-02-02T00:00:00"/>
    <s v="M"/>
    <x v="0"/>
    <x v="0"/>
    <x v="0"/>
    <x v="19"/>
    <x v="3"/>
    <x v="4"/>
    <x v="1"/>
  </r>
  <r>
    <s v="TX500743"/>
    <x v="6"/>
    <x v="1"/>
    <n v="105.7"/>
    <x v="667"/>
    <d v="2025-02-01T00:00:00"/>
    <d v="2025-02-02T00:00:00"/>
    <s v="F"/>
    <x v="2"/>
    <x v="2"/>
    <x v="0"/>
    <x v="21"/>
    <x v="3"/>
    <x v="4"/>
    <x v="2"/>
  </r>
  <r>
    <s v="TX500744"/>
    <x v="3"/>
    <x v="2"/>
    <n v="133.69999999999999"/>
    <x v="668"/>
    <d v="2025-02-01T00:00:00"/>
    <d v="2025-02-02T00:00:00"/>
    <s v=""/>
    <x v="4"/>
    <x v="2"/>
    <x v="0"/>
    <x v="21"/>
    <x v="3"/>
    <x v="4"/>
    <x v="0"/>
  </r>
  <r>
    <s v="TX500745"/>
    <x v="4"/>
    <x v="9"/>
    <n v="46.8"/>
    <x v="540"/>
    <d v="2025-02-02T00:00:00"/>
    <d v="2025-02-10T00:00:00"/>
    <s v="F"/>
    <x v="0"/>
    <x v="1"/>
    <x v="0"/>
    <x v="21"/>
    <x v="9"/>
    <x v="5"/>
    <x v="2"/>
  </r>
  <r>
    <s v="TX500746"/>
    <x v="10"/>
    <x v="2"/>
    <n v="58.4"/>
    <x v="122"/>
    <d v="2025-02-02T00:00:00"/>
    <d v="2025-02-04T00:00:00"/>
    <s v="F"/>
    <x v="0"/>
    <x v="0"/>
    <x v="0"/>
    <x v="1"/>
    <x v="1"/>
    <x v="5"/>
    <x v="2"/>
  </r>
  <r>
    <s v="TX500747"/>
    <x v="6"/>
    <x v="11"/>
    <n v="65.099999999999994"/>
    <x v="669"/>
    <d v="2025-02-02T00:00:00"/>
    <d v="2025-02-06T00:00:00"/>
    <s v="M"/>
    <x v="1"/>
    <x v="2"/>
    <x v="0"/>
    <x v="22"/>
    <x v="5"/>
    <x v="5"/>
    <x v="1"/>
  </r>
  <r>
    <s v="TX500748"/>
    <x v="8"/>
    <x v="0"/>
    <n v="18.600000000000001"/>
    <x v="670"/>
    <d v="2025-02-02T00:00:00"/>
    <d v="2025-02-05T00:00:00"/>
    <s v="F"/>
    <x v="0"/>
    <x v="4"/>
    <x v="0"/>
    <x v="22"/>
    <x v="2"/>
    <x v="5"/>
    <x v="2"/>
  </r>
  <r>
    <s v="TX500749"/>
    <x v="1"/>
    <x v="5"/>
    <n v="92.3"/>
    <x v="671"/>
    <d v="2025-02-02T00:00:00"/>
    <d v="2025-02-04T00:00:00"/>
    <s v="M"/>
    <x v="1"/>
    <x v="0"/>
    <x v="0"/>
    <x v="3"/>
    <x v="1"/>
    <x v="5"/>
    <x v="1"/>
  </r>
  <r>
    <s v="TX500750"/>
    <x v="6"/>
    <x v="2"/>
    <n v="81.7"/>
    <x v="672"/>
    <d v="2025-02-02T00:00:00"/>
    <d v="2025-02-03T00:00:00"/>
    <s v=""/>
    <x v="4"/>
    <x v="4"/>
    <x v="0"/>
    <x v="3"/>
    <x v="3"/>
    <x v="5"/>
    <x v="0"/>
  </r>
  <r>
    <s v="TX500751"/>
    <x v="8"/>
    <x v="1"/>
    <n v="40.9"/>
    <x v="673"/>
    <d v="2025-02-02T00:00:00"/>
    <d v="2025-02-04T00:00:00"/>
    <s v="M"/>
    <x v="0"/>
    <x v="1"/>
    <x v="0"/>
    <x v="3"/>
    <x v="1"/>
    <x v="5"/>
    <x v="1"/>
  </r>
  <r>
    <s v="TX500752"/>
    <x v="6"/>
    <x v="12"/>
    <n v="43.2"/>
    <x v="162"/>
    <d v="2025-02-02T00:00:00"/>
    <d v="2025-02-08T00:00:00"/>
    <s v="F"/>
    <x v="0"/>
    <x v="1"/>
    <x v="0"/>
    <x v="3"/>
    <x v="4"/>
    <x v="5"/>
    <x v="2"/>
  </r>
  <r>
    <s v="TX500753"/>
    <x v="8"/>
    <x v="5"/>
    <n v="25.8"/>
    <x v="674"/>
    <d v="2025-02-02T00:00:00"/>
    <d v="2025-02-05T00:00:00"/>
    <s v="M"/>
    <x v="2"/>
    <x v="1"/>
    <x v="0"/>
    <x v="3"/>
    <x v="2"/>
    <x v="5"/>
    <x v="1"/>
  </r>
  <r>
    <s v="TX500754"/>
    <x v="15"/>
    <x v="12"/>
    <n v="36.4"/>
    <x v="675"/>
    <d v="2025-02-02T00:00:00"/>
    <d v="2025-02-03T00:00:00"/>
    <s v="M"/>
    <x v="0"/>
    <x v="0"/>
    <x v="0"/>
    <x v="3"/>
    <x v="3"/>
    <x v="5"/>
    <x v="1"/>
  </r>
  <r>
    <s v="TX500755"/>
    <x v="10"/>
    <x v="0"/>
    <n v="59.1"/>
    <x v="676"/>
    <d v="2025-02-02T00:00:00"/>
    <d v="2025-02-03T00:00:00"/>
    <s v="F"/>
    <x v="2"/>
    <x v="0"/>
    <x v="0"/>
    <x v="7"/>
    <x v="3"/>
    <x v="5"/>
    <x v="2"/>
  </r>
  <r>
    <s v="TX500756"/>
    <x v="2"/>
    <x v="14"/>
    <n v="74.5"/>
    <x v="677"/>
    <d v="2025-02-02T00:00:00"/>
    <d v="2025-02-04T00:00:00"/>
    <s v="M"/>
    <x v="4"/>
    <x v="0"/>
    <x v="0"/>
    <x v="18"/>
    <x v="1"/>
    <x v="5"/>
    <x v="1"/>
  </r>
  <r>
    <s v="TX500757"/>
    <x v="5"/>
    <x v="0"/>
    <n v="72.8"/>
    <x v="236"/>
    <d v="2025-02-02T00:00:00"/>
    <d v="2025-02-03T00:00:00"/>
    <s v="F"/>
    <x v="0"/>
    <x v="1"/>
    <x v="0"/>
    <x v="19"/>
    <x v="3"/>
    <x v="5"/>
    <x v="2"/>
  </r>
  <r>
    <s v="TX500758"/>
    <x v="6"/>
    <x v="12"/>
    <n v="137.30000000000001"/>
    <x v="678"/>
    <d v="2025-02-02T00:00:00"/>
    <d v="2025-02-05T00:00:00"/>
    <s v="F"/>
    <x v="0"/>
    <x v="0"/>
    <x v="0"/>
    <x v="13"/>
    <x v="2"/>
    <x v="5"/>
    <x v="2"/>
  </r>
  <r>
    <s v="TX500759"/>
    <x v="1"/>
    <x v="2"/>
    <n v="48.7"/>
    <x v="599"/>
    <d v="2025-02-02T00:00:00"/>
    <d v="2025-02-07T00:00:00"/>
    <s v="F"/>
    <x v="0"/>
    <x v="1"/>
    <x v="0"/>
    <x v="21"/>
    <x v="0"/>
    <x v="5"/>
    <x v="2"/>
  </r>
  <r>
    <s v="TX500760"/>
    <x v="6"/>
    <x v="12"/>
    <n v="53.7"/>
    <x v="679"/>
    <d v="2025-02-02T00:00:00"/>
    <d v="2025-02-06T00:00:00"/>
    <s v="M"/>
    <x v="1"/>
    <x v="4"/>
    <x v="0"/>
    <x v="2"/>
    <x v="5"/>
    <x v="5"/>
    <x v="1"/>
  </r>
  <r>
    <s v="TX500761"/>
    <x v="2"/>
    <x v="3"/>
    <n v="100.9"/>
    <x v="680"/>
    <d v="2025-02-02T00:00:00"/>
    <d v="2025-02-04T00:00:00"/>
    <s v="F"/>
    <x v="0"/>
    <x v="1"/>
    <x v="0"/>
    <x v="2"/>
    <x v="1"/>
    <x v="5"/>
    <x v="2"/>
  </r>
  <r>
    <s v="TX500762"/>
    <x v="10"/>
    <x v="1"/>
    <n v="41.8"/>
    <x v="681"/>
    <d v="2025-02-02T00:00:00"/>
    <d v="2025-02-06T00:00:00"/>
    <s v="M"/>
    <x v="3"/>
    <x v="2"/>
    <x v="0"/>
    <x v="22"/>
    <x v="5"/>
    <x v="5"/>
    <x v="1"/>
  </r>
  <r>
    <s v="TX500763"/>
    <x v="4"/>
    <x v="8"/>
    <n v="28.5"/>
    <x v="416"/>
    <d v="2025-02-02T00:00:00"/>
    <d v="2025-02-04T00:00:00"/>
    <s v="M"/>
    <x v="2"/>
    <x v="1"/>
    <x v="0"/>
    <x v="3"/>
    <x v="1"/>
    <x v="5"/>
    <x v="1"/>
  </r>
  <r>
    <s v="TX500764"/>
    <x v="7"/>
    <x v="12"/>
    <n v="88.9"/>
    <x v="682"/>
    <d v="2025-02-02T00:00:00"/>
    <d v="2025-02-05T00:00:00"/>
    <s v="F"/>
    <x v="0"/>
    <x v="2"/>
    <x v="0"/>
    <x v="3"/>
    <x v="2"/>
    <x v="5"/>
    <x v="2"/>
  </r>
  <r>
    <s v="TX500765"/>
    <x v="6"/>
    <x v="0"/>
    <n v="62.5"/>
    <x v="683"/>
    <d v="2025-02-02T00:00:00"/>
    <d v="2025-02-11T00:00:00"/>
    <s v="F"/>
    <x v="0"/>
    <x v="2"/>
    <x v="0"/>
    <x v="3"/>
    <x v="8"/>
    <x v="5"/>
    <x v="2"/>
  </r>
  <r>
    <s v="TX500766"/>
    <x v="1"/>
    <x v="2"/>
    <n v="46.9"/>
    <x v="684"/>
    <d v="2025-02-02T00:00:00"/>
    <d v="2025-02-03T00:00:00"/>
    <s v="M"/>
    <x v="0"/>
    <x v="2"/>
    <x v="0"/>
    <x v="3"/>
    <x v="3"/>
    <x v="5"/>
    <x v="1"/>
  </r>
  <r>
    <s v="TX500767"/>
    <x v="8"/>
    <x v="2"/>
    <n v="45"/>
    <x v="340"/>
    <d v="2025-02-02T00:00:00"/>
    <d v="2025-02-16T00:00:00"/>
    <s v="M"/>
    <x v="1"/>
    <x v="0"/>
    <x v="0"/>
    <x v="3"/>
    <x v="12"/>
    <x v="5"/>
    <x v="1"/>
  </r>
  <r>
    <s v="TX500768"/>
    <x v="6"/>
    <x v="2"/>
    <n v="45.2"/>
    <x v="685"/>
    <d v="2025-02-02T00:00:00"/>
    <d v="2025-02-04T00:00:00"/>
    <s v="M"/>
    <x v="4"/>
    <x v="2"/>
    <x v="0"/>
    <x v="3"/>
    <x v="1"/>
    <x v="5"/>
    <x v="1"/>
  </r>
  <r>
    <s v="TX500769"/>
    <x v="4"/>
    <x v="1"/>
    <n v="60.1"/>
    <x v="493"/>
    <d v="2025-02-02T00:00:00"/>
    <d v="2025-02-03T00:00:00"/>
    <s v="F"/>
    <x v="0"/>
    <x v="2"/>
    <x v="0"/>
    <x v="3"/>
    <x v="3"/>
    <x v="5"/>
    <x v="2"/>
  </r>
  <r>
    <s v="TX500770"/>
    <x v="12"/>
    <x v="12"/>
    <n v="118.7"/>
    <x v="686"/>
    <d v="2025-02-02T00:00:00"/>
    <d v="2025-02-04T00:00:00"/>
    <s v="F"/>
    <x v="0"/>
    <x v="0"/>
    <x v="0"/>
    <x v="3"/>
    <x v="1"/>
    <x v="5"/>
    <x v="2"/>
  </r>
  <r>
    <s v="TX500771"/>
    <x v="9"/>
    <x v="0"/>
    <n v="57.8"/>
    <x v="687"/>
    <d v="2025-02-02T00:00:00"/>
    <d v="2025-02-11T00:00:00"/>
    <s v="F"/>
    <x v="1"/>
    <x v="0"/>
    <x v="0"/>
    <x v="3"/>
    <x v="8"/>
    <x v="5"/>
    <x v="2"/>
  </r>
  <r>
    <s v="TX500772"/>
    <x v="4"/>
    <x v="0"/>
    <n v="19.5"/>
    <x v="688"/>
    <d v="2025-02-02T00:00:00"/>
    <d v="2025-02-03T00:00:00"/>
    <s v="M"/>
    <x v="1"/>
    <x v="1"/>
    <x v="0"/>
    <x v="3"/>
    <x v="3"/>
    <x v="5"/>
    <x v="1"/>
  </r>
  <r>
    <s v="TX500773"/>
    <x v="12"/>
    <x v="0"/>
    <n v="42.6"/>
    <x v="440"/>
    <d v="2025-02-02T00:00:00"/>
    <d v="2025-02-03T00:00:00"/>
    <s v="M"/>
    <x v="0"/>
    <x v="1"/>
    <x v="0"/>
    <x v="3"/>
    <x v="3"/>
    <x v="5"/>
    <x v="1"/>
  </r>
  <r>
    <s v="TX500774"/>
    <x v="6"/>
    <x v="1"/>
    <n v="74.8"/>
    <x v="689"/>
    <d v="2025-02-02T00:00:00"/>
    <d v="2025-02-03T00:00:00"/>
    <s v="F"/>
    <x v="3"/>
    <x v="2"/>
    <x v="0"/>
    <x v="37"/>
    <x v="3"/>
    <x v="5"/>
    <x v="2"/>
  </r>
  <r>
    <s v="TX500775"/>
    <x v="8"/>
    <x v="2"/>
    <n v="32.5"/>
    <x v="647"/>
    <d v="2025-02-02T00:00:00"/>
    <d v="2025-02-03T00:00:00"/>
    <s v="M"/>
    <x v="2"/>
    <x v="4"/>
    <x v="0"/>
    <x v="16"/>
    <x v="3"/>
    <x v="5"/>
    <x v="1"/>
  </r>
  <r>
    <s v="TX500776"/>
    <x v="2"/>
    <x v="2"/>
    <n v="60.5"/>
    <x v="690"/>
    <d v="2025-02-02T00:00:00"/>
    <d v="2025-02-02T00:00:00"/>
    <s v="F"/>
    <x v="1"/>
    <x v="2"/>
    <x v="0"/>
    <x v="25"/>
    <x v="7"/>
    <x v="5"/>
    <x v="2"/>
  </r>
  <r>
    <s v="TX500777"/>
    <x v="1"/>
    <x v="3"/>
    <n v="57.2"/>
    <x v="691"/>
    <d v="2025-02-02T00:00:00"/>
    <d v="2025-02-04T00:00:00"/>
    <s v=""/>
    <x v="2"/>
    <x v="0"/>
    <x v="0"/>
    <x v="25"/>
    <x v="1"/>
    <x v="5"/>
    <x v="0"/>
  </r>
  <r>
    <s v="TX500778"/>
    <x v="16"/>
    <x v="1"/>
    <n v="112"/>
    <x v="692"/>
    <d v="2025-02-02T00:00:00"/>
    <d v="2025-02-03T00:00:00"/>
    <s v="F"/>
    <x v="1"/>
    <x v="1"/>
    <x v="0"/>
    <x v="5"/>
    <x v="3"/>
    <x v="5"/>
    <x v="2"/>
  </r>
  <r>
    <s v="TX500779"/>
    <x v="7"/>
    <x v="7"/>
    <n v="49"/>
    <x v="157"/>
    <d v="2025-02-02T00:00:00"/>
    <d v="2025-02-03T00:00:00"/>
    <s v="O"/>
    <x v="2"/>
    <x v="1"/>
    <x v="0"/>
    <x v="6"/>
    <x v="3"/>
    <x v="5"/>
    <x v="3"/>
  </r>
  <r>
    <s v="TX500780"/>
    <x v="0"/>
    <x v="1"/>
    <n v="33.700000000000003"/>
    <x v="693"/>
    <d v="2025-02-02T00:00:00"/>
    <d v="2025-02-06T00:00:00"/>
    <s v="F"/>
    <x v="3"/>
    <x v="0"/>
    <x v="0"/>
    <x v="6"/>
    <x v="5"/>
    <x v="5"/>
    <x v="2"/>
  </r>
  <r>
    <s v="TX500781"/>
    <x v="4"/>
    <x v="2"/>
    <n v="35.6"/>
    <x v="694"/>
    <d v="2025-02-02T00:00:00"/>
    <d v="2025-02-05T00:00:00"/>
    <s v="F"/>
    <x v="0"/>
    <x v="2"/>
    <x v="0"/>
    <x v="6"/>
    <x v="2"/>
    <x v="5"/>
    <x v="2"/>
  </r>
  <r>
    <s v="TX500782"/>
    <x v="4"/>
    <x v="36"/>
    <n v="30.4"/>
    <x v="695"/>
    <d v="2025-02-03T00:00:00"/>
    <d v="2025-02-03T00:00:00"/>
    <s v="F"/>
    <x v="0"/>
    <x v="1"/>
    <x v="0"/>
    <x v="7"/>
    <x v="7"/>
    <x v="5"/>
    <x v="2"/>
  </r>
  <r>
    <s v="TX500783"/>
    <x v="10"/>
    <x v="4"/>
    <n v="50.2"/>
    <x v="696"/>
    <d v="2025-02-03T00:00:00"/>
    <d v="2025-02-04T00:00:00"/>
    <s v="M"/>
    <x v="4"/>
    <x v="0"/>
    <x v="0"/>
    <x v="8"/>
    <x v="3"/>
    <x v="5"/>
    <x v="1"/>
  </r>
  <r>
    <s v="TX500784"/>
    <x v="1"/>
    <x v="1"/>
    <n v="43.7"/>
    <x v="697"/>
    <d v="2025-02-03T00:00:00"/>
    <d v="2025-02-05T00:00:00"/>
    <s v="F"/>
    <x v="0"/>
    <x v="0"/>
    <x v="0"/>
    <x v="8"/>
    <x v="1"/>
    <x v="5"/>
    <x v="2"/>
  </r>
  <r>
    <s v="TX500785"/>
    <x v="10"/>
    <x v="0"/>
    <n v="33.299999999999997"/>
    <x v="698"/>
    <d v="2025-02-03T00:00:00"/>
    <d v="2025-02-04T00:00:00"/>
    <s v="F"/>
    <x v="2"/>
    <x v="1"/>
    <x v="0"/>
    <x v="8"/>
    <x v="3"/>
    <x v="5"/>
    <x v="2"/>
  </r>
  <r>
    <s v="TX500786"/>
    <x v="8"/>
    <x v="12"/>
    <n v="15.1"/>
    <x v="266"/>
    <d v="2025-02-03T00:00:00"/>
    <d v="2025-02-05T00:00:00"/>
    <s v="F"/>
    <x v="4"/>
    <x v="2"/>
    <x v="0"/>
    <x v="8"/>
    <x v="1"/>
    <x v="5"/>
    <x v="2"/>
  </r>
  <r>
    <s v="TX500787"/>
    <x v="6"/>
    <x v="9"/>
    <n v="118.2"/>
    <x v="699"/>
    <d v="2025-02-03T00:00:00"/>
    <d v="2025-02-04T00:00:00"/>
    <s v="F"/>
    <x v="3"/>
    <x v="4"/>
    <x v="0"/>
    <x v="8"/>
    <x v="3"/>
    <x v="5"/>
    <x v="2"/>
  </r>
  <r>
    <s v="TX500788"/>
    <x v="10"/>
    <x v="2"/>
    <n v="28.9"/>
    <x v="700"/>
    <d v="2025-02-03T00:00:00"/>
    <d v="2025-02-05T00:00:00"/>
    <s v="F"/>
    <x v="2"/>
    <x v="1"/>
    <x v="0"/>
    <x v="8"/>
    <x v="1"/>
    <x v="5"/>
    <x v="2"/>
  </r>
  <r>
    <s v="TX500789"/>
    <x v="4"/>
    <x v="2"/>
    <n v="55.6"/>
    <x v="701"/>
    <d v="2025-02-03T00:00:00"/>
    <d v="2025-02-04T00:00:00"/>
    <s v="M"/>
    <x v="0"/>
    <x v="1"/>
    <x v="0"/>
    <x v="8"/>
    <x v="3"/>
    <x v="5"/>
    <x v="1"/>
  </r>
  <r>
    <s v="TX500790"/>
    <x v="9"/>
    <x v="12"/>
    <n v="25.6"/>
    <x v="298"/>
    <d v="2025-02-03T00:00:00"/>
    <d v="2025-02-05T00:00:00"/>
    <s v="F"/>
    <x v="0"/>
    <x v="1"/>
    <x v="0"/>
    <x v="8"/>
    <x v="1"/>
    <x v="5"/>
    <x v="2"/>
  </r>
  <r>
    <s v="TX500791"/>
    <x v="7"/>
    <x v="2"/>
    <n v="31.3"/>
    <x v="442"/>
    <d v="2025-02-03T00:00:00"/>
    <d v="2025-02-04T00:00:00"/>
    <s v="M"/>
    <x v="0"/>
    <x v="0"/>
    <x v="0"/>
    <x v="17"/>
    <x v="3"/>
    <x v="5"/>
    <x v="1"/>
  </r>
  <r>
    <s v="TX500792"/>
    <x v="0"/>
    <x v="2"/>
    <n v="22.1"/>
    <x v="702"/>
    <d v="2025-02-03T00:00:00"/>
    <d v="2025-02-07T00:00:00"/>
    <s v="M"/>
    <x v="0"/>
    <x v="0"/>
    <x v="0"/>
    <x v="17"/>
    <x v="5"/>
    <x v="5"/>
    <x v="1"/>
  </r>
  <r>
    <s v="TX500793"/>
    <x v="2"/>
    <x v="21"/>
    <n v="99.4"/>
    <x v="703"/>
    <d v="2025-02-03T00:00:00"/>
    <d v="2025-02-04T00:00:00"/>
    <s v="M"/>
    <x v="1"/>
    <x v="0"/>
    <x v="0"/>
    <x v="11"/>
    <x v="3"/>
    <x v="5"/>
    <x v="1"/>
  </r>
  <r>
    <s v="TX500794"/>
    <x v="7"/>
    <x v="13"/>
    <n v="66.599999999999994"/>
    <x v="704"/>
    <d v="2025-02-03T00:00:00"/>
    <d v="2025-02-04T00:00:00"/>
    <s v="F"/>
    <x v="0"/>
    <x v="0"/>
    <x v="0"/>
    <x v="11"/>
    <x v="3"/>
    <x v="5"/>
    <x v="2"/>
  </r>
  <r>
    <s v="TX500795"/>
    <x v="8"/>
    <x v="1"/>
    <n v="22.6"/>
    <x v="705"/>
    <d v="2025-02-03T00:00:00"/>
    <d v="2025-02-06T00:00:00"/>
    <s v="M"/>
    <x v="0"/>
    <x v="0"/>
    <x v="0"/>
    <x v="11"/>
    <x v="2"/>
    <x v="5"/>
    <x v="1"/>
  </r>
  <r>
    <s v="TX500796"/>
    <x v="2"/>
    <x v="16"/>
    <n v="66.8"/>
    <x v="706"/>
    <d v="2025-02-03T00:00:00"/>
    <d v="2025-02-04T00:00:00"/>
    <s v="F"/>
    <x v="0"/>
    <x v="4"/>
    <x v="0"/>
    <x v="13"/>
    <x v="3"/>
    <x v="5"/>
    <x v="2"/>
  </r>
  <r>
    <s v="TX500797"/>
    <x v="0"/>
    <x v="12"/>
    <n v="20.8"/>
    <x v="707"/>
    <d v="2025-02-03T00:00:00"/>
    <d v="2025-02-10T00:00:00"/>
    <s v="M"/>
    <x v="1"/>
    <x v="4"/>
    <x v="0"/>
    <x v="1"/>
    <x v="6"/>
    <x v="5"/>
    <x v="1"/>
  </r>
  <r>
    <s v="TX500798"/>
    <x v="2"/>
    <x v="3"/>
    <n v="102.5"/>
    <x v="708"/>
    <d v="2025-02-03T00:00:00"/>
    <d v="2025-02-04T00:00:00"/>
    <s v="F"/>
    <x v="4"/>
    <x v="2"/>
    <x v="0"/>
    <x v="3"/>
    <x v="3"/>
    <x v="5"/>
    <x v="2"/>
  </r>
  <r>
    <s v="TX500799"/>
    <x v="0"/>
    <x v="16"/>
    <n v="24.8"/>
    <x v="709"/>
    <d v="2025-02-03T00:00:00"/>
    <d v="2025-02-07T00:00:00"/>
    <s v="F"/>
    <x v="0"/>
    <x v="0"/>
    <x v="0"/>
    <x v="3"/>
    <x v="5"/>
    <x v="5"/>
    <x v="2"/>
  </r>
  <r>
    <s v="TX500800"/>
    <x v="4"/>
    <x v="37"/>
    <n v="31.4"/>
    <x v="710"/>
    <d v="2025-02-03T00:00:00"/>
    <d v="2025-02-04T00:00:00"/>
    <s v="F"/>
    <x v="3"/>
    <x v="0"/>
    <x v="0"/>
    <x v="3"/>
    <x v="3"/>
    <x v="5"/>
    <x v="2"/>
  </r>
  <r>
    <s v="TX500801"/>
    <x v="9"/>
    <x v="9"/>
    <n v="59.3"/>
    <x v="711"/>
    <d v="2025-02-03T00:00:00"/>
    <d v="2025-02-06T00:00:00"/>
    <s v="M"/>
    <x v="1"/>
    <x v="2"/>
    <x v="0"/>
    <x v="43"/>
    <x v="2"/>
    <x v="5"/>
    <x v="1"/>
  </r>
  <r>
    <s v="TX500802"/>
    <x v="11"/>
    <x v="13"/>
    <n v="39"/>
    <x v="540"/>
    <d v="2025-02-03T00:00:00"/>
    <d v="2025-02-06T00:00:00"/>
    <s v="M"/>
    <x v="1"/>
    <x v="0"/>
    <x v="0"/>
    <x v="6"/>
    <x v="2"/>
    <x v="5"/>
    <x v="1"/>
  </r>
  <r>
    <s v="TX500803"/>
    <x v="5"/>
    <x v="13"/>
    <n v="98.6"/>
    <x v="712"/>
    <d v="2025-02-03T00:00:00"/>
    <d v="2025-02-05T00:00:00"/>
    <s v="F"/>
    <x v="1"/>
    <x v="0"/>
    <x v="0"/>
    <x v="6"/>
    <x v="1"/>
    <x v="5"/>
    <x v="2"/>
  </r>
  <r>
    <s v="TX500804"/>
    <x v="8"/>
    <x v="0"/>
    <n v="20"/>
    <x v="614"/>
    <d v="2025-02-04T00:00:00"/>
    <d v="2025-02-05T00:00:00"/>
    <s v="M"/>
    <x v="3"/>
    <x v="2"/>
    <x v="0"/>
    <x v="8"/>
    <x v="3"/>
    <x v="5"/>
    <x v="1"/>
  </r>
  <r>
    <s v="TX500805"/>
    <x v="1"/>
    <x v="1"/>
    <n v="42.9"/>
    <x v="550"/>
    <d v="2025-02-04T00:00:00"/>
    <d v="2025-02-06T00:00:00"/>
    <s v="F"/>
    <x v="0"/>
    <x v="2"/>
    <x v="0"/>
    <x v="8"/>
    <x v="1"/>
    <x v="5"/>
    <x v="2"/>
  </r>
  <r>
    <s v="TX500806"/>
    <x v="7"/>
    <x v="3"/>
    <n v="55.6"/>
    <x v="713"/>
    <d v="2025-02-04T00:00:00"/>
    <d v="2025-02-06T00:00:00"/>
    <s v="F"/>
    <x v="2"/>
    <x v="1"/>
    <x v="0"/>
    <x v="8"/>
    <x v="1"/>
    <x v="5"/>
    <x v="2"/>
  </r>
  <r>
    <s v="TX500807"/>
    <x v="8"/>
    <x v="12"/>
    <n v="19.2"/>
    <x v="714"/>
    <d v="2025-02-04T00:00:00"/>
    <d v="2025-02-09T00:00:00"/>
    <s v="F"/>
    <x v="0"/>
    <x v="0"/>
    <x v="0"/>
    <x v="41"/>
    <x v="0"/>
    <x v="5"/>
    <x v="2"/>
  </r>
  <r>
    <s v="TX500808"/>
    <x v="5"/>
    <x v="1"/>
    <n v="28.8"/>
    <x v="636"/>
    <d v="2025-02-04T00:00:00"/>
    <d v="2025-02-06T00:00:00"/>
    <s v="M"/>
    <x v="1"/>
    <x v="0"/>
    <x v="0"/>
    <x v="18"/>
    <x v="1"/>
    <x v="5"/>
    <x v="1"/>
  </r>
  <r>
    <s v="TX500809"/>
    <x v="4"/>
    <x v="0"/>
    <n v="29.7"/>
    <x v="47"/>
    <d v="2025-02-04T00:00:00"/>
    <d v="2025-02-06T00:00:00"/>
    <s v="F"/>
    <x v="2"/>
    <x v="4"/>
    <x v="0"/>
    <x v="20"/>
    <x v="1"/>
    <x v="5"/>
    <x v="2"/>
  </r>
  <r>
    <s v="TX500810"/>
    <x v="6"/>
    <x v="13"/>
    <n v="63.3"/>
    <x v="715"/>
    <d v="2025-02-04T00:00:00"/>
    <d v="2025-02-05T00:00:00"/>
    <s v=""/>
    <x v="0"/>
    <x v="2"/>
    <x v="0"/>
    <x v="21"/>
    <x v="3"/>
    <x v="5"/>
    <x v="0"/>
  </r>
  <r>
    <s v="TX500811"/>
    <x v="4"/>
    <x v="0"/>
    <n v="46"/>
    <x v="716"/>
    <d v="2025-02-04T00:00:00"/>
    <d v="2025-02-05T00:00:00"/>
    <s v="F"/>
    <x v="0"/>
    <x v="2"/>
    <x v="0"/>
    <x v="21"/>
    <x v="3"/>
    <x v="5"/>
    <x v="2"/>
  </r>
  <r>
    <s v="TX500812"/>
    <x v="11"/>
    <x v="2"/>
    <n v="38"/>
    <x v="717"/>
    <d v="2025-02-04T00:00:00"/>
    <d v="2025-02-06T00:00:00"/>
    <s v="F"/>
    <x v="1"/>
    <x v="2"/>
    <x v="0"/>
    <x v="21"/>
    <x v="1"/>
    <x v="5"/>
    <x v="2"/>
  </r>
  <r>
    <s v="TX500813"/>
    <x v="10"/>
    <x v="15"/>
    <n v="34.6"/>
    <x v="327"/>
    <d v="2025-02-04T00:00:00"/>
    <d v="2025-02-06T00:00:00"/>
    <s v="F"/>
    <x v="0"/>
    <x v="1"/>
    <x v="0"/>
    <x v="21"/>
    <x v="1"/>
    <x v="5"/>
    <x v="2"/>
  </r>
  <r>
    <s v="TX500814"/>
    <x v="3"/>
    <x v="7"/>
    <n v="79.7"/>
    <x v="718"/>
    <d v="2025-02-04T00:00:00"/>
    <d v="2025-02-05T00:00:00"/>
    <s v="F"/>
    <x v="4"/>
    <x v="1"/>
    <x v="0"/>
    <x v="21"/>
    <x v="3"/>
    <x v="5"/>
    <x v="2"/>
  </r>
  <r>
    <s v="TX500815"/>
    <x v="8"/>
    <x v="8"/>
    <n v="30.5"/>
    <x v="719"/>
    <d v="2025-02-04T00:00:00"/>
    <d v="2025-02-08T00:00:00"/>
    <s v="M"/>
    <x v="3"/>
    <x v="0"/>
    <x v="0"/>
    <x v="1"/>
    <x v="5"/>
    <x v="5"/>
    <x v="1"/>
  </r>
  <r>
    <s v="TX500816"/>
    <x v="0"/>
    <x v="1"/>
    <n v="20.8"/>
    <x v="480"/>
    <d v="2025-02-04T00:00:00"/>
    <d v="2025-02-05T00:00:00"/>
    <s v="F"/>
    <x v="0"/>
    <x v="0"/>
    <x v="0"/>
    <x v="2"/>
    <x v="3"/>
    <x v="5"/>
    <x v="2"/>
  </r>
  <r>
    <s v="TX500817"/>
    <x v="11"/>
    <x v="3"/>
    <n v="48.5"/>
    <x v="720"/>
    <d v="2025-02-04T00:00:00"/>
    <d v="2025-02-08T00:00:00"/>
    <s v="F"/>
    <x v="2"/>
    <x v="2"/>
    <x v="0"/>
    <x v="2"/>
    <x v="5"/>
    <x v="5"/>
    <x v="2"/>
  </r>
  <r>
    <s v="TX500818"/>
    <x v="2"/>
    <x v="12"/>
    <n v="61.8"/>
    <x v="721"/>
    <d v="2025-02-04T00:00:00"/>
    <d v="2025-02-08T00:00:00"/>
    <s v="F"/>
    <x v="4"/>
    <x v="0"/>
    <x v="0"/>
    <x v="22"/>
    <x v="5"/>
    <x v="5"/>
    <x v="2"/>
  </r>
  <r>
    <s v="TX500819"/>
    <x v="10"/>
    <x v="0"/>
    <n v="46.1"/>
    <x v="722"/>
    <d v="2025-02-04T00:00:00"/>
    <d v="2025-02-05T00:00:00"/>
    <s v="O"/>
    <x v="2"/>
    <x v="0"/>
    <x v="0"/>
    <x v="3"/>
    <x v="3"/>
    <x v="5"/>
    <x v="3"/>
  </r>
  <r>
    <s v="TX500820"/>
    <x v="4"/>
    <x v="13"/>
    <n v="44"/>
    <x v="723"/>
    <d v="2025-02-04T00:00:00"/>
    <d v="2025-02-05T00:00:00"/>
    <s v="F"/>
    <x v="0"/>
    <x v="0"/>
    <x v="0"/>
    <x v="3"/>
    <x v="3"/>
    <x v="5"/>
    <x v="2"/>
  </r>
  <r>
    <s v="TX500821"/>
    <x v="18"/>
    <x v="1"/>
    <n v="95.7"/>
    <x v="724"/>
    <d v="2025-02-04T00:00:00"/>
    <d v="2025-02-10T00:00:00"/>
    <s v="F"/>
    <x v="3"/>
    <x v="2"/>
    <x v="0"/>
    <x v="3"/>
    <x v="4"/>
    <x v="5"/>
    <x v="2"/>
  </r>
  <r>
    <s v="TX500822"/>
    <x v="7"/>
    <x v="9"/>
    <n v="46.4"/>
    <x v="615"/>
    <d v="2025-02-04T00:00:00"/>
    <d v="2025-02-07T00:00:00"/>
    <s v="F"/>
    <x v="0"/>
    <x v="0"/>
    <x v="0"/>
    <x v="3"/>
    <x v="2"/>
    <x v="5"/>
    <x v="2"/>
  </r>
  <r>
    <s v="TX500823"/>
    <x v="6"/>
    <x v="1"/>
    <n v="47.2"/>
    <x v="725"/>
    <d v="2025-02-04T00:00:00"/>
    <d v="2025-02-06T00:00:00"/>
    <s v="F"/>
    <x v="0"/>
    <x v="2"/>
    <x v="0"/>
    <x v="3"/>
    <x v="1"/>
    <x v="5"/>
    <x v="2"/>
  </r>
  <r>
    <s v="TX500824"/>
    <x v="7"/>
    <x v="1"/>
    <n v="58.6"/>
    <x v="726"/>
    <d v="2025-02-04T00:00:00"/>
    <d v="2025-02-05T00:00:00"/>
    <s v="F"/>
    <x v="2"/>
    <x v="1"/>
    <x v="0"/>
    <x v="3"/>
    <x v="3"/>
    <x v="5"/>
    <x v="2"/>
  </r>
  <r>
    <s v="TX500825"/>
    <x v="4"/>
    <x v="2"/>
    <n v="57"/>
    <x v="727"/>
    <d v="2025-02-04T00:00:00"/>
    <d v="2025-02-05T00:00:00"/>
    <s v="M"/>
    <x v="0"/>
    <x v="2"/>
    <x v="0"/>
    <x v="3"/>
    <x v="3"/>
    <x v="5"/>
    <x v="1"/>
  </r>
  <r>
    <s v="TX500826"/>
    <x v="8"/>
    <x v="12"/>
    <n v="28.9"/>
    <x v="446"/>
    <d v="2025-02-04T00:00:00"/>
    <d v="2025-02-08T00:00:00"/>
    <s v="M"/>
    <x v="2"/>
    <x v="0"/>
    <x v="0"/>
    <x v="3"/>
    <x v="5"/>
    <x v="5"/>
    <x v="1"/>
  </r>
  <r>
    <s v="TX500827"/>
    <x v="12"/>
    <x v="9"/>
    <n v="60.7"/>
    <x v="728"/>
    <d v="2025-02-04T00:00:00"/>
    <d v="2025-02-08T00:00:00"/>
    <s v=""/>
    <x v="1"/>
    <x v="1"/>
    <x v="0"/>
    <x v="3"/>
    <x v="5"/>
    <x v="5"/>
    <x v="0"/>
  </r>
  <r>
    <s v="TX500828"/>
    <x v="6"/>
    <x v="9"/>
    <n v="60.8"/>
    <x v="729"/>
    <d v="2025-02-04T00:00:00"/>
    <d v="2025-02-08T00:00:00"/>
    <s v="M"/>
    <x v="0"/>
    <x v="1"/>
    <x v="0"/>
    <x v="3"/>
    <x v="5"/>
    <x v="5"/>
    <x v="1"/>
  </r>
  <r>
    <s v="TX500829"/>
    <x v="6"/>
    <x v="9"/>
    <n v="64.599999999999994"/>
    <x v="730"/>
    <d v="2025-02-04T00:00:00"/>
    <d v="2025-02-05T00:00:00"/>
    <s v="F"/>
    <x v="3"/>
    <x v="0"/>
    <x v="0"/>
    <x v="3"/>
    <x v="3"/>
    <x v="5"/>
    <x v="2"/>
  </r>
  <r>
    <s v="TX500830"/>
    <x v="8"/>
    <x v="0"/>
    <n v="21.9"/>
    <x v="731"/>
    <d v="2025-02-04T00:00:00"/>
    <d v="2025-02-07T00:00:00"/>
    <s v="M"/>
    <x v="1"/>
    <x v="2"/>
    <x v="0"/>
    <x v="4"/>
    <x v="2"/>
    <x v="5"/>
    <x v="1"/>
  </r>
  <r>
    <s v="TX500831"/>
    <x v="4"/>
    <x v="4"/>
    <n v="33.4"/>
    <x v="732"/>
    <d v="2025-02-04T00:00:00"/>
    <d v="2025-02-06T00:00:00"/>
    <s v="F"/>
    <x v="0"/>
    <x v="0"/>
    <x v="0"/>
    <x v="23"/>
    <x v="1"/>
    <x v="5"/>
    <x v="2"/>
  </r>
  <r>
    <s v="TX500832"/>
    <x v="2"/>
    <x v="0"/>
    <n v="51.7"/>
    <x v="733"/>
    <d v="2025-02-04T00:00:00"/>
    <d v="2025-02-05T00:00:00"/>
    <s v=""/>
    <x v="0"/>
    <x v="0"/>
    <x v="0"/>
    <x v="6"/>
    <x v="3"/>
    <x v="5"/>
    <x v="0"/>
  </r>
  <r>
    <s v="TX500833"/>
    <x v="1"/>
    <x v="12"/>
    <n v="84.9"/>
    <x v="734"/>
    <d v="2025-02-04T00:00:00"/>
    <d v="2025-02-05T00:00:00"/>
    <s v="F"/>
    <x v="1"/>
    <x v="1"/>
    <x v="0"/>
    <x v="6"/>
    <x v="3"/>
    <x v="5"/>
    <x v="2"/>
  </r>
  <r>
    <s v="TX500834"/>
    <x v="1"/>
    <x v="5"/>
    <n v="62.3"/>
    <x v="735"/>
    <d v="2025-02-04T00:00:00"/>
    <d v="2025-02-05T00:00:00"/>
    <s v="F"/>
    <x v="2"/>
    <x v="2"/>
    <x v="0"/>
    <x v="7"/>
    <x v="3"/>
    <x v="5"/>
    <x v="2"/>
  </r>
  <r>
    <s v="TX500835"/>
    <x v="4"/>
    <x v="0"/>
    <n v="50.7"/>
    <x v="163"/>
    <d v="2025-02-04T00:00:00"/>
    <d v="2025-02-06T00:00:00"/>
    <s v="M"/>
    <x v="2"/>
    <x v="2"/>
    <x v="0"/>
    <x v="8"/>
    <x v="1"/>
    <x v="5"/>
    <x v="1"/>
  </r>
  <r>
    <s v="TX500836"/>
    <x v="18"/>
    <x v="0"/>
    <n v="39.5"/>
    <x v="736"/>
    <d v="2025-02-04T00:00:00"/>
    <d v="2025-02-05T00:00:00"/>
    <s v="M"/>
    <x v="4"/>
    <x v="1"/>
    <x v="0"/>
    <x v="8"/>
    <x v="3"/>
    <x v="5"/>
    <x v="1"/>
  </r>
  <r>
    <s v="TX500837"/>
    <x v="12"/>
    <x v="2"/>
    <n v="30.9"/>
    <x v="737"/>
    <d v="2025-02-04T00:00:00"/>
    <d v="2025-02-05T00:00:00"/>
    <s v=""/>
    <x v="4"/>
    <x v="2"/>
    <x v="0"/>
    <x v="8"/>
    <x v="3"/>
    <x v="5"/>
    <x v="0"/>
  </r>
  <r>
    <s v="TX500838"/>
    <x v="1"/>
    <x v="3"/>
    <n v="36.4"/>
    <x v="133"/>
    <d v="2025-02-04T00:00:00"/>
    <d v="2025-02-07T00:00:00"/>
    <s v="F"/>
    <x v="0"/>
    <x v="2"/>
    <x v="0"/>
    <x v="8"/>
    <x v="2"/>
    <x v="5"/>
    <x v="2"/>
  </r>
  <r>
    <s v="TX500839"/>
    <x v="6"/>
    <x v="8"/>
    <n v="105.6"/>
    <x v="738"/>
    <d v="2025-02-04T00:00:00"/>
    <d v="2025-02-14T00:00:00"/>
    <s v="F"/>
    <x v="0"/>
    <x v="0"/>
    <x v="0"/>
    <x v="8"/>
    <x v="14"/>
    <x v="5"/>
    <x v="2"/>
  </r>
  <r>
    <s v="TX500840"/>
    <x v="8"/>
    <x v="1"/>
    <n v="22.1"/>
    <x v="573"/>
    <d v="2025-02-04T00:00:00"/>
    <d v="2025-02-05T00:00:00"/>
    <s v="F"/>
    <x v="0"/>
    <x v="2"/>
    <x v="0"/>
    <x v="17"/>
    <x v="3"/>
    <x v="5"/>
    <x v="2"/>
  </r>
  <r>
    <s v="TX500841"/>
    <x v="0"/>
    <x v="2"/>
    <n v="22.6"/>
    <x v="418"/>
    <d v="2025-02-04T00:00:00"/>
    <d v="2025-02-05T00:00:00"/>
    <s v="F"/>
    <x v="2"/>
    <x v="0"/>
    <x v="0"/>
    <x v="17"/>
    <x v="3"/>
    <x v="5"/>
    <x v="2"/>
  </r>
  <r>
    <s v="TX500842"/>
    <x v="10"/>
    <x v="13"/>
    <n v="26.3"/>
    <x v="739"/>
    <d v="2025-02-04T00:00:00"/>
    <d v="2025-02-04T00:00:00"/>
    <s v="F"/>
    <x v="2"/>
    <x v="0"/>
    <x v="0"/>
    <x v="9"/>
    <x v="7"/>
    <x v="5"/>
    <x v="2"/>
  </r>
  <r>
    <s v="TX500843"/>
    <x v="1"/>
    <x v="12"/>
    <n v="37.799999999999997"/>
    <x v="277"/>
    <d v="2025-02-04T00:00:00"/>
    <d v="2025-02-05T00:00:00"/>
    <s v="F"/>
    <x v="0"/>
    <x v="2"/>
    <x v="0"/>
    <x v="11"/>
    <x v="3"/>
    <x v="5"/>
    <x v="2"/>
  </r>
  <r>
    <s v="TX500844"/>
    <x v="6"/>
    <x v="14"/>
    <n v="96"/>
    <x v="740"/>
    <d v="2025-02-04T00:00:00"/>
    <d v="2025-02-07T00:00:00"/>
    <s v="F"/>
    <x v="4"/>
    <x v="1"/>
    <x v="0"/>
    <x v="18"/>
    <x v="2"/>
    <x v="5"/>
    <x v="2"/>
  </r>
  <r>
    <s v="TX500845"/>
    <x v="1"/>
    <x v="0"/>
    <n v="83.6"/>
    <x v="681"/>
    <d v="2025-02-04T00:00:00"/>
    <d v="2025-02-07T00:00:00"/>
    <s v="F"/>
    <x v="2"/>
    <x v="1"/>
    <x v="0"/>
    <x v="19"/>
    <x v="2"/>
    <x v="5"/>
    <x v="2"/>
  </r>
  <r>
    <s v="TX500846"/>
    <x v="2"/>
    <x v="13"/>
    <n v="72.599999999999994"/>
    <x v="349"/>
    <d v="2025-02-04T00:00:00"/>
    <d v="2025-02-05T00:00:00"/>
    <s v="F"/>
    <x v="0"/>
    <x v="0"/>
    <x v="0"/>
    <x v="21"/>
    <x v="3"/>
    <x v="5"/>
    <x v="2"/>
  </r>
  <r>
    <s v="TX500847"/>
    <x v="5"/>
    <x v="28"/>
    <n v="69.099999999999994"/>
    <x v="741"/>
    <d v="2025-02-05T00:00:00"/>
    <d v="2025-02-11T00:00:00"/>
    <s v="M"/>
    <x v="0"/>
    <x v="2"/>
    <x v="0"/>
    <x v="21"/>
    <x v="4"/>
    <x v="5"/>
    <x v="1"/>
  </r>
  <r>
    <s v="TX500848"/>
    <x v="4"/>
    <x v="1"/>
    <n v="22.6"/>
    <x v="705"/>
    <d v="2025-02-05T00:00:00"/>
    <d v="2025-02-07T00:00:00"/>
    <s v="F"/>
    <x v="1"/>
    <x v="2"/>
    <x v="0"/>
    <x v="21"/>
    <x v="1"/>
    <x v="5"/>
    <x v="2"/>
  </r>
  <r>
    <s v="TX500849"/>
    <x v="6"/>
    <x v="1"/>
    <n v="45.3"/>
    <x v="742"/>
    <d v="2025-02-05T00:00:00"/>
    <d v="2025-02-09T00:00:00"/>
    <s v="M"/>
    <x v="4"/>
    <x v="2"/>
    <x v="0"/>
    <x v="21"/>
    <x v="5"/>
    <x v="5"/>
    <x v="1"/>
  </r>
  <r>
    <s v="TX500850"/>
    <x v="2"/>
    <x v="1"/>
    <n v="115.1"/>
    <x v="743"/>
    <d v="2025-02-05T00:00:00"/>
    <d v="2025-02-06T00:00:00"/>
    <s v="F"/>
    <x v="1"/>
    <x v="0"/>
    <x v="0"/>
    <x v="1"/>
    <x v="3"/>
    <x v="5"/>
    <x v="2"/>
  </r>
  <r>
    <s v="TX500851"/>
    <x v="18"/>
    <x v="12"/>
    <n v="79"/>
    <x v="744"/>
    <d v="2025-02-05T00:00:00"/>
    <d v="2025-02-07T00:00:00"/>
    <s v="M"/>
    <x v="2"/>
    <x v="4"/>
    <x v="0"/>
    <x v="1"/>
    <x v="1"/>
    <x v="5"/>
    <x v="1"/>
  </r>
  <r>
    <s v="TX500852"/>
    <x v="6"/>
    <x v="9"/>
    <n v="52.8"/>
    <x v="723"/>
    <d v="2025-02-05T00:00:00"/>
    <d v="2025-02-06T00:00:00"/>
    <s v="F"/>
    <x v="0"/>
    <x v="0"/>
    <x v="0"/>
    <x v="42"/>
    <x v="3"/>
    <x v="5"/>
    <x v="2"/>
  </r>
  <r>
    <s v="TX500853"/>
    <x v="8"/>
    <x v="1"/>
    <n v="34.1"/>
    <x v="745"/>
    <d v="2025-02-05T00:00:00"/>
    <d v="2025-02-06T00:00:00"/>
    <s v="M"/>
    <x v="3"/>
    <x v="2"/>
    <x v="0"/>
    <x v="44"/>
    <x v="3"/>
    <x v="5"/>
    <x v="1"/>
  </r>
  <r>
    <s v="TX500854"/>
    <x v="6"/>
    <x v="9"/>
    <n v="107.9"/>
    <x v="746"/>
    <d v="2025-02-05T00:00:00"/>
    <d v="2025-02-05T00:00:00"/>
    <s v="F"/>
    <x v="0"/>
    <x v="2"/>
    <x v="0"/>
    <x v="50"/>
    <x v="7"/>
    <x v="5"/>
    <x v="2"/>
  </r>
  <r>
    <s v="TX500855"/>
    <x v="8"/>
    <x v="15"/>
    <n v="48.5"/>
    <x v="747"/>
    <d v="2025-02-05T00:00:00"/>
    <d v="2025-02-05T00:00:00"/>
    <s v="M"/>
    <x v="2"/>
    <x v="2"/>
    <x v="0"/>
    <x v="3"/>
    <x v="7"/>
    <x v="5"/>
    <x v="1"/>
  </r>
  <r>
    <s v="TX500856"/>
    <x v="5"/>
    <x v="2"/>
    <n v="34.700000000000003"/>
    <x v="748"/>
    <d v="2025-02-05T00:00:00"/>
    <d v="2025-02-06T00:00:00"/>
    <s v=""/>
    <x v="4"/>
    <x v="1"/>
    <x v="0"/>
    <x v="3"/>
    <x v="3"/>
    <x v="5"/>
    <x v="0"/>
  </r>
  <r>
    <s v="TX500857"/>
    <x v="8"/>
    <x v="0"/>
    <n v="16.8"/>
    <x v="749"/>
    <d v="2025-02-05T00:00:00"/>
    <d v="2025-02-07T00:00:00"/>
    <s v="F"/>
    <x v="3"/>
    <x v="0"/>
    <x v="0"/>
    <x v="3"/>
    <x v="1"/>
    <x v="5"/>
    <x v="2"/>
  </r>
  <r>
    <s v="TX500858"/>
    <x v="8"/>
    <x v="13"/>
    <n v="18.3"/>
    <x v="17"/>
    <d v="2025-02-05T00:00:00"/>
    <d v="2025-02-08T00:00:00"/>
    <s v="F"/>
    <x v="0"/>
    <x v="0"/>
    <x v="0"/>
    <x v="3"/>
    <x v="2"/>
    <x v="5"/>
    <x v="2"/>
  </r>
  <r>
    <s v="TX500859"/>
    <x v="18"/>
    <x v="2"/>
    <n v="55.9"/>
    <x v="750"/>
    <d v="2025-02-05T00:00:00"/>
    <d v="2025-02-11T00:00:00"/>
    <s v="M"/>
    <x v="3"/>
    <x v="1"/>
    <x v="0"/>
    <x v="3"/>
    <x v="4"/>
    <x v="5"/>
    <x v="1"/>
  </r>
  <r>
    <s v="TX500860"/>
    <x v="8"/>
    <x v="2"/>
    <n v="39.200000000000003"/>
    <x v="557"/>
    <d v="2025-02-05T00:00:00"/>
    <d v="2025-02-07T00:00:00"/>
    <s v="F"/>
    <x v="0"/>
    <x v="1"/>
    <x v="0"/>
    <x v="3"/>
    <x v="1"/>
    <x v="5"/>
    <x v="2"/>
  </r>
  <r>
    <s v="TX500861"/>
    <x v="15"/>
    <x v="12"/>
    <n v="66.5"/>
    <x v="751"/>
    <d v="2025-02-05T00:00:00"/>
    <d v="2025-02-07T00:00:00"/>
    <s v=""/>
    <x v="3"/>
    <x v="1"/>
    <x v="0"/>
    <x v="3"/>
    <x v="1"/>
    <x v="5"/>
    <x v="0"/>
  </r>
  <r>
    <s v="TX500862"/>
    <x v="6"/>
    <x v="13"/>
    <n v="52.1"/>
    <x v="752"/>
    <d v="2025-02-05T00:00:00"/>
    <d v="2025-02-07T00:00:00"/>
    <s v="M"/>
    <x v="1"/>
    <x v="1"/>
    <x v="0"/>
    <x v="16"/>
    <x v="1"/>
    <x v="5"/>
    <x v="1"/>
  </r>
  <r>
    <s v="TX500863"/>
    <x v="8"/>
    <x v="1"/>
    <n v="19"/>
    <x v="753"/>
    <d v="2025-02-05T00:00:00"/>
    <d v="2025-02-06T00:00:00"/>
    <s v="M"/>
    <x v="4"/>
    <x v="2"/>
    <x v="0"/>
    <x v="6"/>
    <x v="3"/>
    <x v="5"/>
    <x v="1"/>
  </r>
  <r>
    <s v="TX500864"/>
    <x v="7"/>
    <x v="2"/>
    <n v="84.8"/>
    <x v="754"/>
    <d v="2025-02-05T00:00:00"/>
    <d v="2025-02-07T00:00:00"/>
    <s v="F"/>
    <x v="2"/>
    <x v="0"/>
    <x v="0"/>
    <x v="8"/>
    <x v="1"/>
    <x v="5"/>
    <x v="2"/>
  </r>
  <r>
    <s v="TX500865"/>
    <x v="2"/>
    <x v="12"/>
    <n v="63.9"/>
    <x v="755"/>
    <d v="2025-02-05T00:00:00"/>
    <d v="2025-02-08T00:00:00"/>
    <s v="F"/>
    <x v="0"/>
    <x v="0"/>
    <x v="0"/>
    <x v="8"/>
    <x v="2"/>
    <x v="5"/>
    <x v="2"/>
  </r>
  <r>
    <s v="TX500866"/>
    <x v="2"/>
    <x v="2"/>
    <n v="65.5"/>
    <x v="756"/>
    <d v="2025-02-05T00:00:00"/>
    <d v="2025-02-05T00:00:00"/>
    <s v="F"/>
    <x v="1"/>
    <x v="1"/>
    <x v="0"/>
    <x v="8"/>
    <x v="7"/>
    <x v="5"/>
    <x v="2"/>
  </r>
  <r>
    <s v="TX500867"/>
    <x v="12"/>
    <x v="1"/>
    <n v="116.2"/>
    <x v="757"/>
    <d v="2025-02-05T00:00:00"/>
    <d v="2025-02-11T00:00:00"/>
    <s v="M"/>
    <x v="3"/>
    <x v="0"/>
    <x v="0"/>
    <x v="17"/>
    <x v="4"/>
    <x v="5"/>
    <x v="1"/>
  </r>
  <r>
    <s v="TX500868"/>
    <x v="10"/>
    <x v="12"/>
    <n v="22.9"/>
    <x v="758"/>
    <d v="2025-02-05T00:00:00"/>
    <d v="2025-02-07T00:00:00"/>
    <s v="F"/>
    <x v="2"/>
    <x v="1"/>
    <x v="0"/>
    <x v="38"/>
    <x v="1"/>
    <x v="5"/>
    <x v="2"/>
  </r>
  <r>
    <s v="TX500869"/>
    <x v="10"/>
    <x v="2"/>
    <n v="53.7"/>
    <x v="759"/>
    <d v="2025-02-05T00:00:00"/>
    <d v="2025-02-06T00:00:00"/>
    <s v="M"/>
    <x v="0"/>
    <x v="4"/>
    <x v="0"/>
    <x v="18"/>
    <x v="3"/>
    <x v="5"/>
    <x v="1"/>
  </r>
  <r>
    <s v="TX500870"/>
    <x v="6"/>
    <x v="9"/>
    <n v="43.2"/>
    <x v="760"/>
    <d v="2025-02-05T00:00:00"/>
    <d v="2025-02-07T00:00:00"/>
    <s v="F"/>
    <x v="0"/>
    <x v="0"/>
    <x v="0"/>
    <x v="19"/>
    <x v="1"/>
    <x v="5"/>
    <x v="2"/>
  </r>
  <r>
    <s v="TX500871"/>
    <x v="1"/>
    <x v="2"/>
    <n v="84.5"/>
    <x v="103"/>
    <d v="2025-02-05T00:00:00"/>
    <d v="2025-02-07T00:00:00"/>
    <s v="M"/>
    <x v="2"/>
    <x v="2"/>
    <x v="0"/>
    <x v="51"/>
    <x v="1"/>
    <x v="5"/>
    <x v="1"/>
  </r>
  <r>
    <s v="TX500872"/>
    <x v="3"/>
    <x v="1"/>
    <n v="42.2"/>
    <x v="533"/>
    <d v="2025-02-05T00:00:00"/>
    <d v="2025-02-06T00:00:00"/>
    <s v="F"/>
    <x v="1"/>
    <x v="2"/>
    <x v="0"/>
    <x v="1"/>
    <x v="3"/>
    <x v="5"/>
    <x v="2"/>
  </r>
  <r>
    <s v="TX500873"/>
    <x v="2"/>
    <x v="13"/>
    <n v="94.7"/>
    <x v="761"/>
    <d v="2025-02-05T00:00:00"/>
    <d v="2025-02-08T00:00:00"/>
    <s v="F"/>
    <x v="1"/>
    <x v="2"/>
    <x v="0"/>
    <x v="2"/>
    <x v="2"/>
    <x v="5"/>
    <x v="2"/>
  </r>
  <r>
    <s v="TX500874"/>
    <x v="8"/>
    <x v="16"/>
    <n v="16.7"/>
    <x v="182"/>
    <d v="2025-02-05T00:00:00"/>
    <d v="2025-02-17T00:00:00"/>
    <s v="F"/>
    <x v="0"/>
    <x v="2"/>
    <x v="0"/>
    <x v="2"/>
    <x v="13"/>
    <x v="5"/>
    <x v="2"/>
  </r>
  <r>
    <s v="TX500875"/>
    <x v="2"/>
    <x v="1"/>
    <n v="83.6"/>
    <x v="762"/>
    <d v="2025-02-05T00:00:00"/>
    <d v="2025-02-11T00:00:00"/>
    <s v="F"/>
    <x v="1"/>
    <x v="0"/>
    <x v="0"/>
    <x v="3"/>
    <x v="4"/>
    <x v="5"/>
    <x v="2"/>
  </r>
  <r>
    <s v="TX500876"/>
    <x v="7"/>
    <x v="13"/>
    <n v="33.6"/>
    <x v="763"/>
    <d v="2025-02-06T00:00:00"/>
    <d v="2025-02-07T00:00:00"/>
    <s v="F"/>
    <x v="3"/>
    <x v="0"/>
    <x v="0"/>
    <x v="3"/>
    <x v="3"/>
    <x v="5"/>
    <x v="2"/>
  </r>
  <r>
    <s v="TX500877"/>
    <x v="7"/>
    <x v="1"/>
    <n v="64.7"/>
    <x v="385"/>
    <d v="2025-02-06T00:00:00"/>
    <d v="2025-02-08T00:00:00"/>
    <s v="M"/>
    <x v="1"/>
    <x v="2"/>
    <x v="0"/>
    <x v="3"/>
    <x v="1"/>
    <x v="5"/>
    <x v="1"/>
  </r>
  <r>
    <s v="TX500878"/>
    <x v="0"/>
    <x v="2"/>
    <n v="15.7"/>
    <x v="179"/>
    <d v="2025-02-06T00:00:00"/>
    <d v="2025-02-12T00:00:00"/>
    <s v="F"/>
    <x v="0"/>
    <x v="0"/>
    <x v="0"/>
    <x v="3"/>
    <x v="4"/>
    <x v="5"/>
    <x v="2"/>
  </r>
  <r>
    <s v="TX500879"/>
    <x v="15"/>
    <x v="13"/>
    <n v="49.4"/>
    <x v="764"/>
    <d v="2025-02-06T00:00:00"/>
    <d v="2025-02-06T00:00:00"/>
    <s v="M"/>
    <x v="1"/>
    <x v="0"/>
    <x v="0"/>
    <x v="3"/>
    <x v="7"/>
    <x v="5"/>
    <x v="1"/>
  </r>
  <r>
    <s v="TX500880"/>
    <x v="10"/>
    <x v="13"/>
    <n v="37"/>
    <x v="765"/>
    <d v="2025-02-06T00:00:00"/>
    <d v="2025-02-09T00:00:00"/>
    <s v="F"/>
    <x v="1"/>
    <x v="2"/>
    <x v="0"/>
    <x v="3"/>
    <x v="2"/>
    <x v="5"/>
    <x v="2"/>
  </r>
  <r>
    <s v="TX500881"/>
    <x v="2"/>
    <x v="1"/>
    <n v="83.7"/>
    <x v="589"/>
    <d v="2025-02-06T00:00:00"/>
    <d v="2025-02-08T00:00:00"/>
    <s v="F"/>
    <x v="3"/>
    <x v="2"/>
    <x v="0"/>
    <x v="3"/>
    <x v="1"/>
    <x v="5"/>
    <x v="2"/>
  </r>
  <r>
    <s v="TX500882"/>
    <x v="1"/>
    <x v="9"/>
    <n v="35.1"/>
    <x v="766"/>
    <d v="2025-02-06T00:00:00"/>
    <d v="2025-02-07T00:00:00"/>
    <s v="F"/>
    <x v="0"/>
    <x v="0"/>
    <x v="0"/>
    <x v="3"/>
    <x v="3"/>
    <x v="5"/>
    <x v="2"/>
  </r>
  <r>
    <s v="TX500883"/>
    <x v="16"/>
    <x v="8"/>
    <n v="74"/>
    <x v="767"/>
    <d v="2025-02-06T00:00:00"/>
    <d v="2025-02-07T00:00:00"/>
    <s v="F"/>
    <x v="4"/>
    <x v="0"/>
    <x v="0"/>
    <x v="37"/>
    <x v="3"/>
    <x v="5"/>
    <x v="2"/>
  </r>
  <r>
    <s v="TX500884"/>
    <x v="6"/>
    <x v="25"/>
    <n v="55.5"/>
    <x v="768"/>
    <d v="2025-02-06T00:00:00"/>
    <d v="2025-02-09T00:00:00"/>
    <s v="M"/>
    <x v="3"/>
    <x v="0"/>
    <x v="0"/>
    <x v="49"/>
    <x v="2"/>
    <x v="5"/>
    <x v="1"/>
  </r>
  <r>
    <s v="TX500885"/>
    <x v="11"/>
    <x v="1"/>
    <n v="38.9"/>
    <x v="482"/>
    <d v="2025-02-06T00:00:00"/>
    <d v="2025-02-08T00:00:00"/>
    <s v="F"/>
    <x v="1"/>
    <x v="2"/>
    <x v="0"/>
    <x v="25"/>
    <x v="1"/>
    <x v="5"/>
    <x v="2"/>
  </r>
  <r>
    <s v="TX500886"/>
    <x v="16"/>
    <x v="1"/>
    <n v="64.599999999999994"/>
    <x v="769"/>
    <d v="2025-02-06T00:00:00"/>
    <d v="2025-02-13T00:00:00"/>
    <s v="M"/>
    <x v="2"/>
    <x v="1"/>
    <x v="0"/>
    <x v="25"/>
    <x v="6"/>
    <x v="5"/>
    <x v="1"/>
  </r>
  <r>
    <s v="TX500887"/>
    <x v="2"/>
    <x v="2"/>
    <n v="95.3"/>
    <x v="770"/>
    <d v="2025-02-06T00:00:00"/>
    <d v="2025-02-07T00:00:00"/>
    <s v="M"/>
    <x v="0"/>
    <x v="0"/>
    <x v="0"/>
    <x v="5"/>
    <x v="3"/>
    <x v="5"/>
    <x v="1"/>
  </r>
  <r>
    <s v="TX500888"/>
    <x v="13"/>
    <x v="2"/>
    <n v="25.8"/>
    <x v="771"/>
    <d v="2025-02-06T00:00:00"/>
    <d v="2025-02-07T00:00:00"/>
    <s v="F"/>
    <x v="1"/>
    <x v="1"/>
    <x v="0"/>
    <x v="6"/>
    <x v="3"/>
    <x v="5"/>
    <x v="2"/>
  </r>
  <r>
    <s v="TX500889"/>
    <x v="0"/>
    <x v="1"/>
    <n v="11.6"/>
    <x v="772"/>
    <d v="2025-02-06T00:00:00"/>
    <d v="2025-02-10T00:00:00"/>
    <s v="F"/>
    <x v="1"/>
    <x v="1"/>
    <x v="0"/>
    <x v="6"/>
    <x v="5"/>
    <x v="5"/>
    <x v="2"/>
  </r>
  <r>
    <s v="TX500890"/>
    <x v="7"/>
    <x v="0"/>
    <n v="52.3"/>
    <x v="773"/>
    <d v="2025-02-06T00:00:00"/>
    <d v="2025-02-07T00:00:00"/>
    <s v="F"/>
    <x v="1"/>
    <x v="0"/>
    <x v="0"/>
    <x v="8"/>
    <x v="3"/>
    <x v="5"/>
    <x v="2"/>
  </r>
  <r>
    <s v="TX500891"/>
    <x v="2"/>
    <x v="7"/>
    <n v="112.2"/>
    <x v="774"/>
    <d v="2025-02-06T00:00:00"/>
    <d v="2025-02-07T00:00:00"/>
    <s v="F"/>
    <x v="1"/>
    <x v="1"/>
    <x v="0"/>
    <x v="8"/>
    <x v="3"/>
    <x v="5"/>
    <x v="2"/>
  </r>
  <r>
    <s v="TX500892"/>
    <x v="4"/>
    <x v="9"/>
    <n v="34.6"/>
    <x v="775"/>
    <d v="2025-02-06T00:00:00"/>
    <d v="2025-02-08T00:00:00"/>
    <s v="M"/>
    <x v="2"/>
    <x v="0"/>
    <x v="0"/>
    <x v="8"/>
    <x v="1"/>
    <x v="5"/>
    <x v="1"/>
  </r>
  <r>
    <s v="TX500893"/>
    <x v="14"/>
    <x v="12"/>
    <n v="20.100000000000001"/>
    <x v="48"/>
    <d v="2025-02-06T00:00:00"/>
    <d v="2025-02-12T00:00:00"/>
    <s v="M"/>
    <x v="1"/>
    <x v="2"/>
    <x v="0"/>
    <x v="8"/>
    <x v="4"/>
    <x v="5"/>
    <x v="1"/>
  </r>
  <r>
    <s v="TX500894"/>
    <x v="2"/>
    <x v="12"/>
    <n v="56.4"/>
    <x v="776"/>
    <d v="2025-02-06T00:00:00"/>
    <d v="2025-02-08T00:00:00"/>
    <s v="F"/>
    <x v="2"/>
    <x v="0"/>
    <x v="0"/>
    <x v="10"/>
    <x v="1"/>
    <x v="5"/>
    <x v="2"/>
  </r>
  <r>
    <s v="TX500895"/>
    <x v="13"/>
    <x v="11"/>
    <n v="55.3"/>
    <x v="777"/>
    <d v="2025-02-06T00:00:00"/>
    <d v="2025-02-08T00:00:00"/>
    <s v="F"/>
    <x v="1"/>
    <x v="4"/>
    <x v="0"/>
    <x v="11"/>
    <x v="1"/>
    <x v="5"/>
    <x v="2"/>
  </r>
  <r>
    <s v="TX500896"/>
    <x v="2"/>
    <x v="31"/>
    <n v="75.5"/>
    <x v="778"/>
    <d v="2025-02-06T00:00:00"/>
    <d v="2025-02-07T00:00:00"/>
    <s v="F"/>
    <x v="0"/>
    <x v="0"/>
    <x v="0"/>
    <x v="11"/>
    <x v="3"/>
    <x v="5"/>
    <x v="2"/>
  </r>
  <r>
    <s v="TX500897"/>
    <x v="8"/>
    <x v="0"/>
    <n v="23.6"/>
    <x v="779"/>
    <d v="2025-02-06T00:00:00"/>
    <d v="2025-02-11T00:00:00"/>
    <s v="F"/>
    <x v="0"/>
    <x v="0"/>
    <x v="0"/>
    <x v="19"/>
    <x v="0"/>
    <x v="5"/>
    <x v="2"/>
  </r>
  <r>
    <s v="TX500898"/>
    <x v="9"/>
    <x v="1"/>
    <n v="70.7"/>
    <x v="780"/>
    <d v="2025-02-06T00:00:00"/>
    <d v="2025-02-08T00:00:00"/>
    <s v="F"/>
    <x v="2"/>
    <x v="0"/>
    <x v="0"/>
    <x v="19"/>
    <x v="1"/>
    <x v="5"/>
    <x v="2"/>
  </r>
  <r>
    <s v="TX500899"/>
    <x v="12"/>
    <x v="1"/>
    <n v="43.2"/>
    <x v="781"/>
    <d v="2025-02-06T00:00:00"/>
    <d v="2025-02-07T00:00:00"/>
    <s v="F"/>
    <x v="2"/>
    <x v="0"/>
    <x v="0"/>
    <x v="31"/>
    <x v="3"/>
    <x v="5"/>
    <x v="2"/>
  </r>
  <r>
    <s v="TX500900"/>
    <x v="9"/>
    <x v="11"/>
    <n v="70"/>
    <x v="782"/>
    <d v="2025-02-06T00:00:00"/>
    <d v="2025-02-07T00:00:00"/>
    <s v=""/>
    <x v="1"/>
    <x v="0"/>
    <x v="0"/>
    <x v="52"/>
    <x v="3"/>
    <x v="5"/>
    <x v="0"/>
  </r>
  <r>
    <s v="TX500901"/>
    <x v="0"/>
    <x v="1"/>
    <n v="20.5"/>
    <x v="783"/>
    <d v="2025-02-06T00:00:00"/>
    <d v="2025-02-08T00:00:00"/>
    <s v="F"/>
    <x v="2"/>
    <x v="4"/>
    <x v="0"/>
    <x v="13"/>
    <x v="1"/>
    <x v="5"/>
    <x v="2"/>
  </r>
  <r>
    <s v="TX500902"/>
    <x v="0"/>
    <x v="12"/>
    <n v="29.1"/>
    <x v="565"/>
    <d v="2025-02-06T00:00:00"/>
    <d v="2025-02-07T00:00:00"/>
    <s v="F"/>
    <x v="3"/>
    <x v="0"/>
    <x v="0"/>
    <x v="28"/>
    <x v="3"/>
    <x v="5"/>
    <x v="2"/>
  </r>
  <r>
    <s v="TX500903"/>
    <x v="6"/>
    <x v="11"/>
    <n v="53.6"/>
    <x v="784"/>
    <d v="2025-02-06T00:00:00"/>
    <d v="2025-02-07T00:00:00"/>
    <s v="M"/>
    <x v="2"/>
    <x v="1"/>
    <x v="0"/>
    <x v="3"/>
    <x v="3"/>
    <x v="5"/>
    <x v="1"/>
  </r>
  <r>
    <s v="TX500904"/>
    <x v="6"/>
    <x v="9"/>
    <n v="72.3"/>
    <x v="785"/>
    <d v="2025-02-06T00:00:00"/>
    <d v="2025-02-08T00:00:00"/>
    <s v="F"/>
    <x v="1"/>
    <x v="0"/>
    <x v="0"/>
    <x v="3"/>
    <x v="1"/>
    <x v="5"/>
    <x v="2"/>
  </r>
  <r>
    <s v="TX500905"/>
    <x v="13"/>
    <x v="12"/>
    <n v="22.6"/>
    <x v="786"/>
    <d v="2025-02-06T00:00:00"/>
    <d v="2025-02-09T00:00:00"/>
    <s v="O"/>
    <x v="0"/>
    <x v="1"/>
    <x v="0"/>
    <x v="3"/>
    <x v="2"/>
    <x v="5"/>
    <x v="3"/>
  </r>
  <r>
    <s v="TX500906"/>
    <x v="9"/>
    <x v="1"/>
    <n v="44.2"/>
    <x v="787"/>
    <d v="2025-02-06T00:00:00"/>
    <d v="2025-02-10T00:00:00"/>
    <s v=""/>
    <x v="2"/>
    <x v="4"/>
    <x v="0"/>
    <x v="3"/>
    <x v="5"/>
    <x v="5"/>
    <x v="0"/>
  </r>
  <r>
    <s v="TX500907"/>
    <x v="9"/>
    <x v="2"/>
    <n v="94.1"/>
    <x v="788"/>
    <d v="2025-02-06T00:00:00"/>
    <d v="2025-02-19T00:00:00"/>
    <s v="F"/>
    <x v="2"/>
    <x v="2"/>
    <x v="0"/>
    <x v="3"/>
    <x v="10"/>
    <x v="5"/>
    <x v="2"/>
  </r>
  <r>
    <s v="TX500908"/>
    <x v="8"/>
    <x v="2"/>
    <n v="17.899999999999999"/>
    <x v="789"/>
    <d v="2025-02-06T00:00:00"/>
    <d v="2025-02-08T00:00:00"/>
    <s v="M"/>
    <x v="1"/>
    <x v="1"/>
    <x v="0"/>
    <x v="3"/>
    <x v="1"/>
    <x v="5"/>
    <x v="1"/>
  </r>
  <r>
    <s v="TX500909"/>
    <x v="12"/>
    <x v="3"/>
    <n v="52.7"/>
    <x v="790"/>
    <d v="2025-02-06T00:00:00"/>
    <d v="2025-02-07T00:00:00"/>
    <s v="M"/>
    <x v="1"/>
    <x v="1"/>
    <x v="0"/>
    <x v="3"/>
    <x v="3"/>
    <x v="5"/>
    <x v="1"/>
  </r>
  <r>
    <s v="TX500910"/>
    <x v="8"/>
    <x v="0"/>
    <n v="36.799999999999997"/>
    <x v="791"/>
    <d v="2025-02-06T00:00:00"/>
    <d v="2025-02-06T00:00:00"/>
    <s v=""/>
    <x v="0"/>
    <x v="2"/>
    <x v="0"/>
    <x v="3"/>
    <x v="7"/>
    <x v="5"/>
    <x v="0"/>
  </r>
  <r>
    <s v="TX500911"/>
    <x v="4"/>
    <x v="0"/>
    <n v="52.5"/>
    <x v="413"/>
    <d v="2025-02-06T00:00:00"/>
    <d v="2025-02-07T00:00:00"/>
    <s v="M"/>
    <x v="0"/>
    <x v="1"/>
    <x v="0"/>
    <x v="6"/>
    <x v="3"/>
    <x v="5"/>
    <x v="1"/>
  </r>
  <r>
    <s v="TX500912"/>
    <x v="2"/>
    <x v="1"/>
    <n v="133.80000000000001"/>
    <x v="792"/>
    <d v="2025-02-06T00:00:00"/>
    <d v="2025-02-08T00:00:00"/>
    <s v="M"/>
    <x v="0"/>
    <x v="1"/>
    <x v="0"/>
    <x v="7"/>
    <x v="1"/>
    <x v="5"/>
    <x v="1"/>
  </r>
  <r>
    <s v="TX500913"/>
    <x v="6"/>
    <x v="1"/>
    <n v="53.2"/>
    <x v="793"/>
    <d v="2025-02-06T00:00:00"/>
    <d v="2025-02-08T00:00:00"/>
    <s v="M"/>
    <x v="0"/>
    <x v="0"/>
    <x v="0"/>
    <x v="17"/>
    <x v="1"/>
    <x v="5"/>
    <x v="1"/>
  </r>
  <r>
    <s v="TX500914"/>
    <x v="14"/>
    <x v="13"/>
    <n v="18.7"/>
    <x v="794"/>
    <d v="2025-02-06T00:00:00"/>
    <d v="2025-02-08T00:00:00"/>
    <s v=""/>
    <x v="0"/>
    <x v="1"/>
    <x v="0"/>
    <x v="10"/>
    <x v="1"/>
    <x v="5"/>
    <x v="0"/>
  </r>
  <r>
    <s v="TX500915"/>
    <x v="6"/>
    <x v="12"/>
    <n v="108.8"/>
    <x v="795"/>
    <d v="2025-02-06T00:00:00"/>
    <d v="2025-02-07T00:00:00"/>
    <s v="F"/>
    <x v="3"/>
    <x v="2"/>
    <x v="0"/>
    <x v="11"/>
    <x v="3"/>
    <x v="5"/>
    <x v="2"/>
  </r>
  <r>
    <s v="TX500916"/>
    <x v="15"/>
    <x v="9"/>
    <n v="38.5"/>
    <x v="796"/>
    <d v="2025-02-06T00:00:00"/>
    <d v="2025-02-10T00:00:00"/>
    <s v="F"/>
    <x v="0"/>
    <x v="1"/>
    <x v="0"/>
    <x v="14"/>
    <x v="5"/>
    <x v="5"/>
    <x v="2"/>
  </r>
  <r>
    <s v="TX500917"/>
    <x v="10"/>
    <x v="7"/>
    <n v="46.5"/>
    <x v="797"/>
    <d v="2025-02-06T00:00:00"/>
    <d v="2025-02-08T00:00:00"/>
    <s v="M"/>
    <x v="2"/>
    <x v="1"/>
    <x v="0"/>
    <x v="2"/>
    <x v="1"/>
    <x v="5"/>
    <x v="1"/>
  </r>
  <r>
    <s v="TX500918"/>
    <x v="2"/>
    <x v="2"/>
    <n v="75.8"/>
    <x v="129"/>
    <d v="2025-02-06T00:00:00"/>
    <d v="2025-02-10T00:00:00"/>
    <s v="F"/>
    <x v="1"/>
    <x v="4"/>
    <x v="0"/>
    <x v="44"/>
    <x v="5"/>
    <x v="5"/>
    <x v="2"/>
  </r>
  <r>
    <s v="TX500919"/>
    <x v="8"/>
    <x v="0"/>
    <n v="20.9"/>
    <x v="798"/>
    <d v="2025-02-06T00:00:00"/>
    <d v="2025-02-10T00:00:00"/>
    <s v="M"/>
    <x v="0"/>
    <x v="0"/>
    <x v="0"/>
    <x v="22"/>
    <x v="5"/>
    <x v="5"/>
    <x v="1"/>
  </r>
  <r>
    <s v="TX500920"/>
    <x v="18"/>
    <x v="2"/>
    <n v="47.4"/>
    <x v="60"/>
    <d v="2025-02-06T00:00:00"/>
    <d v="2025-02-09T00:00:00"/>
    <s v="F"/>
    <x v="0"/>
    <x v="0"/>
    <x v="0"/>
    <x v="3"/>
    <x v="2"/>
    <x v="5"/>
    <x v="2"/>
  </r>
  <r>
    <s v="TX500921"/>
    <x v="9"/>
    <x v="1"/>
    <n v="53.8"/>
    <x v="799"/>
    <d v="2025-02-06T00:00:00"/>
    <d v="2025-02-07T00:00:00"/>
    <s v=""/>
    <x v="0"/>
    <x v="1"/>
    <x v="0"/>
    <x v="3"/>
    <x v="3"/>
    <x v="5"/>
    <x v="0"/>
  </r>
  <r>
    <s v="TX500922"/>
    <x v="8"/>
    <x v="2"/>
    <n v="24.6"/>
    <x v="800"/>
    <d v="2025-02-06T00:00:00"/>
    <d v="2025-02-08T00:00:00"/>
    <s v="O"/>
    <x v="1"/>
    <x v="2"/>
    <x v="0"/>
    <x v="3"/>
    <x v="1"/>
    <x v="5"/>
    <x v="3"/>
  </r>
  <r>
    <s v="TX500923"/>
    <x v="9"/>
    <x v="2"/>
    <n v="70.900000000000006"/>
    <x v="801"/>
    <d v="2025-02-06T00:00:00"/>
    <d v="2025-02-11T00:00:00"/>
    <s v="F"/>
    <x v="2"/>
    <x v="2"/>
    <x v="0"/>
    <x v="3"/>
    <x v="0"/>
    <x v="5"/>
    <x v="2"/>
  </r>
  <r>
    <s v="TX500924"/>
    <x v="17"/>
    <x v="2"/>
    <n v="31.9"/>
    <x v="802"/>
    <d v="2025-02-06T00:00:00"/>
    <d v="2025-02-08T00:00:00"/>
    <s v="F"/>
    <x v="2"/>
    <x v="2"/>
    <x v="0"/>
    <x v="3"/>
    <x v="1"/>
    <x v="5"/>
    <x v="2"/>
  </r>
  <r>
    <s v="TX500925"/>
    <x v="0"/>
    <x v="1"/>
    <n v="20.399999999999999"/>
    <x v="803"/>
    <d v="2025-02-06T00:00:00"/>
    <d v="2025-02-10T00:00:00"/>
    <s v="M"/>
    <x v="3"/>
    <x v="2"/>
    <x v="0"/>
    <x v="3"/>
    <x v="5"/>
    <x v="5"/>
    <x v="1"/>
  </r>
  <r>
    <s v="TX500926"/>
    <x v="8"/>
    <x v="1"/>
    <n v="18.600000000000001"/>
    <x v="804"/>
    <d v="2025-02-06T00:00:00"/>
    <d v="2025-02-08T00:00:00"/>
    <s v=""/>
    <x v="0"/>
    <x v="1"/>
    <x v="0"/>
    <x v="3"/>
    <x v="1"/>
    <x v="5"/>
    <x v="0"/>
  </r>
  <r>
    <s v="TX500927"/>
    <x v="4"/>
    <x v="9"/>
    <n v="48.3"/>
    <x v="805"/>
    <d v="2025-02-06T00:00:00"/>
    <d v="2025-02-08T00:00:00"/>
    <s v="F"/>
    <x v="1"/>
    <x v="0"/>
    <x v="0"/>
    <x v="3"/>
    <x v="1"/>
    <x v="5"/>
    <x v="2"/>
  </r>
  <r>
    <s v="TX500928"/>
    <x v="0"/>
    <x v="12"/>
    <n v="27.7"/>
    <x v="806"/>
    <d v="2025-02-06T00:00:00"/>
    <d v="2025-02-08T00:00:00"/>
    <s v="F"/>
    <x v="0"/>
    <x v="0"/>
    <x v="0"/>
    <x v="3"/>
    <x v="1"/>
    <x v="5"/>
    <x v="2"/>
  </r>
  <r>
    <s v="TX500929"/>
    <x v="4"/>
    <x v="9"/>
    <n v="22.5"/>
    <x v="158"/>
    <d v="2025-02-06T00:00:00"/>
    <d v="2025-02-08T00:00:00"/>
    <s v="F"/>
    <x v="4"/>
    <x v="2"/>
    <x v="0"/>
    <x v="3"/>
    <x v="1"/>
    <x v="5"/>
    <x v="2"/>
  </r>
  <r>
    <s v="TX500930"/>
    <x v="17"/>
    <x v="9"/>
    <n v="21.6"/>
    <x v="807"/>
    <d v="2025-02-06T00:00:00"/>
    <d v="2025-02-14T00:00:00"/>
    <s v="F"/>
    <x v="0"/>
    <x v="1"/>
    <x v="0"/>
    <x v="3"/>
    <x v="9"/>
    <x v="5"/>
    <x v="2"/>
  </r>
  <r>
    <s v="TX500931"/>
    <x v="10"/>
    <x v="3"/>
    <n v="26.3"/>
    <x v="808"/>
    <d v="2025-02-06T00:00:00"/>
    <d v="2025-02-06T00:00:00"/>
    <s v="F"/>
    <x v="2"/>
    <x v="1"/>
    <x v="0"/>
    <x v="3"/>
    <x v="7"/>
    <x v="5"/>
    <x v="2"/>
  </r>
  <r>
    <s v="TX500932"/>
    <x v="6"/>
    <x v="3"/>
    <n v="103"/>
    <x v="809"/>
    <d v="2025-02-07T00:00:00"/>
    <d v="2025-02-08T00:00:00"/>
    <s v="M"/>
    <x v="0"/>
    <x v="2"/>
    <x v="0"/>
    <x v="6"/>
    <x v="3"/>
    <x v="5"/>
    <x v="1"/>
  </r>
  <r>
    <s v="TX500933"/>
    <x v="5"/>
    <x v="20"/>
    <n v="46.6"/>
    <x v="810"/>
    <d v="2025-02-07T00:00:00"/>
    <d v="2025-02-08T00:00:00"/>
    <s v="F"/>
    <x v="0"/>
    <x v="1"/>
    <x v="0"/>
    <x v="6"/>
    <x v="3"/>
    <x v="5"/>
    <x v="2"/>
  </r>
  <r>
    <s v="TX500934"/>
    <x v="0"/>
    <x v="9"/>
    <n v="32.200000000000003"/>
    <x v="811"/>
    <d v="2025-02-07T00:00:00"/>
    <d v="2025-02-10T00:00:00"/>
    <s v="F"/>
    <x v="0"/>
    <x v="2"/>
    <x v="0"/>
    <x v="36"/>
    <x v="2"/>
    <x v="5"/>
    <x v="2"/>
  </r>
  <r>
    <s v="TX500935"/>
    <x v="8"/>
    <x v="2"/>
    <n v="22"/>
    <x v="812"/>
    <d v="2025-02-07T00:00:00"/>
    <d v="2025-02-14T00:00:00"/>
    <s v="M"/>
    <x v="1"/>
    <x v="0"/>
    <x v="0"/>
    <x v="7"/>
    <x v="6"/>
    <x v="5"/>
    <x v="1"/>
  </r>
  <r>
    <s v="TX500936"/>
    <x v="0"/>
    <x v="1"/>
    <n v="25.2"/>
    <x v="813"/>
    <d v="2025-02-07T00:00:00"/>
    <d v="2025-02-11T00:00:00"/>
    <s v="F"/>
    <x v="0"/>
    <x v="0"/>
    <x v="0"/>
    <x v="7"/>
    <x v="5"/>
    <x v="5"/>
    <x v="2"/>
  </r>
  <r>
    <s v="TX500937"/>
    <x v="1"/>
    <x v="13"/>
    <n v="68.7"/>
    <x v="814"/>
    <d v="2025-02-07T00:00:00"/>
    <d v="2025-02-09T00:00:00"/>
    <s v="M"/>
    <x v="4"/>
    <x v="0"/>
    <x v="0"/>
    <x v="8"/>
    <x v="1"/>
    <x v="5"/>
    <x v="1"/>
  </r>
  <r>
    <s v="TX500938"/>
    <x v="0"/>
    <x v="2"/>
    <n v="22.2"/>
    <x v="815"/>
    <d v="2025-02-07T00:00:00"/>
    <d v="2025-02-10T00:00:00"/>
    <s v="M"/>
    <x v="2"/>
    <x v="2"/>
    <x v="0"/>
    <x v="8"/>
    <x v="2"/>
    <x v="5"/>
    <x v="1"/>
  </r>
  <r>
    <s v="TX500939"/>
    <x v="1"/>
    <x v="3"/>
    <n v="36"/>
    <x v="816"/>
    <d v="2025-02-07T00:00:00"/>
    <d v="2025-02-08T00:00:00"/>
    <s v="F"/>
    <x v="1"/>
    <x v="0"/>
    <x v="0"/>
    <x v="8"/>
    <x v="3"/>
    <x v="5"/>
    <x v="2"/>
  </r>
  <r>
    <s v="TX500940"/>
    <x v="18"/>
    <x v="0"/>
    <n v="50.6"/>
    <x v="578"/>
    <d v="2025-02-07T00:00:00"/>
    <d v="2025-02-09T00:00:00"/>
    <s v="F"/>
    <x v="0"/>
    <x v="1"/>
    <x v="0"/>
    <x v="8"/>
    <x v="1"/>
    <x v="5"/>
    <x v="2"/>
  </r>
  <r>
    <s v="TX500941"/>
    <x v="15"/>
    <x v="1"/>
    <n v="44.9"/>
    <x v="817"/>
    <d v="2025-02-07T00:00:00"/>
    <d v="2025-02-09T00:00:00"/>
    <s v="M"/>
    <x v="0"/>
    <x v="1"/>
    <x v="0"/>
    <x v="8"/>
    <x v="1"/>
    <x v="5"/>
    <x v="1"/>
  </r>
  <r>
    <s v="TX500942"/>
    <x v="6"/>
    <x v="2"/>
    <n v="71.599999999999994"/>
    <x v="818"/>
    <d v="2025-02-07T00:00:00"/>
    <d v="2025-02-11T00:00:00"/>
    <s v="M"/>
    <x v="1"/>
    <x v="2"/>
    <x v="0"/>
    <x v="10"/>
    <x v="5"/>
    <x v="5"/>
    <x v="1"/>
  </r>
  <r>
    <s v="TX500943"/>
    <x v="6"/>
    <x v="13"/>
    <n v="51.5"/>
    <x v="15"/>
    <d v="2025-02-07T00:00:00"/>
    <d v="2025-02-09T00:00:00"/>
    <s v=""/>
    <x v="4"/>
    <x v="0"/>
    <x v="0"/>
    <x v="11"/>
    <x v="1"/>
    <x v="5"/>
    <x v="0"/>
  </r>
  <r>
    <s v="TX500944"/>
    <x v="7"/>
    <x v="9"/>
    <n v="55.5"/>
    <x v="819"/>
    <d v="2025-02-07T00:00:00"/>
    <d v="2025-02-08T00:00:00"/>
    <s v="M"/>
    <x v="1"/>
    <x v="1"/>
    <x v="0"/>
    <x v="11"/>
    <x v="3"/>
    <x v="5"/>
    <x v="1"/>
  </r>
  <r>
    <s v="TX500945"/>
    <x v="6"/>
    <x v="0"/>
    <n v="51.7"/>
    <x v="733"/>
    <d v="2025-02-07T00:00:00"/>
    <d v="2025-02-21T00:00:00"/>
    <s v="M"/>
    <x v="2"/>
    <x v="0"/>
    <x v="0"/>
    <x v="19"/>
    <x v="12"/>
    <x v="5"/>
    <x v="1"/>
  </r>
  <r>
    <s v="TX500946"/>
    <x v="8"/>
    <x v="38"/>
    <n v="45.5"/>
    <x v="820"/>
    <d v="2025-02-07T00:00:00"/>
    <d v="2025-02-08T00:00:00"/>
    <s v="F"/>
    <x v="3"/>
    <x v="2"/>
    <x v="0"/>
    <x v="19"/>
    <x v="3"/>
    <x v="5"/>
    <x v="2"/>
  </r>
  <r>
    <s v="TX500947"/>
    <x v="8"/>
    <x v="1"/>
    <n v="33.799999999999997"/>
    <x v="821"/>
    <d v="2025-02-07T00:00:00"/>
    <d v="2025-02-13T00:00:00"/>
    <s v="F"/>
    <x v="3"/>
    <x v="0"/>
    <x v="0"/>
    <x v="20"/>
    <x v="4"/>
    <x v="5"/>
    <x v="2"/>
  </r>
  <r>
    <s v="TX500948"/>
    <x v="3"/>
    <x v="2"/>
    <n v="76.5"/>
    <x v="822"/>
    <d v="2025-02-07T00:00:00"/>
    <d v="2025-02-08T00:00:00"/>
    <s v="F"/>
    <x v="0"/>
    <x v="1"/>
    <x v="0"/>
    <x v="21"/>
    <x v="3"/>
    <x v="5"/>
    <x v="2"/>
  </r>
  <r>
    <s v="TX500949"/>
    <x v="9"/>
    <x v="2"/>
    <n v="42.6"/>
    <x v="823"/>
    <d v="2025-02-07T00:00:00"/>
    <d v="2025-02-13T00:00:00"/>
    <s v="F"/>
    <x v="2"/>
    <x v="2"/>
    <x v="0"/>
    <x v="2"/>
    <x v="4"/>
    <x v="5"/>
    <x v="2"/>
  </r>
  <r>
    <s v="TX500950"/>
    <x v="6"/>
    <x v="2"/>
    <n v="44.1"/>
    <x v="431"/>
    <d v="2025-02-07T00:00:00"/>
    <d v="2025-02-09T00:00:00"/>
    <s v="F"/>
    <x v="1"/>
    <x v="1"/>
    <x v="0"/>
    <x v="22"/>
    <x v="1"/>
    <x v="5"/>
    <x v="2"/>
  </r>
  <r>
    <s v="TX500951"/>
    <x v="8"/>
    <x v="1"/>
    <n v="40.9"/>
    <x v="673"/>
    <d v="2025-02-07T00:00:00"/>
    <d v="2025-02-11T00:00:00"/>
    <s v="M"/>
    <x v="0"/>
    <x v="0"/>
    <x v="0"/>
    <x v="3"/>
    <x v="5"/>
    <x v="5"/>
    <x v="1"/>
  </r>
  <r>
    <s v="TX500952"/>
    <x v="9"/>
    <x v="2"/>
    <n v="49.1"/>
    <x v="824"/>
    <d v="2025-02-07T00:00:00"/>
    <d v="2025-02-11T00:00:00"/>
    <s v="F"/>
    <x v="3"/>
    <x v="1"/>
    <x v="0"/>
    <x v="3"/>
    <x v="5"/>
    <x v="5"/>
    <x v="2"/>
  </r>
  <r>
    <s v="TX500953"/>
    <x v="18"/>
    <x v="0"/>
    <n v="85.3"/>
    <x v="825"/>
    <d v="2025-02-07T00:00:00"/>
    <d v="2025-02-11T00:00:00"/>
    <s v="M"/>
    <x v="1"/>
    <x v="1"/>
    <x v="0"/>
    <x v="3"/>
    <x v="5"/>
    <x v="5"/>
    <x v="1"/>
  </r>
  <r>
    <s v="TX500954"/>
    <x v="6"/>
    <x v="12"/>
    <n v="43.1"/>
    <x v="826"/>
    <d v="2025-02-08T00:00:00"/>
    <d v="2025-02-11T00:00:00"/>
    <s v="M"/>
    <x v="0"/>
    <x v="0"/>
    <x v="0"/>
    <x v="3"/>
    <x v="2"/>
    <x v="5"/>
    <x v="1"/>
  </r>
  <r>
    <s v="TX500955"/>
    <x v="4"/>
    <x v="12"/>
    <n v="46.2"/>
    <x v="827"/>
    <d v="2025-02-08T00:00:00"/>
    <d v="2025-02-09T00:00:00"/>
    <s v="M"/>
    <x v="2"/>
    <x v="0"/>
    <x v="0"/>
    <x v="3"/>
    <x v="3"/>
    <x v="5"/>
    <x v="1"/>
  </r>
  <r>
    <s v="TX500956"/>
    <x v="1"/>
    <x v="0"/>
    <n v="74.400000000000006"/>
    <x v="610"/>
    <d v="2025-02-08T00:00:00"/>
    <d v="2025-02-10T00:00:00"/>
    <s v="M"/>
    <x v="4"/>
    <x v="2"/>
    <x v="0"/>
    <x v="3"/>
    <x v="1"/>
    <x v="5"/>
    <x v="1"/>
  </r>
  <r>
    <s v="TX500957"/>
    <x v="17"/>
    <x v="1"/>
    <n v="51.2"/>
    <x v="298"/>
    <d v="2025-02-08T00:00:00"/>
    <d v="2025-02-09T00:00:00"/>
    <s v="M"/>
    <x v="1"/>
    <x v="0"/>
    <x v="0"/>
    <x v="3"/>
    <x v="3"/>
    <x v="5"/>
    <x v="1"/>
  </r>
  <r>
    <s v="TX500958"/>
    <x v="14"/>
    <x v="12"/>
    <n v="11.8"/>
    <x v="828"/>
    <d v="2025-02-08T00:00:00"/>
    <d v="2025-02-08T00:00:00"/>
    <s v="M"/>
    <x v="2"/>
    <x v="0"/>
    <x v="0"/>
    <x v="3"/>
    <x v="7"/>
    <x v="5"/>
    <x v="1"/>
  </r>
  <r>
    <s v="TX500959"/>
    <x v="10"/>
    <x v="6"/>
    <n v="40.799999999999997"/>
    <x v="829"/>
    <d v="2025-02-08T00:00:00"/>
    <d v="2025-02-09T00:00:00"/>
    <s v="F"/>
    <x v="3"/>
    <x v="2"/>
    <x v="0"/>
    <x v="3"/>
    <x v="3"/>
    <x v="5"/>
    <x v="2"/>
  </r>
  <r>
    <s v="TX500960"/>
    <x v="8"/>
    <x v="0"/>
    <n v="24.7"/>
    <x v="830"/>
    <d v="2025-02-08T00:00:00"/>
    <d v="2025-02-10T00:00:00"/>
    <s v="F"/>
    <x v="2"/>
    <x v="1"/>
    <x v="0"/>
    <x v="3"/>
    <x v="1"/>
    <x v="5"/>
    <x v="2"/>
  </r>
  <r>
    <s v="TX500961"/>
    <x v="8"/>
    <x v="3"/>
    <n v="22.1"/>
    <x v="831"/>
    <d v="2025-02-08T00:00:00"/>
    <d v="2025-02-08T00:00:00"/>
    <s v="F"/>
    <x v="2"/>
    <x v="4"/>
    <x v="0"/>
    <x v="3"/>
    <x v="7"/>
    <x v="5"/>
    <x v="2"/>
  </r>
  <r>
    <s v="TX500962"/>
    <x v="8"/>
    <x v="0"/>
    <n v="18.100000000000001"/>
    <x v="832"/>
    <d v="2025-02-08T00:00:00"/>
    <d v="2025-02-12T00:00:00"/>
    <s v="M"/>
    <x v="3"/>
    <x v="2"/>
    <x v="0"/>
    <x v="3"/>
    <x v="5"/>
    <x v="5"/>
    <x v="1"/>
  </r>
  <r>
    <s v="TX500963"/>
    <x v="17"/>
    <x v="1"/>
    <n v="58.8"/>
    <x v="833"/>
    <d v="2025-02-08T00:00:00"/>
    <d v="2025-02-11T00:00:00"/>
    <s v="F"/>
    <x v="0"/>
    <x v="0"/>
    <x v="0"/>
    <x v="25"/>
    <x v="2"/>
    <x v="5"/>
    <x v="2"/>
  </r>
  <r>
    <s v="TX500964"/>
    <x v="18"/>
    <x v="1"/>
    <n v="30.8"/>
    <x v="834"/>
    <d v="2025-02-08T00:00:00"/>
    <d v="2025-02-09T00:00:00"/>
    <s v="F"/>
    <x v="0"/>
    <x v="0"/>
    <x v="0"/>
    <x v="6"/>
    <x v="3"/>
    <x v="5"/>
    <x v="2"/>
  </r>
  <r>
    <s v="TX500965"/>
    <x v="0"/>
    <x v="1"/>
    <n v="12"/>
    <x v="835"/>
    <d v="2025-02-08T00:00:00"/>
    <d v="2025-02-12T00:00:00"/>
    <s v="F"/>
    <x v="0"/>
    <x v="0"/>
    <x v="0"/>
    <x v="6"/>
    <x v="5"/>
    <x v="5"/>
    <x v="2"/>
  </r>
  <r>
    <s v="TX500966"/>
    <x v="0"/>
    <x v="12"/>
    <n v="13.6"/>
    <x v="630"/>
    <d v="2025-02-08T00:00:00"/>
    <d v="2025-02-11T00:00:00"/>
    <s v="M"/>
    <x v="2"/>
    <x v="0"/>
    <x v="0"/>
    <x v="6"/>
    <x v="2"/>
    <x v="5"/>
    <x v="1"/>
  </r>
  <r>
    <s v="TX500967"/>
    <x v="0"/>
    <x v="0"/>
    <n v="17.899999999999999"/>
    <x v="836"/>
    <d v="2025-02-08T00:00:00"/>
    <d v="2025-02-09T00:00:00"/>
    <s v="M"/>
    <x v="3"/>
    <x v="0"/>
    <x v="0"/>
    <x v="6"/>
    <x v="3"/>
    <x v="5"/>
    <x v="1"/>
  </r>
  <r>
    <s v="TX500968"/>
    <x v="9"/>
    <x v="1"/>
    <n v="38.6"/>
    <x v="837"/>
    <d v="2025-02-08T00:00:00"/>
    <d v="2025-02-12T00:00:00"/>
    <s v="F"/>
    <x v="4"/>
    <x v="0"/>
    <x v="0"/>
    <x v="7"/>
    <x v="5"/>
    <x v="5"/>
    <x v="2"/>
  </r>
  <r>
    <s v="TX500969"/>
    <x v="5"/>
    <x v="9"/>
    <n v="32.700000000000003"/>
    <x v="838"/>
    <d v="2025-02-08T00:00:00"/>
    <d v="2025-02-09T00:00:00"/>
    <s v="M"/>
    <x v="2"/>
    <x v="2"/>
    <x v="0"/>
    <x v="8"/>
    <x v="3"/>
    <x v="5"/>
    <x v="1"/>
  </r>
  <r>
    <s v="TX500970"/>
    <x v="3"/>
    <x v="1"/>
    <n v="111.4"/>
    <x v="839"/>
    <d v="2025-02-08T00:00:00"/>
    <d v="2025-02-09T00:00:00"/>
    <s v="F"/>
    <x v="1"/>
    <x v="0"/>
    <x v="0"/>
    <x v="8"/>
    <x v="3"/>
    <x v="5"/>
    <x v="2"/>
  </r>
  <r>
    <s v="TX500971"/>
    <x v="2"/>
    <x v="13"/>
    <n v="80.3"/>
    <x v="840"/>
    <d v="2025-02-08T00:00:00"/>
    <d v="2025-02-10T00:00:00"/>
    <s v="F"/>
    <x v="1"/>
    <x v="0"/>
    <x v="0"/>
    <x v="8"/>
    <x v="1"/>
    <x v="5"/>
    <x v="2"/>
  </r>
  <r>
    <s v="TX500972"/>
    <x v="6"/>
    <x v="1"/>
    <n v="58.9"/>
    <x v="841"/>
    <d v="2025-02-08T00:00:00"/>
    <d v="2025-02-09T00:00:00"/>
    <s v="M"/>
    <x v="1"/>
    <x v="0"/>
    <x v="0"/>
    <x v="8"/>
    <x v="3"/>
    <x v="5"/>
    <x v="1"/>
  </r>
  <r>
    <s v="TX500973"/>
    <x v="6"/>
    <x v="2"/>
    <n v="51.9"/>
    <x v="515"/>
    <d v="2025-02-08T00:00:00"/>
    <d v="2025-02-10T00:00:00"/>
    <s v="F"/>
    <x v="1"/>
    <x v="4"/>
    <x v="0"/>
    <x v="8"/>
    <x v="1"/>
    <x v="5"/>
    <x v="2"/>
  </r>
  <r>
    <s v="TX500974"/>
    <x v="2"/>
    <x v="2"/>
    <n v="50.3"/>
    <x v="842"/>
    <d v="2025-02-08T00:00:00"/>
    <d v="2025-02-09T00:00:00"/>
    <s v="M"/>
    <x v="2"/>
    <x v="0"/>
    <x v="0"/>
    <x v="17"/>
    <x v="3"/>
    <x v="5"/>
    <x v="1"/>
  </r>
  <r>
    <s v="TX500975"/>
    <x v="11"/>
    <x v="13"/>
    <n v="45"/>
    <x v="843"/>
    <d v="2025-02-08T00:00:00"/>
    <d v="2025-02-14T00:00:00"/>
    <s v="F"/>
    <x v="3"/>
    <x v="0"/>
    <x v="0"/>
    <x v="9"/>
    <x v="4"/>
    <x v="5"/>
    <x v="2"/>
  </r>
  <r>
    <s v="TX500976"/>
    <x v="10"/>
    <x v="13"/>
    <n v="44.7"/>
    <x v="844"/>
    <d v="2025-02-08T00:00:00"/>
    <d v="2025-02-10T00:00:00"/>
    <s v="F"/>
    <x v="2"/>
    <x v="0"/>
    <x v="0"/>
    <x v="11"/>
    <x v="1"/>
    <x v="5"/>
    <x v="2"/>
  </r>
  <r>
    <s v="TX500977"/>
    <x v="18"/>
    <x v="20"/>
    <n v="33"/>
    <x v="845"/>
    <d v="2025-02-08T00:00:00"/>
    <d v="2025-02-09T00:00:00"/>
    <s v="F"/>
    <x v="2"/>
    <x v="0"/>
    <x v="0"/>
    <x v="11"/>
    <x v="3"/>
    <x v="5"/>
    <x v="2"/>
  </r>
  <r>
    <s v="TX500978"/>
    <x v="1"/>
    <x v="9"/>
    <n v="44.9"/>
    <x v="846"/>
    <d v="2025-02-08T00:00:00"/>
    <d v="2025-02-11T00:00:00"/>
    <s v="F"/>
    <x v="2"/>
    <x v="2"/>
    <x v="0"/>
    <x v="18"/>
    <x v="2"/>
    <x v="5"/>
    <x v="2"/>
  </r>
  <r>
    <s v="TX500979"/>
    <x v="10"/>
    <x v="1"/>
    <n v="34.6"/>
    <x v="564"/>
    <d v="2025-02-08T00:00:00"/>
    <d v="2025-02-12T00:00:00"/>
    <s v="F"/>
    <x v="0"/>
    <x v="1"/>
    <x v="0"/>
    <x v="19"/>
    <x v="5"/>
    <x v="5"/>
    <x v="2"/>
  </r>
  <r>
    <s v="TX500980"/>
    <x v="7"/>
    <x v="3"/>
    <n v="47.1"/>
    <x v="847"/>
    <d v="2025-02-08T00:00:00"/>
    <d v="2025-02-13T00:00:00"/>
    <s v="F"/>
    <x v="0"/>
    <x v="0"/>
    <x v="0"/>
    <x v="13"/>
    <x v="0"/>
    <x v="5"/>
    <x v="2"/>
  </r>
  <r>
    <s v="TX500981"/>
    <x v="4"/>
    <x v="9"/>
    <n v="26.1"/>
    <x v="848"/>
    <d v="2025-02-08T00:00:00"/>
    <d v="2025-02-13T00:00:00"/>
    <s v="M"/>
    <x v="0"/>
    <x v="2"/>
    <x v="0"/>
    <x v="21"/>
    <x v="0"/>
    <x v="5"/>
    <x v="1"/>
  </r>
  <r>
    <s v="TX500982"/>
    <x v="12"/>
    <x v="9"/>
    <n v="66.8"/>
    <x v="849"/>
    <d v="2025-02-08T00:00:00"/>
    <d v="2025-02-11T00:00:00"/>
    <s v="F"/>
    <x v="0"/>
    <x v="0"/>
    <x v="0"/>
    <x v="21"/>
    <x v="2"/>
    <x v="5"/>
    <x v="2"/>
  </r>
  <r>
    <s v="TX500983"/>
    <x v="2"/>
    <x v="1"/>
    <n v="167.9"/>
    <x v="850"/>
    <d v="2025-02-08T00:00:00"/>
    <d v="2025-02-09T00:00:00"/>
    <s v="F"/>
    <x v="3"/>
    <x v="2"/>
    <x v="0"/>
    <x v="21"/>
    <x v="3"/>
    <x v="5"/>
    <x v="2"/>
  </r>
  <r>
    <s v="TX500984"/>
    <x v="10"/>
    <x v="11"/>
    <n v="34.6"/>
    <x v="851"/>
    <d v="2025-02-08T00:00:00"/>
    <d v="2025-02-09T00:00:00"/>
    <s v="F"/>
    <x v="2"/>
    <x v="1"/>
    <x v="0"/>
    <x v="21"/>
    <x v="3"/>
    <x v="5"/>
    <x v="2"/>
  </r>
  <r>
    <s v="TX500985"/>
    <x v="8"/>
    <x v="2"/>
    <n v="35.1"/>
    <x v="852"/>
    <d v="2025-02-09T00:00:00"/>
    <d v="2025-02-13T00:00:00"/>
    <s v="M"/>
    <x v="4"/>
    <x v="2"/>
    <x v="0"/>
    <x v="1"/>
    <x v="5"/>
    <x v="6"/>
    <x v="1"/>
  </r>
  <r>
    <s v="TX500986"/>
    <x v="6"/>
    <x v="12"/>
    <n v="104.5"/>
    <x v="378"/>
    <d v="2025-02-09T00:00:00"/>
    <d v="2025-02-10T00:00:00"/>
    <s v="M"/>
    <x v="1"/>
    <x v="1"/>
    <x v="0"/>
    <x v="1"/>
    <x v="3"/>
    <x v="6"/>
    <x v="1"/>
  </r>
  <r>
    <s v="TX500987"/>
    <x v="8"/>
    <x v="0"/>
    <n v="37.9"/>
    <x v="853"/>
    <d v="2025-02-09T00:00:00"/>
    <d v="2025-02-11T00:00:00"/>
    <s v=""/>
    <x v="1"/>
    <x v="2"/>
    <x v="0"/>
    <x v="2"/>
    <x v="1"/>
    <x v="6"/>
    <x v="0"/>
  </r>
  <r>
    <s v="TX500988"/>
    <x v="4"/>
    <x v="2"/>
    <n v="25.5"/>
    <x v="514"/>
    <d v="2025-02-09T00:00:00"/>
    <d v="2025-02-12T00:00:00"/>
    <s v="M"/>
    <x v="3"/>
    <x v="0"/>
    <x v="0"/>
    <x v="2"/>
    <x v="2"/>
    <x v="6"/>
    <x v="1"/>
  </r>
  <r>
    <s v="TX500989"/>
    <x v="0"/>
    <x v="2"/>
    <n v="32"/>
    <x v="854"/>
    <d v="2025-02-09T00:00:00"/>
    <d v="2025-02-13T00:00:00"/>
    <s v="F"/>
    <x v="1"/>
    <x v="0"/>
    <x v="0"/>
    <x v="22"/>
    <x v="5"/>
    <x v="6"/>
    <x v="2"/>
  </r>
  <r>
    <s v="TX500990"/>
    <x v="1"/>
    <x v="0"/>
    <n v="47.1"/>
    <x v="392"/>
    <d v="2025-02-09T00:00:00"/>
    <d v="2025-02-10T00:00:00"/>
    <s v="F"/>
    <x v="0"/>
    <x v="0"/>
    <x v="0"/>
    <x v="34"/>
    <x v="3"/>
    <x v="6"/>
    <x v="2"/>
  </r>
  <r>
    <s v="TX500991"/>
    <x v="6"/>
    <x v="1"/>
    <n v="50.6"/>
    <x v="855"/>
    <d v="2025-02-09T00:00:00"/>
    <d v="2025-02-15T00:00:00"/>
    <s v=""/>
    <x v="0"/>
    <x v="0"/>
    <x v="0"/>
    <x v="3"/>
    <x v="4"/>
    <x v="6"/>
    <x v="0"/>
  </r>
  <r>
    <s v="TX500992"/>
    <x v="6"/>
    <x v="9"/>
    <n v="81.7"/>
    <x v="856"/>
    <d v="2025-02-09T00:00:00"/>
    <d v="2025-02-10T00:00:00"/>
    <s v="F"/>
    <x v="1"/>
    <x v="2"/>
    <x v="0"/>
    <x v="3"/>
    <x v="3"/>
    <x v="6"/>
    <x v="2"/>
  </r>
  <r>
    <s v="TX500993"/>
    <x v="5"/>
    <x v="1"/>
    <n v="50.7"/>
    <x v="857"/>
    <d v="2025-02-09T00:00:00"/>
    <d v="2025-02-10T00:00:00"/>
    <s v="O"/>
    <x v="2"/>
    <x v="2"/>
    <x v="0"/>
    <x v="3"/>
    <x v="3"/>
    <x v="6"/>
    <x v="3"/>
  </r>
  <r>
    <s v="TX500994"/>
    <x v="2"/>
    <x v="10"/>
    <n v="67.3"/>
    <x v="858"/>
    <d v="2025-02-09T00:00:00"/>
    <d v="2025-02-13T00:00:00"/>
    <s v="F"/>
    <x v="2"/>
    <x v="0"/>
    <x v="0"/>
    <x v="3"/>
    <x v="5"/>
    <x v="6"/>
    <x v="2"/>
  </r>
  <r>
    <s v="TX500995"/>
    <x v="2"/>
    <x v="12"/>
    <n v="64.8"/>
    <x v="629"/>
    <d v="2025-02-09T00:00:00"/>
    <d v="2025-02-12T00:00:00"/>
    <s v="F"/>
    <x v="3"/>
    <x v="0"/>
    <x v="0"/>
    <x v="3"/>
    <x v="2"/>
    <x v="6"/>
    <x v="2"/>
  </r>
  <r>
    <s v="TX500996"/>
    <x v="5"/>
    <x v="32"/>
    <n v="61.3"/>
    <x v="859"/>
    <d v="2025-02-09T00:00:00"/>
    <d v="2025-02-10T00:00:00"/>
    <s v="F"/>
    <x v="0"/>
    <x v="2"/>
    <x v="0"/>
    <x v="3"/>
    <x v="3"/>
    <x v="6"/>
    <x v="2"/>
  </r>
  <r>
    <s v="TX500997"/>
    <x v="14"/>
    <x v="0"/>
    <n v="32.9"/>
    <x v="860"/>
    <d v="2025-02-09T00:00:00"/>
    <d v="2025-02-12T00:00:00"/>
    <s v="F"/>
    <x v="4"/>
    <x v="0"/>
    <x v="0"/>
    <x v="3"/>
    <x v="2"/>
    <x v="6"/>
    <x v="2"/>
  </r>
  <r>
    <s v="TX500998"/>
    <x v="6"/>
    <x v="1"/>
    <n v="100.8"/>
    <x v="861"/>
    <d v="2025-02-09T00:00:00"/>
    <d v="2025-02-12T00:00:00"/>
    <s v="F"/>
    <x v="0"/>
    <x v="0"/>
    <x v="0"/>
    <x v="3"/>
    <x v="2"/>
    <x v="6"/>
    <x v="2"/>
  </r>
  <r>
    <s v="TX500999"/>
    <x v="8"/>
    <x v="12"/>
    <n v="25.1"/>
    <x v="862"/>
    <d v="2025-02-09T00:00:00"/>
    <d v="2025-02-11T00:00:00"/>
    <s v="F"/>
    <x v="1"/>
    <x v="0"/>
    <x v="0"/>
    <x v="3"/>
    <x v="1"/>
    <x v="6"/>
    <x v="2"/>
  </r>
  <r>
    <s v="TX501000"/>
    <x v="17"/>
    <x v="0"/>
    <n v="48.5"/>
    <x v="319"/>
    <d v="2025-02-09T00:00:00"/>
    <d v="2025-02-10T00:00:00"/>
    <s v="F"/>
    <x v="0"/>
    <x v="1"/>
    <x v="0"/>
    <x v="3"/>
    <x v="3"/>
    <x v="6"/>
    <x v="2"/>
  </r>
  <r>
    <s v="TX501001"/>
    <x v="7"/>
    <x v="1"/>
    <n v="33.6"/>
    <x v="863"/>
    <d v="2025-02-09T00:00:00"/>
    <d v="2025-02-13T00:00:00"/>
    <s v="F"/>
    <x v="2"/>
    <x v="2"/>
    <x v="0"/>
    <x v="3"/>
    <x v="5"/>
    <x v="6"/>
    <x v="2"/>
  </r>
  <r>
    <s v="TX501002"/>
    <x v="8"/>
    <x v="0"/>
    <n v="39.299999999999997"/>
    <x v="864"/>
    <d v="2025-02-09T00:00:00"/>
    <d v="2025-02-20T00:00:00"/>
    <s v="F"/>
    <x v="1"/>
    <x v="1"/>
    <x v="0"/>
    <x v="49"/>
    <x v="11"/>
    <x v="6"/>
    <x v="2"/>
  </r>
  <r>
    <s v="TX501003"/>
    <x v="4"/>
    <x v="7"/>
    <n v="48.8"/>
    <x v="865"/>
    <d v="2025-02-09T00:00:00"/>
    <d v="2025-02-11T00:00:00"/>
    <s v="F"/>
    <x v="3"/>
    <x v="1"/>
    <x v="0"/>
    <x v="25"/>
    <x v="1"/>
    <x v="6"/>
    <x v="2"/>
  </r>
  <r>
    <s v="TX501004"/>
    <x v="6"/>
    <x v="8"/>
    <n v="72.8"/>
    <x v="866"/>
    <d v="2025-02-09T00:00:00"/>
    <d v="2025-02-11T00:00:00"/>
    <s v="M"/>
    <x v="1"/>
    <x v="2"/>
    <x v="0"/>
    <x v="5"/>
    <x v="1"/>
    <x v="6"/>
    <x v="1"/>
  </r>
  <r>
    <s v="TX501005"/>
    <x v="10"/>
    <x v="8"/>
    <n v="46.2"/>
    <x v="867"/>
    <d v="2025-02-09T00:00:00"/>
    <d v="2025-02-10T00:00:00"/>
    <s v="M"/>
    <x v="3"/>
    <x v="4"/>
    <x v="0"/>
    <x v="5"/>
    <x v="3"/>
    <x v="6"/>
    <x v="1"/>
  </r>
  <r>
    <s v="TX501006"/>
    <x v="4"/>
    <x v="1"/>
    <n v="20.7"/>
    <x v="50"/>
    <d v="2025-02-09T00:00:00"/>
    <d v="2025-02-10T00:00:00"/>
    <s v="F"/>
    <x v="2"/>
    <x v="3"/>
    <x v="0"/>
    <x v="6"/>
    <x v="3"/>
    <x v="6"/>
    <x v="2"/>
  </r>
  <r>
    <s v="TX501007"/>
    <x v="0"/>
    <x v="0"/>
    <n v="35.700000000000003"/>
    <x v="519"/>
    <d v="2025-02-09T00:00:00"/>
    <d v="2025-02-11T00:00:00"/>
    <s v="F"/>
    <x v="3"/>
    <x v="0"/>
    <x v="0"/>
    <x v="6"/>
    <x v="1"/>
    <x v="6"/>
    <x v="2"/>
  </r>
  <r>
    <s v="TX501008"/>
    <x v="2"/>
    <x v="27"/>
    <n v="166.2"/>
    <x v="868"/>
    <d v="2025-02-09T00:00:00"/>
    <d v="2025-02-11T00:00:00"/>
    <s v=""/>
    <x v="2"/>
    <x v="0"/>
    <x v="0"/>
    <x v="7"/>
    <x v="1"/>
    <x v="6"/>
    <x v="0"/>
  </r>
  <r>
    <s v="TX501009"/>
    <x v="6"/>
    <x v="12"/>
    <n v="85.8"/>
    <x v="869"/>
    <d v="2025-02-09T00:00:00"/>
    <d v="2025-02-10T00:00:00"/>
    <s v="F"/>
    <x v="1"/>
    <x v="1"/>
    <x v="0"/>
    <x v="7"/>
    <x v="3"/>
    <x v="6"/>
    <x v="2"/>
  </r>
  <r>
    <s v="TX501010"/>
    <x v="8"/>
    <x v="2"/>
    <n v="26"/>
    <x v="292"/>
    <d v="2025-02-09T00:00:00"/>
    <d v="2025-02-11T00:00:00"/>
    <s v="O"/>
    <x v="1"/>
    <x v="0"/>
    <x v="0"/>
    <x v="7"/>
    <x v="1"/>
    <x v="6"/>
    <x v="3"/>
  </r>
  <r>
    <s v="TX501011"/>
    <x v="2"/>
    <x v="15"/>
    <n v="116.6"/>
    <x v="870"/>
    <d v="2025-02-09T00:00:00"/>
    <d v="2025-02-12T00:00:00"/>
    <s v="F"/>
    <x v="0"/>
    <x v="0"/>
    <x v="0"/>
    <x v="8"/>
    <x v="2"/>
    <x v="6"/>
    <x v="2"/>
  </r>
  <r>
    <s v="TX501012"/>
    <x v="9"/>
    <x v="3"/>
    <n v="53.9"/>
    <x v="871"/>
    <d v="2025-02-09T00:00:00"/>
    <d v="2025-02-12T00:00:00"/>
    <s v="O"/>
    <x v="0"/>
    <x v="2"/>
    <x v="0"/>
    <x v="8"/>
    <x v="2"/>
    <x v="6"/>
    <x v="3"/>
  </r>
  <r>
    <s v="TX501013"/>
    <x v="12"/>
    <x v="9"/>
    <n v="72.3"/>
    <x v="785"/>
    <d v="2025-02-09T00:00:00"/>
    <d v="2025-02-11T00:00:00"/>
    <s v=""/>
    <x v="2"/>
    <x v="2"/>
    <x v="0"/>
    <x v="8"/>
    <x v="1"/>
    <x v="6"/>
    <x v="0"/>
  </r>
  <r>
    <s v="TX501014"/>
    <x v="5"/>
    <x v="1"/>
    <n v="31.4"/>
    <x v="143"/>
    <d v="2025-02-09T00:00:00"/>
    <d v="2025-02-11T00:00:00"/>
    <s v="F"/>
    <x v="0"/>
    <x v="0"/>
    <x v="0"/>
    <x v="8"/>
    <x v="1"/>
    <x v="6"/>
    <x v="2"/>
  </r>
  <r>
    <s v="TX501015"/>
    <x v="13"/>
    <x v="1"/>
    <n v="53.1"/>
    <x v="872"/>
    <d v="2025-02-09T00:00:00"/>
    <d v="2025-02-12T00:00:00"/>
    <s v="M"/>
    <x v="1"/>
    <x v="0"/>
    <x v="0"/>
    <x v="8"/>
    <x v="2"/>
    <x v="6"/>
    <x v="1"/>
  </r>
  <r>
    <s v="TX501016"/>
    <x v="2"/>
    <x v="12"/>
    <n v="56.2"/>
    <x v="873"/>
    <d v="2025-02-09T00:00:00"/>
    <d v="2025-02-10T00:00:00"/>
    <s v="F"/>
    <x v="0"/>
    <x v="0"/>
    <x v="0"/>
    <x v="8"/>
    <x v="3"/>
    <x v="6"/>
    <x v="2"/>
  </r>
  <r>
    <s v="TX501017"/>
    <x v="1"/>
    <x v="7"/>
    <n v="77.3"/>
    <x v="874"/>
    <d v="2025-02-09T00:00:00"/>
    <d v="2025-02-10T00:00:00"/>
    <s v="F"/>
    <x v="2"/>
    <x v="0"/>
    <x v="0"/>
    <x v="11"/>
    <x v="3"/>
    <x v="6"/>
    <x v="2"/>
  </r>
  <r>
    <s v="TX501018"/>
    <x v="6"/>
    <x v="15"/>
    <n v="57.8"/>
    <x v="875"/>
    <d v="2025-02-09T00:00:00"/>
    <d v="2025-02-10T00:00:00"/>
    <s v=""/>
    <x v="0"/>
    <x v="0"/>
    <x v="0"/>
    <x v="53"/>
    <x v="3"/>
    <x v="6"/>
    <x v="0"/>
  </r>
  <r>
    <s v="TX501019"/>
    <x v="12"/>
    <x v="20"/>
    <n v="42.1"/>
    <x v="876"/>
    <d v="2025-02-09T00:00:00"/>
    <d v="2025-02-11T00:00:00"/>
    <s v="F"/>
    <x v="1"/>
    <x v="1"/>
    <x v="0"/>
    <x v="53"/>
    <x v="1"/>
    <x v="6"/>
    <x v="2"/>
  </r>
  <r>
    <s v="TX501020"/>
    <x v="8"/>
    <x v="11"/>
    <n v="22.8"/>
    <x v="877"/>
    <d v="2025-02-09T00:00:00"/>
    <d v="2025-02-13T00:00:00"/>
    <s v="M"/>
    <x v="2"/>
    <x v="2"/>
    <x v="0"/>
    <x v="19"/>
    <x v="5"/>
    <x v="6"/>
    <x v="1"/>
  </r>
  <r>
    <s v="TX501021"/>
    <x v="2"/>
    <x v="2"/>
    <n v="171.1"/>
    <x v="878"/>
    <d v="2025-02-10T00:00:00"/>
    <d v="2025-02-17T00:00:00"/>
    <s v="F"/>
    <x v="2"/>
    <x v="1"/>
    <x v="0"/>
    <x v="19"/>
    <x v="6"/>
    <x v="6"/>
    <x v="2"/>
  </r>
  <r>
    <s v="TX501022"/>
    <x v="8"/>
    <x v="0"/>
    <n v="28"/>
    <x v="879"/>
    <d v="2025-02-10T00:00:00"/>
    <d v="2025-02-12T00:00:00"/>
    <s v="M"/>
    <x v="2"/>
    <x v="2"/>
    <x v="0"/>
    <x v="21"/>
    <x v="1"/>
    <x v="6"/>
    <x v="1"/>
  </r>
  <r>
    <s v="TX501023"/>
    <x v="6"/>
    <x v="3"/>
    <n v="50.2"/>
    <x v="880"/>
    <d v="2025-02-10T00:00:00"/>
    <d v="2025-02-12T00:00:00"/>
    <s v="M"/>
    <x v="2"/>
    <x v="0"/>
    <x v="0"/>
    <x v="21"/>
    <x v="1"/>
    <x v="6"/>
    <x v="1"/>
  </r>
  <r>
    <s v="TX501024"/>
    <x v="6"/>
    <x v="1"/>
    <n v="56"/>
    <x v="881"/>
    <d v="2025-02-10T00:00:00"/>
    <d v="2025-02-10T00:00:00"/>
    <s v="M"/>
    <x v="0"/>
    <x v="2"/>
    <x v="0"/>
    <x v="22"/>
    <x v="7"/>
    <x v="6"/>
    <x v="1"/>
  </r>
  <r>
    <s v="TX501025"/>
    <x v="1"/>
    <x v="1"/>
    <n v="38.299999999999997"/>
    <x v="882"/>
    <d v="2025-02-10T00:00:00"/>
    <d v="2025-02-11T00:00:00"/>
    <s v="F"/>
    <x v="1"/>
    <x v="0"/>
    <x v="0"/>
    <x v="3"/>
    <x v="3"/>
    <x v="6"/>
    <x v="2"/>
  </r>
  <r>
    <s v="TX501026"/>
    <x v="0"/>
    <x v="9"/>
    <n v="22.3"/>
    <x v="883"/>
    <d v="2025-02-10T00:00:00"/>
    <d v="2025-02-14T00:00:00"/>
    <s v="F"/>
    <x v="2"/>
    <x v="1"/>
    <x v="0"/>
    <x v="3"/>
    <x v="5"/>
    <x v="6"/>
    <x v="2"/>
  </r>
  <r>
    <s v="TX501027"/>
    <x v="0"/>
    <x v="2"/>
    <n v="22.3"/>
    <x v="884"/>
    <d v="2025-02-10T00:00:00"/>
    <d v="2025-02-13T00:00:00"/>
    <s v="F"/>
    <x v="2"/>
    <x v="0"/>
    <x v="0"/>
    <x v="3"/>
    <x v="2"/>
    <x v="6"/>
    <x v="2"/>
  </r>
  <r>
    <s v="TX501028"/>
    <x v="1"/>
    <x v="0"/>
    <n v="32.9"/>
    <x v="860"/>
    <d v="2025-02-10T00:00:00"/>
    <d v="2025-02-15T00:00:00"/>
    <s v="F"/>
    <x v="0"/>
    <x v="0"/>
    <x v="0"/>
    <x v="3"/>
    <x v="0"/>
    <x v="6"/>
    <x v="2"/>
  </r>
  <r>
    <s v="TX501029"/>
    <x v="10"/>
    <x v="2"/>
    <n v="31.9"/>
    <x v="802"/>
    <d v="2025-02-10T00:00:00"/>
    <d v="2025-02-15T00:00:00"/>
    <s v="F"/>
    <x v="0"/>
    <x v="0"/>
    <x v="0"/>
    <x v="3"/>
    <x v="0"/>
    <x v="6"/>
    <x v="2"/>
  </r>
  <r>
    <s v="TX501030"/>
    <x v="6"/>
    <x v="1"/>
    <n v="94"/>
    <x v="885"/>
    <d v="2025-02-10T00:00:00"/>
    <d v="2025-02-11T00:00:00"/>
    <s v="M"/>
    <x v="2"/>
    <x v="2"/>
    <x v="0"/>
    <x v="3"/>
    <x v="3"/>
    <x v="6"/>
    <x v="1"/>
  </r>
  <r>
    <s v="TX501031"/>
    <x v="10"/>
    <x v="1"/>
    <n v="30.7"/>
    <x v="886"/>
    <d v="2025-02-10T00:00:00"/>
    <d v="2025-02-11T00:00:00"/>
    <s v="F"/>
    <x v="0"/>
    <x v="1"/>
    <x v="0"/>
    <x v="3"/>
    <x v="3"/>
    <x v="6"/>
    <x v="2"/>
  </r>
  <r>
    <s v="TX501032"/>
    <x v="5"/>
    <x v="9"/>
    <n v="90.5"/>
    <x v="887"/>
    <d v="2025-02-10T00:00:00"/>
    <d v="2025-02-17T00:00:00"/>
    <s v="M"/>
    <x v="0"/>
    <x v="2"/>
    <x v="0"/>
    <x v="3"/>
    <x v="6"/>
    <x v="6"/>
    <x v="1"/>
  </r>
  <r>
    <s v="TX501033"/>
    <x v="8"/>
    <x v="9"/>
    <n v="25.3"/>
    <x v="888"/>
    <d v="2025-02-10T00:00:00"/>
    <d v="2025-02-14T00:00:00"/>
    <s v="F"/>
    <x v="0"/>
    <x v="2"/>
    <x v="0"/>
    <x v="3"/>
    <x v="5"/>
    <x v="6"/>
    <x v="2"/>
  </r>
  <r>
    <s v="TX501034"/>
    <x v="6"/>
    <x v="2"/>
    <n v="58.1"/>
    <x v="889"/>
    <d v="2025-02-10T00:00:00"/>
    <d v="2025-02-14T00:00:00"/>
    <s v=""/>
    <x v="0"/>
    <x v="2"/>
    <x v="0"/>
    <x v="3"/>
    <x v="5"/>
    <x v="6"/>
    <x v="0"/>
  </r>
  <r>
    <s v="TX501035"/>
    <x v="2"/>
    <x v="2"/>
    <n v="74.900000000000006"/>
    <x v="890"/>
    <d v="2025-02-10T00:00:00"/>
    <d v="2025-02-11T00:00:00"/>
    <s v="F"/>
    <x v="4"/>
    <x v="0"/>
    <x v="0"/>
    <x v="3"/>
    <x v="3"/>
    <x v="6"/>
    <x v="2"/>
  </r>
  <r>
    <s v="TX501036"/>
    <x v="4"/>
    <x v="1"/>
    <n v="32.5"/>
    <x v="891"/>
    <d v="2025-02-10T00:00:00"/>
    <d v="2025-02-11T00:00:00"/>
    <s v="M"/>
    <x v="2"/>
    <x v="2"/>
    <x v="0"/>
    <x v="43"/>
    <x v="3"/>
    <x v="6"/>
    <x v="1"/>
  </r>
  <r>
    <s v="TX501037"/>
    <x v="4"/>
    <x v="9"/>
    <n v="62"/>
    <x v="892"/>
    <d v="2025-02-10T00:00:00"/>
    <d v="2025-02-11T00:00:00"/>
    <s v="M"/>
    <x v="4"/>
    <x v="2"/>
    <x v="0"/>
    <x v="25"/>
    <x v="3"/>
    <x v="6"/>
    <x v="1"/>
  </r>
  <r>
    <s v="TX501038"/>
    <x v="13"/>
    <x v="13"/>
    <n v="28.9"/>
    <x v="893"/>
    <d v="2025-02-10T00:00:00"/>
    <d v="2025-02-13T00:00:00"/>
    <s v="F"/>
    <x v="0"/>
    <x v="1"/>
    <x v="0"/>
    <x v="6"/>
    <x v="2"/>
    <x v="6"/>
    <x v="2"/>
  </r>
  <r>
    <s v="TX501039"/>
    <x v="6"/>
    <x v="8"/>
    <n v="42.8"/>
    <x v="894"/>
    <d v="2025-02-10T00:00:00"/>
    <d v="2025-02-12T00:00:00"/>
    <s v="F"/>
    <x v="0"/>
    <x v="2"/>
    <x v="0"/>
    <x v="6"/>
    <x v="1"/>
    <x v="6"/>
    <x v="2"/>
  </r>
  <r>
    <s v="TX501040"/>
    <x v="8"/>
    <x v="8"/>
    <n v="39.4"/>
    <x v="895"/>
    <d v="2025-02-10T00:00:00"/>
    <d v="2025-02-12T00:00:00"/>
    <s v="M"/>
    <x v="0"/>
    <x v="0"/>
    <x v="0"/>
    <x v="36"/>
    <x v="1"/>
    <x v="6"/>
    <x v="1"/>
  </r>
  <r>
    <s v="TX501041"/>
    <x v="18"/>
    <x v="2"/>
    <n v="66.400000000000006"/>
    <x v="896"/>
    <d v="2025-02-10T00:00:00"/>
    <d v="2025-02-11T00:00:00"/>
    <s v=""/>
    <x v="2"/>
    <x v="1"/>
    <x v="0"/>
    <x v="7"/>
    <x v="3"/>
    <x v="6"/>
    <x v="0"/>
  </r>
  <r>
    <s v="TX501042"/>
    <x v="17"/>
    <x v="12"/>
    <n v="35.9"/>
    <x v="897"/>
    <d v="2025-02-10T00:00:00"/>
    <d v="2025-02-17T00:00:00"/>
    <s v="F"/>
    <x v="1"/>
    <x v="0"/>
    <x v="0"/>
    <x v="7"/>
    <x v="6"/>
    <x v="6"/>
    <x v="2"/>
  </r>
  <r>
    <s v="TX501043"/>
    <x v="0"/>
    <x v="12"/>
    <n v="26.9"/>
    <x v="799"/>
    <d v="2025-02-10T00:00:00"/>
    <d v="2025-02-11T00:00:00"/>
    <s v="M"/>
    <x v="1"/>
    <x v="0"/>
    <x v="0"/>
    <x v="7"/>
    <x v="3"/>
    <x v="6"/>
    <x v="1"/>
  </r>
  <r>
    <s v="TX501044"/>
    <x v="2"/>
    <x v="0"/>
    <n v="55.1"/>
    <x v="898"/>
    <d v="2025-02-10T00:00:00"/>
    <d v="2025-02-11T00:00:00"/>
    <s v="F"/>
    <x v="0"/>
    <x v="0"/>
    <x v="0"/>
    <x v="7"/>
    <x v="3"/>
    <x v="6"/>
    <x v="2"/>
  </r>
  <r>
    <s v="TX501045"/>
    <x v="4"/>
    <x v="1"/>
    <n v="23.9"/>
    <x v="538"/>
    <d v="2025-02-10T00:00:00"/>
    <d v="2025-02-11T00:00:00"/>
    <s v="M"/>
    <x v="0"/>
    <x v="2"/>
    <x v="0"/>
    <x v="8"/>
    <x v="3"/>
    <x v="6"/>
    <x v="1"/>
  </r>
  <r>
    <s v="TX501046"/>
    <x v="9"/>
    <x v="15"/>
    <n v="21.1"/>
    <x v="899"/>
    <d v="2025-02-10T00:00:00"/>
    <d v="2025-02-18T00:00:00"/>
    <s v="F"/>
    <x v="0"/>
    <x v="1"/>
    <x v="0"/>
    <x v="8"/>
    <x v="9"/>
    <x v="6"/>
    <x v="2"/>
  </r>
  <r>
    <s v="TX501047"/>
    <x v="8"/>
    <x v="9"/>
    <n v="33.799999999999997"/>
    <x v="900"/>
    <d v="2025-02-10T00:00:00"/>
    <d v="2025-02-12T00:00:00"/>
    <s v="F"/>
    <x v="0"/>
    <x v="0"/>
    <x v="0"/>
    <x v="8"/>
    <x v="1"/>
    <x v="6"/>
    <x v="2"/>
  </r>
  <r>
    <s v="TX501048"/>
    <x v="2"/>
    <x v="12"/>
    <n v="56.1"/>
    <x v="901"/>
    <d v="2025-02-10T00:00:00"/>
    <d v="2025-02-10T00:00:00"/>
    <s v="F"/>
    <x v="3"/>
    <x v="2"/>
    <x v="0"/>
    <x v="9"/>
    <x v="7"/>
    <x v="6"/>
    <x v="2"/>
  </r>
  <r>
    <s v="TX501049"/>
    <x v="3"/>
    <x v="0"/>
    <n v="58.5"/>
    <x v="902"/>
    <d v="2025-02-11T00:00:00"/>
    <d v="2025-02-15T00:00:00"/>
    <s v="F"/>
    <x v="1"/>
    <x v="2"/>
    <x v="0"/>
    <x v="9"/>
    <x v="5"/>
    <x v="6"/>
    <x v="2"/>
  </r>
  <r>
    <s v="TX501050"/>
    <x v="6"/>
    <x v="0"/>
    <n v="84.2"/>
    <x v="903"/>
    <d v="2025-02-11T00:00:00"/>
    <d v="2025-02-13T00:00:00"/>
    <s v="M"/>
    <x v="3"/>
    <x v="0"/>
    <x v="0"/>
    <x v="11"/>
    <x v="1"/>
    <x v="6"/>
    <x v="1"/>
  </r>
  <r>
    <s v="TX501051"/>
    <x v="11"/>
    <x v="12"/>
    <n v="52"/>
    <x v="904"/>
    <d v="2025-02-11T00:00:00"/>
    <d v="2025-02-14T00:00:00"/>
    <s v="M"/>
    <x v="0"/>
    <x v="0"/>
    <x v="0"/>
    <x v="11"/>
    <x v="2"/>
    <x v="6"/>
    <x v="1"/>
  </r>
  <r>
    <s v="TX501052"/>
    <x v="4"/>
    <x v="9"/>
    <n v="31.5"/>
    <x v="905"/>
    <d v="2025-02-11T00:00:00"/>
    <d v="2025-02-12T00:00:00"/>
    <s v="F"/>
    <x v="0"/>
    <x v="2"/>
    <x v="0"/>
    <x v="11"/>
    <x v="3"/>
    <x v="6"/>
    <x v="2"/>
  </r>
  <r>
    <s v="TX501053"/>
    <x v="16"/>
    <x v="2"/>
    <n v="46.2"/>
    <x v="209"/>
    <d v="2025-02-11T00:00:00"/>
    <d v="2025-02-12T00:00:00"/>
    <s v="M"/>
    <x v="0"/>
    <x v="0"/>
    <x v="0"/>
    <x v="53"/>
    <x v="3"/>
    <x v="6"/>
    <x v="1"/>
  </r>
  <r>
    <s v="TX501054"/>
    <x v="2"/>
    <x v="13"/>
    <n v="135"/>
    <x v="906"/>
    <d v="2025-02-11T00:00:00"/>
    <d v="2025-02-12T00:00:00"/>
    <s v="F"/>
    <x v="1"/>
    <x v="2"/>
    <x v="0"/>
    <x v="18"/>
    <x v="3"/>
    <x v="6"/>
    <x v="2"/>
  </r>
  <r>
    <s v="TX501055"/>
    <x v="12"/>
    <x v="2"/>
    <n v="92.2"/>
    <x v="907"/>
    <d v="2025-02-11T00:00:00"/>
    <d v="2025-02-15T00:00:00"/>
    <s v="M"/>
    <x v="0"/>
    <x v="0"/>
    <x v="0"/>
    <x v="21"/>
    <x v="5"/>
    <x v="6"/>
    <x v="1"/>
  </r>
  <r>
    <s v="TX501056"/>
    <x v="8"/>
    <x v="0"/>
    <n v="36.6"/>
    <x v="547"/>
    <d v="2025-02-11T00:00:00"/>
    <d v="2025-02-13T00:00:00"/>
    <s v="M"/>
    <x v="2"/>
    <x v="2"/>
    <x v="0"/>
    <x v="21"/>
    <x v="1"/>
    <x v="6"/>
    <x v="1"/>
  </r>
  <r>
    <s v="TX501057"/>
    <x v="9"/>
    <x v="1"/>
    <n v="50.6"/>
    <x v="855"/>
    <d v="2025-02-11T00:00:00"/>
    <d v="2025-02-14T00:00:00"/>
    <s v="F"/>
    <x v="0"/>
    <x v="0"/>
    <x v="0"/>
    <x v="2"/>
    <x v="2"/>
    <x v="6"/>
    <x v="2"/>
  </r>
  <r>
    <s v="TX501058"/>
    <x v="18"/>
    <x v="3"/>
    <n v="56.7"/>
    <x v="908"/>
    <d v="2025-02-11T00:00:00"/>
    <d v="2025-02-14T00:00:00"/>
    <s v="F"/>
    <x v="0"/>
    <x v="0"/>
    <x v="0"/>
    <x v="2"/>
    <x v="2"/>
    <x v="6"/>
    <x v="2"/>
  </r>
  <r>
    <s v="TX501059"/>
    <x v="9"/>
    <x v="15"/>
    <n v="22.9"/>
    <x v="909"/>
    <d v="2025-02-11T00:00:00"/>
    <d v="2025-02-12T00:00:00"/>
    <s v="F"/>
    <x v="0"/>
    <x v="1"/>
    <x v="0"/>
    <x v="44"/>
    <x v="3"/>
    <x v="6"/>
    <x v="2"/>
  </r>
  <r>
    <s v="TX501060"/>
    <x v="15"/>
    <x v="10"/>
    <n v="53.6"/>
    <x v="910"/>
    <d v="2025-02-11T00:00:00"/>
    <d v="2025-02-12T00:00:00"/>
    <s v="M"/>
    <x v="0"/>
    <x v="0"/>
    <x v="0"/>
    <x v="22"/>
    <x v="3"/>
    <x v="6"/>
    <x v="1"/>
  </r>
  <r>
    <s v="TX501061"/>
    <x v="18"/>
    <x v="1"/>
    <n v="30.2"/>
    <x v="266"/>
    <d v="2025-02-11T00:00:00"/>
    <d v="2025-02-13T00:00:00"/>
    <s v=""/>
    <x v="2"/>
    <x v="2"/>
    <x v="0"/>
    <x v="3"/>
    <x v="1"/>
    <x v="6"/>
    <x v="0"/>
  </r>
  <r>
    <s v="TX501062"/>
    <x v="15"/>
    <x v="13"/>
    <n v="83.4"/>
    <x v="911"/>
    <d v="2025-02-11T00:00:00"/>
    <d v="2025-02-12T00:00:00"/>
    <s v="M"/>
    <x v="1"/>
    <x v="2"/>
    <x v="0"/>
    <x v="3"/>
    <x v="3"/>
    <x v="6"/>
    <x v="1"/>
  </r>
  <r>
    <s v="TX501063"/>
    <x v="13"/>
    <x v="4"/>
    <n v="16.600000000000001"/>
    <x v="896"/>
    <d v="2025-02-11T00:00:00"/>
    <d v="2025-02-13T00:00:00"/>
    <s v="M"/>
    <x v="1"/>
    <x v="0"/>
    <x v="0"/>
    <x v="3"/>
    <x v="1"/>
    <x v="6"/>
    <x v="1"/>
  </r>
  <r>
    <s v="TX501064"/>
    <x v="8"/>
    <x v="14"/>
    <n v="21.9"/>
    <x v="912"/>
    <d v="2025-02-11T00:00:00"/>
    <d v="2025-02-13T00:00:00"/>
    <s v="F"/>
    <x v="4"/>
    <x v="1"/>
    <x v="0"/>
    <x v="3"/>
    <x v="1"/>
    <x v="6"/>
    <x v="2"/>
  </r>
  <r>
    <s v="TX501065"/>
    <x v="8"/>
    <x v="31"/>
    <n v="33.799999999999997"/>
    <x v="913"/>
    <d v="2025-02-11T00:00:00"/>
    <d v="2025-02-13T00:00:00"/>
    <s v="M"/>
    <x v="2"/>
    <x v="4"/>
    <x v="0"/>
    <x v="3"/>
    <x v="1"/>
    <x v="6"/>
    <x v="1"/>
  </r>
  <r>
    <s v="TX501066"/>
    <x v="18"/>
    <x v="1"/>
    <n v="53.2"/>
    <x v="793"/>
    <d v="2025-02-11T00:00:00"/>
    <d v="2025-02-11T00:00:00"/>
    <s v="M"/>
    <x v="1"/>
    <x v="0"/>
    <x v="0"/>
    <x v="3"/>
    <x v="7"/>
    <x v="6"/>
    <x v="1"/>
  </r>
  <r>
    <s v="TX501067"/>
    <x v="2"/>
    <x v="1"/>
    <n v="176.7"/>
    <x v="914"/>
    <d v="2025-02-11T00:00:00"/>
    <d v="2025-02-14T00:00:00"/>
    <s v="F"/>
    <x v="2"/>
    <x v="0"/>
    <x v="0"/>
    <x v="3"/>
    <x v="2"/>
    <x v="6"/>
    <x v="2"/>
  </r>
  <r>
    <s v="TX501068"/>
    <x v="12"/>
    <x v="2"/>
    <n v="54"/>
    <x v="915"/>
    <d v="2025-02-11T00:00:00"/>
    <d v="2025-02-14T00:00:00"/>
    <s v="M"/>
    <x v="0"/>
    <x v="1"/>
    <x v="0"/>
    <x v="3"/>
    <x v="2"/>
    <x v="6"/>
    <x v="1"/>
  </r>
  <r>
    <s v="TX501069"/>
    <x v="9"/>
    <x v="1"/>
    <n v="70.099999999999994"/>
    <x v="634"/>
    <d v="2025-02-11T00:00:00"/>
    <d v="2025-02-19T00:00:00"/>
    <s v="F"/>
    <x v="3"/>
    <x v="2"/>
    <x v="0"/>
    <x v="3"/>
    <x v="9"/>
    <x v="6"/>
    <x v="2"/>
  </r>
  <r>
    <s v="TX501070"/>
    <x v="8"/>
    <x v="0"/>
    <n v="26.5"/>
    <x v="38"/>
    <d v="2025-02-11T00:00:00"/>
    <d v="2025-02-13T00:00:00"/>
    <s v="F"/>
    <x v="1"/>
    <x v="0"/>
    <x v="0"/>
    <x v="3"/>
    <x v="1"/>
    <x v="6"/>
    <x v="2"/>
  </r>
  <r>
    <s v="TX501071"/>
    <x v="7"/>
    <x v="9"/>
    <n v="89"/>
    <x v="916"/>
    <d v="2025-02-11T00:00:00"/>
    <d v="2025-02-13T00:00:00"/>
    <s v="M"/>
    <x v="2"/>
    <x v="4"/>
    <x v="0"/>
    <x v="3"/>
    <x v="1"/>
    <x v="6"/>
    <x v="1"/>
  </r>
  <r>
    <s v="TX501072"/>
    <x v="1"/>
    <x v="13"/>
    <n v="47"/>
    <x v="917"/>
    <d v="2025-02-11T00:00:00"/>
    <d v="2025-02-14T00:00:00"/>
    <s v="F"/>
    <x v="3"/>
    <x v="0"/>
    <x v="0"/>
    <x v="24"/>
    <x v="2"/>
    <x v="6"/>
    <x v="2"/>
  </r>
  <r>
    <s v="TX501073"/>
    <x v="3"/>
    <x v="1"/>
    <n v="55.2"/>
    <x v="918"/>
    <d v="2025-02-11T00:00:00"/>
    <d v="2025-02-14T00:00:00"/>
    <s v="M"/>
    <x v="1"/>
    <x v="1"/>
    <x v="0"/>
    <x v="6"/>
    <x v="2"/>
    <x v="6"/>
    <x v="1"/>
  </r>
  <r>
    <s v="TX501074"/>
    <x v="8"/>
    <x v="39"/>
    <n v="33.299999999999997"/>
    <x v="919"/>
    <d v="2025-02-11T00:00:00"/>
    <d v="2025-02-25T00:00:00"/>
    <s v="M"/>
    <x v="1"/>
    <x v="2"/>
    <x v="0"/>
    <x v="6"/>
    <x v="12"/>
    <x v="6"/>
    <x v="1"/>
  </r>
  <r>
    <s v="TX501075"/>
    <x v="2"/>
    <x v="12"/>
    <n v="110.9"/>
    <x v="920"/>
    <d v="2025-02-12T00:00:00"/>
    <d v="2025-02-12T00:00:00"/>
    <s v="M"/>
    <x v="2"/>
    <x v="4"/>
    <x v="0"/>
    <x v="6"/>
    <x v="7"/>
    <x v="6"/>
    <x v="1"/>
  </r>
  <r>
    <s v="TX501076"/>
    <x v="2"/>
    <x v="13"/>
    <n v="67.3"/>
    <x v="921"/>
    <d v="2025-02-12T00:00:00"/>
    <d v="2025-02-13T00:00:00"/>
    <s v="M"/>
    <x v="0"/>
    <x v="0"/>
    <x v="0"/>
    <x v="8"/>
    <x v="3"/>
    <x v="6"/>
    <x v="1"/>
  </r>
  <r>
    <s v="TX501077"/>
    <x v="6"/>
    <x v="2"/>
    <n v="69.7"/>
    <x v="922"/>
    <d v="2025-02-12T00:00:00"/>
    <d v="2025-02-13T00:00:00"/>
    <s v="M"/>
    <x v="2"/>
    <x v="1"/>
    <x v="0"/>
    <x v="8"/>
    <x v="3"/>
    <x v="6"/>
    <x v="1"/>
  </r>
  <r>
    <s v="TX501078"/>
    <x v="5"/>
    <x v="0"/>
    <n v="39.1"/>
    <x v="923"/>
    <d v="2025-02-12T00:00:00"/>
    <d v="2025-02-17T00:00:00"/>
    <s v="M"/>
    <x v="0"/>
    <x v="1"/>
    <x v="0"/>
    <x v="17"/>
    <x v="0"/>
    <x v="6"/>
    <x v="1"/>
  </r>
  <r>
    <s v="TX501079"/>
    <x v="2"/>
    <x v="2"/>
    <n v="208.6"/>
    <x v="924"/>
    <d v="2025-02-12T00:00:00"/>
    <d v="2025-02-12T00:00:00"/>
    <s v="M"/>
    <x v="4"/>
    <x v="2"/>
    <x v="0"/>
    <x v="17"/>
    <x v="7"/>
    <x v="6"/>
    <x v="1"/>
  </r>
  <r>
    <s v="TX501080"/>
    <x v="15"/>
    <x v="2"/>
    <n v="27.8"/>
    <x v="925"/>
    <d v="2025-02-12T00:00:00"/>
    <d v="2025-02-13T00:00:00"/>
    <s v="M"/>
    <x v="3"/>
    <x v="1"/>
    <x v="0"/>
    <x v="11"/>
    <x v="3"/>
    <x v="6"/>
    <x v="1"/>
  </r>
  <r>
    <s v="TX501081"/>
    <x v="10"/>
    <x v="9"/>
    <n v="29.4"/>
    <x v="926"/>
    <d v="2025-02-12T00:00:00"/>
    <d v="2025-02-14T00:00:00"/>
    <s v="F"/>
    <x v="0"/>
    <x v="0"/>
    <x v="0"/>
    <x v="11"/>
    <x v="1"/>
    <x v="6"/>
    <x v="2"/>
  </r>
  <r>
    <s v="TX501082"/>
    <x v="9"/>
    <x v="1"/>
    <n v="29.2"/>
    <x v="305"/>
    <d v="2025-02-12T00:00:00"/>
    <d v="2025-02-14T00:00:00"/>
    <s v="F"/>
    <x v="1"/>
    <x v="2"/>
    <x v="0"/>
    <x v="20"/>
    <x v="1"/>
    <x v="6"/>
    <x v="2"/>
  </r>
  <r>
    <s v="TX501083"/>
    <x v="10"/>
    <x v="9"/>
    <n v="26.5"/>
    <x v="927"/>
    <d v="2025-02-12T00:00:00"/>
    <d v="2025-02-14T00:00:00"/>
    <s v="F"/>
    <x v="0"/>
    <x v="0"/>
    <x v="0"/>
    <x v="52"/>
    <x v="1"/>
    <x v="6"/>
    <x v="2"/>
  </r>
  <r>
    <s v="TX501084"/>
    <x v="5"/>
    <x v="0"/>
    <n v="30.3"/>
    <x v="928"/>
    <d v="2025-02-12T00:00:00"/>
    <d v="2025-02-13T00:00:00"/>
    <s v="F"/>
    <x v="4"/>
    <x v="1"/>
    <x v="0"/>
    <x v="13"/>
    <x v="3"/>
    <x v="6"/>
    <x v="2"/>
  </r>
  <r>
    <s v="TX501085"/>
    <x v="16"/>
    <x v="4"/>
    <n v="39.700000000000003"/>
    <x v="929"/>
    <d v="2025-02-12T00:00:00"/>
    <d v="2025-02-13T00:00:00"/>
    <s v="F"/>
    <x v="0"/>
    <x v="0"/>
    <x v="0"/>
    <x v="21"/>
    <x v="3"/>
    <x v="6"/>
    <x v="2"/>
  </r>
  <r>
    <s v="TX501086"/>
    <x v="7"/>
    <x v="7"/>
    <n v="58.9"/>
    <x v="930"/>
    <d v="2025-02-12T00:00:00"/>
    <d v="2025-02-14T00:00:00"/>
    <s v="F"/>
    <x v="1"/>
    <x v="4"/>
    <x v="0"/>
    <x v="21"/>
    <x v="1"/>
    <x v="6"/>
    <x v="2"/>
  </r>
  <r>
    <s v="TX501087"/>
    <x v="2"/>
    <x v="1"/>
    <n v="174.1"/>
    <x v="931"/>
    <d v="2025-02-12T00:00:00"/>
    <d v="2025-02-14T00:00:00"/>
    <s v="F"/>
    <x v="0"/>
    <x v="1"/>
    <x v="0"/>
    <x v="46"/>
    <x v="1"/>
    <x v="6"/>
    <x v="2"/>
  </r>
  <r>
    <s v="TX501088"/>
    <x v="6"/>
    <x v="1"/>
    <n v="70.8"/>
    <x v="932"/>
    <d v="2025-02-12T00:00:00"/>
    <d v="2025-02-15T00:00:00"/>
    <s v="M"/>
    <x v="2"/>
    <x v="0"/>
    <x v="0"/>
    <x v="22"/>
    <x v="2"/>
    <x v="6"/>
    <x v="1"/>
  </r>
  <r>
    <s v="TX501089"/>
    <x v="7"/>
    <x v="1"/>
    <n v="57.4"/>
    <x v="311"/>
    <d v="2025-02-12T00:00:00"/>
    <d v="2025-02-14T00:00:00"/>
    <s v="F"/>
    <x v="1"/>
    <x v="1"/>
    <x v="0"/>
    <x v="34"/>
    <x v="1"/>
    <x v="6"/>
    <x v="2"/>
  </r>
  <r>
    <s v="TX501090"/>
    <x v="0"/>
    <x v="1"/>
    <n v="28.5"/>
    <x v="933"/>
    <d v="2025-02-12T00:00:00"/>
    <d v="2025-02-14T00:00:00"/>
    <s v="M"/>
    <x v="3"/>
    <x v="1"/>
    <x v="0"/>
    <x v="3"/>
    <x v="1"/>
    <x v="6"/>
    <x v="1"/>
  </r>
  <r>
    <s v="TX501091"/>
    <x v="2"/>
    <x v="28"/>
    <n v="106.6"/>
    <x v="934"/>
    <d v="2025-02-12T00:00:00"/>
    <d v="2025-02-13T00:00:00"/>
    <s v=""/>
    <x v="1"/>
    <x v="4"/>
    <x v="0"/>
    <x v="3"/>
    <x v="3"/>
    <x v="6"/>
    <x v="0"/>
  </r>
  <r>
    <s v="TX501092"/>
    <x v="2"/>
    <x v="2"/>
    <n v="119.7"/>
    <x v="935"/>
    <d v="2025-02-12T00:00:00"/>
    <d v="2025-02-13T00:00:00"/>
    <s v="F"/>
    <x v="1"/>
    <x v="4"/>
    <x v="0"/>
    <x v="3"/>
    <x v="3"/>
    <x v="6"/>
    <x v="2"/>
  </r>
  <r>
    <s v="TX501093"/>
    <x v="18"/>
    <x v="0"/>
    <n v="73.3"/>
    <x v="936"/>
    <d v="2025-02-12T00:00:00"/>
    <d v="2025-02-17T00:00:00"/>
    <s v="F"/>
    <x v="0"/>
    <x v="2"/>
    <x v="0"/>
    <x v="3"/>
    <x v="0"/>
    <x v="6"/>
    <x v="2"/>
  </r>
  <r>
    <s v="TX501094"/>
    <x v="0"/>
    <x v="1"/>
    <n v="25.8"/>
    <x v="937"/>
    <d v="2025-02-12T00:00:00"/>
    <d v="2025-02-26T00:00:00"/>
    <s v="M"/>
    <x v="2"/>
    <x v="0"/>
    <x v="0"/>
    <x v="3"/>
    <x v="12"/>
    <x v="6"/>
    <x v="1"/>
  </r>
  <r>
    <s v="TX501095"/>
    <x v="17"/>
    <x v="2"/>
    <n v="49.1"/>
    <x v="824"/>
    <d v="2025-02-12T00:00:00"/>
    <d v="2025-02-14T00:00:00"/>
    <s v="F"/>
    <x v="0"/>
    <x v="0"/>
    <x v="0"/>
    <x v="24"/>
    <x v="1"/>
    <x v="6"/>
    <x v="2"/>
  </r>
  <r>
    <s v="TX501096"/>
    <x v="1"/>
    <x v="0"/>
    <n v="44.9"/>
    <x v="938"/>
    <d v="2025-02-12T00:00:00"/>
    <d v="2025-02-15T00:00:00"/>
    <s v="F"/>
    <x v="3"/>
    <x v="2"/>
    <x v="0"/>
    <x v="6"/>
    <x v="2"/>
    <x v="6"/>
    <x v="2"/>
  </r>
  <r>
    <s v="TX501097"/>
    <x v="15"/>
    <x v="3"/>
    <n v="29.9"/>
    <x v="549"/>
    <d v="2025-02-12T00:00:00"/>
    <d v="2025-02-13T00:00:00"/>
    <s v="F"/>
    <x v="0"/>
    <x v="0"/>
    <x v="0"/>
    <x v="6"/>
    <x v="3"/>
    <x v="6"/>
    <x v="2"/>
  </r>
  <r>
    <s v="TX501098"/>
    <x v="7"/>
    <x v="1"/>
    <n v="54.3"/>
    <x v="939"/>
    <d v="2025-02-13T00:00:00"/>
    <d v="2025-02-14T00:00:00"/>
    <s v="M"/>
    <x v="3"/>
    <x v="0"/>
    <x v="0"/>
    <x v="36"/>
    <x v="3"/>
    <x v="6"/>
    <x v="1"/>
  </r>
  <r>
    <s v="TX501099"/>
    <x v="9"/>
    <x v="12"/>
    <n v="57"/>
    <x v="416"/>
    <d v="2025-02-13T00:00:00"/>
    <d v="2025-02-15T00:00:00"/>
    <s v="F"/>
    <x v="0"/>
    <x v="0"/>
    <x v="0"/>
    <x v="8"/>
    <x v="1"/>
    <x v="6"/>
    <x v="2"/>
  </r>
  <r>
    <s v="TX501100"/>
    <x v="2"/>
    <x v="0"/>
    <n v="139.19999999999999"/>
    <x v="388"/>
    <d v="2025-02-13T00:00:00"/>
    <d v="2025-02-14T00:00:00"/>
    <s v="F"/>
    <x v="3"/>
    <x v="2"/>
    <x v="0"/>
    <x v="8"/>
    <x v="3"/>
    <x v="6"/>
    <x v="2"/>
  </r>
  <r>
    <s v="TX501101"/>
    <x v="10"/>
    <x v="0"/>
    <n v="33"/>
    <x v="940"/>
    <d v="2025-02-13T00:00:00"/>
    <d v="2025-02-16T00:00:00"/>
    <s v="F"/>
    <x v="0"/>
    <x v="2"/>
    <x v="0"/>
    <x v="8"/>
    <x v="2"/>
    <x v="6"/>
    <x v="2"/>
  </r>
  <r>
    <s v="TX501102"/>
    <x v="11"/>
    <x v="13"/>
    <n v="80.2"/>
    <x v="941"/>
    <d v="2025-02-13T00:00:00"/>
    <d v="2025-02-15T00:00:00"/>
    <s v="M"/>
    <x v="1"/>
    <x v="4"/>
    <x v="0"/>
    <x v="8"/>
    <x v="1"/>
    <x v="6"/>
    <x v="1"/>
  </r>
  <r>
    <s v="TX501103"/>
    <x v="18"/>
    <x v="8"/>
    <n v="49"/>
    <x v="942"/>
    <d v="2025-02-13T00:00:00"/>
    <d v="2025-02-14T00:00:00"/>
    <s v=""/>
    <x v="2"/>
    <x v="1"/>
    <x v="0"/>
    <x v="9"/>
    <x v="3"/>
    <x v="6"/>
    <x v="0"/>
  </r>
  <r>
    <s v="TX501104"/>
    <x v="1"/>
    <x v="12"/>
    <n v="104.4"/>
    <x v="943"/>
    <d v="2025-02-13T00:00:00"/>
    <d v="2025-02-13T00:00:00"/>
    <s v="F"/>
    <x v="0"/>
    <x v="0"/>
    <x v="0"/>
    <x v="9"/>
    <x v="7"/>
    <x v="6"/>
    <x v="2"/>
  </r>
  <r>
    <s v="TX501105"/>
    <x v="3"/>
    <x v="0"/>
    <n v="41.6"/>
    <x v="480"/>
    <d v="2025-02-13T00:00:00"/>
    <d v="2025-02-16T00:00:00"/>
    <s v="M"/>
    <x v="3"/>
    <x v="0"/>
    <x v="0"/>
    <x v="11"/>
    <x v="2"/>
    <x v="6"/>
    <x v="1"/>
  </r>
  <r>
    <s v="TX501106"/>
    <x v="19"/>
    <x v="1"/>
    <n v="16.399999999999999"/>
    <x v="944"/>
    <d v="2025-02-13T00:00:00"/>
    <d v="2025-02-14T00:00:00"/>
    <s v="O"/>
    <x v="0"/>
    <x v="2"/>
    <x v="0"/>
    <x v="11"/>
    <x v="3"/>
    <x v="6"/>
    <x v="3"/>
  </r>
  <r>
    <s v="TX501107"/>
    <x v="8"/>
    <x v="1"/>
    <n v="22"/>
    <x v="945"/>
    <d v="2025-02-13T00:00:00"/>
    <d v="2025-02-14T00:00:00"/>
    <s v="M"/>
    <x v="2"/>
    <x v="2"/>
    <x v="0"/>
    <x v="53"/>
    <x v="3"/>
    <x v="6"/>
    <x v="1"/>
  </r>
  <r>
    <s v="TX501108"/>
    <x v="15"/>
    <x v="1"/>
    <n v="33.6"/>
    <x v="863"/>
    <d v="2025-02-13T00:00:00"/>
    <d v="2025-02-18T00:00:00"/>
    <s v="F"/>
    <x v="0"/>
    <x v="0"/>
    <x v="0"/>
    <x v="21"/>
    <x v="0"/>
    <x v="6"/>
    <x v="2"/>
  </r>
  <r>
    <s v="TX501109"/>
    <x v="11"/>
    <x v="13"/>
    <n v="43"/>
    <x v="946"/>
    <d v="2025-02-13T00:00:00"/>
    <d v="2025-02-14T00:00:00"/>
    <s v="F"/>
    <x v="2"/>
    <x v="0"/>
    <x v="0"/>
    <x v="21"/>
    <x v="3"/>
    <x v="6"/>
    <x v="2"/>
  </r>
  <r>
    <s v="TX501110"/>
    <x v="6"/>
    <x v="9"/>
    <n v="108.8"/>
    <x v="947"/>
    <d v="2025-02-13T00:00:00"/>
    <d v="2025-02-16T00:00:00"/>
    <s v="F"/>
    <x v="4"/>
    <x v="2"/>
    <x v="0"/>
    <x v="21"/>
    <x v="2"/>
    <x v="6"/>
    <x v="2"/>
  </r>
  <r>
    <s v="TX501111"/>
    <x v="0"/>
    <x v="11"/>
    <n v="29.3"/>
    <x v="948"/>
    <d v="2025-02-13T00:00:00"/>
    <d v="2025-02-15T00:00:00"/>
    <s v="M"/>
    <x v="4"/>
    <x v="2"/>
    <x v="0"/>
    <x v="21"/>
    <x v="1"/>
    <x v="6"/>
    <x v="1"/>
  </r>
  <r>
    <s v="TX501112"/>
    <x v="2"/>
    <x v="0"/>
    <n v="122.7"/>
    <x v="949"/>
    <d v="2025-02-13T00:00:00"/>
    <d v="2025-02-16T00:00:00"/>
    <s v="O"/>
    <x v="0"/>
    <x v="2"/>
    <x v="0"/>
    <x v="1"/>
    <x v="2"/>
    <x v="6"/>
    <x v="3"/>
  </r>
  <r>
    <s v="TX501113"/>
    <x v="4"/>
    <x v="3"/>
    <n v="22.9"/>
    <x v="950"/>
    <d v="2025-02-13T00:00:00"/>
    <d v="2025-02-14T00:00:00"/>
    <s v="F"/>
    <x v="0"/>
    <x v="0"/>
    <x v="0"/>
    <x v="42"/>
    <x v="3"/>
    <x v="6"/>
    <x v="2"/>
  </r>
  <r>
    <s v="TX501114"/>
    <x v="8"/>
    <x v="7"/>
    <n v="25.5"/>
    <x v="951"/>
    <d v="2025-02-13T00:00:00"/>
    <d v="2025-02-20T00:00:00"/>
    <s v="F"/>
    <x v="0"/>
    <x v="0"/>
    <x v="0"/>
    <x v="33"/>
    <x v="6"/>
    <x v="6"/>
    <x v="2"/>
  </r>
  <r>
    <s v="TX501115"/>
    <x v="17"/>
    <x v="2"/>
    <n v="23.4"/>
    <x v="952"/>
    <d v="2025-02-13T00:00:00"/>
    <d v="2025-02-17T00:00:00"/>
    <s v="F"/>
    <x v="0"/>
    <x v="2"/>
    <x v="0"/>
    <x v="3"/>
    <x v="5"/>
    <x v="6"/>
    <x v="2"/>
  </r>
  <r>
    <s v="TX501116"/>
    <x v="5"/>
    <x v="8"/>
    <n v="27.4"/>
    <x v="77"/>
    <d v="2025-02-13T00:00:00"/>
    <d v="2025-02-16T00:00:00"/>
    <s v="F"/>
    <x v="2"/>
    <x v="0"/>
    <x v="0"/>
    <x v="3"/>
    <x v="2"/>
    <x v="6"/>
    <x v="2"/>
  </r>
  <r>
    <s v="TX501117"/>
    <x v="5"/>
    <x v="9"/>
    <n v="68.400000000000006"/>
    <x v="953"/>
    <d v="2025-02-13T00:00:00"/>
    <d v="2025-02-14T00:00:00"/>
    <s v="F"/>
    <x v="0"/>
    <x v="0"/>
    <x v="0"/>
    <x v="3"/>
    <x v="3"/>
    <x v="6"/>
    <x v="2"/>
  </r>
  <r>
    <s v="TX501118"/>
    <x v="6"/>
    <x v="0"/>
    <n v="51.9"/>
    <x v="954"/>
    <d v="2025-02-13T00:00:00"/>
    <d v="2025-02-13T00:00:00"/>
    <s v="F"/>
    <x v="0"/>
    <x v="0"/>
    <x v="0"/>
    <x v="3"/>
    <x v="7"/>
    <x v="6"/>
    <x v="2"/>
  </r>
  <r>
    <s v="TX501119"/>
    <x v="0"/>
    <x v="9"/>
    <n v="26.4"/>
    <x v="955"/>
    <d v="2025-02-13T00:00:00"/>
    <d v="2025-02-16T00:00:00"/>
    <s v="F"/>
    <x v="0"/>
    <x v="2"/>
    <x v="0"/>
    <x v="3"/>
    <x v="2"/>
    <x v="6"/>
    <x v="2"/>
  </r>
  <r>
    <s v="TX501120"/>
    <x v="12"/>
    <x v="1"/>
    <n v="117"/>
    <x v="540"/>
    <d v="2025-02-13T00:00:00"/>
    <d v="2025-02-14T00:00:00"/>
    <s v="F"/>
    <x v="1"/>
    <x v="1"/>
    <x v="0"/>
    <x v="3"/>
    <x v="3"/>
    <x v="6"/>
    <x v="2"/>
  </r>
  <r>
    <s v="TX501121"/>
    <x v="7"/>
    <x v="2"/>
    <n v="49.6"/>
    <x v="956"/>
    <d v="2025-02-14T00:00:00"/>
    <d v="2025-02-16T00:00:00"/>
    <s v="F"/>
    <x v="0"/>
    <x v="0"/>
    <x v="0"/>
    <x v="3"/>
    <x v="1"/>
    <x v="6"/>
    <x v="2"/>
  </r>
  <r>
    <s v="TX501122"/>
    <x v="4"/>
    <x v="2"/>
    <n v="38"/>
    <x v="717"/>
    <d v="2025-02-14T00:00:00"/>
    <d v="2025-02-17T00:00:00"/>
    <s v="M"/>
    <x v="2"/>
    <x v="4"/>
    <x v="0"/>
    <x v="3"/>
    <x v="2"/>
    <x v="6"/>
    <x v="1"/>
  </r>
  <r>
    <s v="TX501123"/>
    <x v="0"/>
    <x v="2"/>
    <n v="20.6"/>
    <x v="957"/>
    <d v="2025-02-14T00:00:00"/>
    <d v="2025-02-16T00:00:00"/>
    <s v="F"/>
    <x v="4"/>
    <x v="2"/>
    <x v="0"/>
    <x v="3"/>
    <x v="1"/>
    <x v="6"/>
    <x v="2"/>
  </r>
  <r>
    <s v="TX501124"/>
    <x v="0"/>
    <x v="1"/>
    <n v="16"/>
    <x v="109"/>
    <d v="2025-02-14T00:00:00"/>
    <d v="2025-02-15T00:00:00"/>
    <s v="M"/>
    <x v="1"/>
    <x v="1"/>
    <x v="0"/>
    <x v="49"/>
    <x v="3"/>
    <x v="6"/>
    <x v="1"/>
  </r>
  <r>
    <s v="TX501125"/>
    <x v="15"/>
    <x v="12"/>
    <n v="49.3"/>
    <x v="958"/>
    <d v="2025-02-14T00:00:00"/>
    <d v="2025-02-15T00:00:00"/>
    <s v="F"/>
    <x v="2"/>
    <x v="0"/>
    <x v="0"/>
    <x v="23"/>
    <x v="3"/>
    <x v="6"/>
    <x v="2"/>
  </r>
  <r>
    <s v="TX501126"/>
    <x v="9"/>
    <x v="1"/>
    <n v="24.1"/>
    <x v="959"/>
    <d v="2025-02-14T00:00:00"/>
    <d v="2025-02-18T00:00:00"/>
    <s v="F"/>
    <x v="0"/>
    <x v="0"/>
    <x v="0"/>
    <x v="6"/>
    <x v="5"/>
    <x v="6"/>
    <x v="2"/>
  </r>
  <r>
    <s v="TX501127"/>
    <x v="15"/>
    <x v="8"/>
    <n v="32.700000000000003"/>
    <x v="960"/>
    <d v="2025-02-14T00:00:00"/>
    <d v="2025-02-15T00:00:00"/>
    <s v="F"/>
    <x v="1"/>
    <x v="0"/>
    <x v="0"/>
    <x v="6"/>
    <x v="3"/>
    <x v="6"/>
    <x v="2"/>
  </r>
  <r>
    <s v="TX501128"/>
    <x v="6"/>
    <x v="2"/>
    <n v="74.400000000000006"/>
    <x v="961"/>
    <d v="2025-02-14T00:00:00"/>
    <d v="2025-02-15T00:00:00"/>
    <s v="F"/>
    <x v="3"/>
    <x v="2"/>
    <x v="0"/>
    <x v="8"/>
    <x v="3"/>
    <x v="6"/>
    <x v="2"/>
  </r>
  <r>
    <s v="TX501129"/>
    <x v="12"/>
    <x v="0"/>
    <n v="45.6"/>
    <x v="962"/>
    <d v="2025-02-14T00:00:00"/>
    <d v="2025-02-18T00:00:00"/>
    <s v="F"/>
    <x v="4"/>
    <x v="0"/>
    <x v="0"/>
    <x v="8"/>
    <x v="5"/>
    <x v="6"/>
    <x v="2"/>
  </r>
  <r>
    <s v="TX501130"/>
    <x v="8"/>
    <x v="8"/>
    <n v="19.600000000000001"/>
    <x v="963"/>
    <d v="2025-02-14T00:00:00"/>
    <d v="2025-02-27T00:00:00"/>
    <s v="F"/>
    <x v="0"/>
    <x v="0"/>
    <x v="0"/>
    <x v="8"/>
    <x v="10"/>
    <x v="6"/>
    <x v="2"/>
  </r>
  <r>
    <s v="TX501131"/>
    <x v="9"/>
    <x v="0"/>
    <n v="51.8"/>
    <x v="964"/>
    <d v="2025-02-14T00:00:00"/>
    <d v="2025-02-15T00:00:00"/>
    <s v="F"/>
    <x v="1"/>
    <x v="0"/>
    <x v="0"/>
    <x v="8"/>
    <x v="3"/>
    <x v="6"/>
    <x v="2"/>
  </r>
  <r>
    <s v="TX501132"/>
    <x v="6"/>
    <x v="0"/>
    <n v="74.7"/>
    <x v="965"/>
    <d v="2025-02-14T00:00:00"/>
    <d v="2025-02-15T00:00:00"/>
    <s v="M"/>
    <x v="0"/>
    <x v="1"/>
    <x v="0"/>
    <x v="8"/>
    <x v="3"/>
    <x v="6"/>
    <x v="1"/>
  </r>
  <r>
    <s v="TX501133"/>
    <x v="19"/>
    <x v="2"/>
    <n v="22.4"/>
    <x v="966"/>
    <d v="2025-02-14T00:00:00"/>
    <d v="2025-02-15T00:00:00"/>
    <s v="F"/>
    <x v="1"/>
    <x v="2"/>
    <x v="0"/>
    <x v="9"/>
    <x v="3"/>
    <x v="6"/>
    <x v="2"/>
  </r>
  <r>
    <s v="TX501134"/>
    <x v="1"/>
    <x v="12"/>
    <n v="31.4"/>
    <x v="967"/>
    <d v="2025-02-14T00:00:00"/>
    <d v="2025-02-15T00:00:00"/>
    <s v="F"/>
    <x v="1"/>
    <x v="0"/>
    <x v="0"/>
    <x v="9"/>
    <x v="3"/>
    <x v="6"/>
    <x v="2"/>
  </r>
  <r>
    <s v="TX501135"/>
    <x v="6"/>
    <x v="0"/>
    <n v="94"/>
    <x v="255"/>
    <d v="2025-02-14T00:00:00"/>
    <d v="2025-02-14T00:00:00"/>
    <s v="F"/>
    <x v="1"/>
    <x v="2"/>
    <x v="0"/>
    <x v="10"/>
    <x v="7"/>
    <x v="6"/>
    <x v="2"/>
  </r>
  <r>
    <s v="TX501136"/>
    <x v="10"/>
    <x v="0"/>
    <n v="22.3"/>
    <x v="968"/>
    <d v="2025-02-14T00:00:00"/>
    <d v="2025-02-15T00:00:00"/>
    <s v="M"/>
    <x v="4"/>
    <x v="0"/>
    <x v="0"/>
    <x v="20"/>
    <x v="3"/>
    <x v="6"/>
    <x v="1"/>
  </r>
  <r>
    <s v="TX501137"/>
    <x v="0"/>
    <x v="0"/>
    <n v="21.9"/>
    <x v="731"/>
    <d v="2025-02-14T00:00:00"/>
    <d v="2025-02-17T00:00:00"/>
    <s v="F"/>
    <x v="2"/>
    <x v="0"/>
    <x v="0"/>
    <x v="21"/>
    <x v="2"/>
    <x v="6"/>
    <x v="2"/>
  </r>
  <r>
    <s v="TX501138"/>
    <x v="17"/>
    <x v="2"/>
    <n v="27"/>
    <x v="969"/>
    <d v="2025-02-14T00:00:00"/>
    <d v="2025-02-16T00:00:00"/>
    <s v="F"/>
    <x v="4"/>
    <x v="2"/>
    <x v="0"/>
    <x v="2"/>
    <x v="1"/>
    <x v="6"/>
    <x v="2"/>
  </r>
  <r>
    <s v="TX501139"/>
    <x v="2"/>
    <x v="12"/>
    <n v="149.6"/>
    <x v="970"/>
    <d v="2025-02-14T00:00:00"/>
    <d v="2025-02-14T00:00:00"/>
    <s v="F"/>
    <x v="4"/>
    <x v="0"/>
    <x v="0"/>
    <x v="22"/>
    <x v="7"/>
    <x v="6"/>
    <x v="2"/>
  </r>
  <r>
    <s v="TX501140"/>
    <x v="2"/>
    <x v="12"/>
    <n v="129.1"/>
    <x v="971"/>
    <d v="2025-02-14T00:00:00"/>
    <d v="2025-02-24T00:00:00"/>
    <s v="M"/>
    <x v="0"/>
    <x v="1"/>
    <x v="0"/>
    <x v="3"/>
    <x v="14"/>
    <x v="6"/>
    <x v="1"/>
  </r>
  <r>
    <s v="TX501141"/>
    <x v="1"/>
    <x v="4"/>
    <n v="40.4"/>
    <x v="972"/>
    <d v="2025-02-14T00:00:00"/>
    <d v="2025-02-15T00:00:00"/>
    <s v="M"/>
    <x v="1"/>
    <x v="1"/>
    <x v="0"/>
    <x v="3"/>
    <x v="3"/>
    <x v="6"/>
    <x v="1"/>
  </r>
  <r>
    <s v="TX501142"/>
    <x v="4"/>
    <x v="2"/>
    <n v="48.5"/>
    <x v="973"/>
    <d v="2025-02-14T00:00:00"/>
    <d v="2025-02-16T00:00:00"/>
    <s v="F"/>
    <x v="0"/>
    <x v="4"/>
    <x v="0"/>
    <x v="3"/>
    <x v="1"/>
    <x v="6"/>
    <x v="2"/>
  </r>
  <r>
    <s v="TX501143"/>
    <x v="9"/>
    <x v="1"/>
    <n v="37.6"/>
    <x v="495"/>
    <d v="2025-02-14T00:00:00"/>
    <d v="2025-02-16T00:00:00"/>
    <s v="F"/>
    <x v="1"/>
    <x v="2"/>
    <x v="0"/>
    <x v="3"/>
    <x v="1"/>
    <x v="6"/>
    <x v="2"/>
  </r>
  <r>
    <s v="TX501144"/>
    <x v="8"/>
    <x v="1"/>
    <n v="19.600000000000001"/>
    <x v="496"/>
    <d v="2025-02-14T00:00:00"/>
    <d v="2025-02-15T00:00:00"/>
    <s v="M"/>
    <x v="3"/>
    <x v="4"/>
    <x v="0"/>
    <x v="43"/>
    <x v="3"/>
    <x v="6"/>
    <x v="1"/>
  </r>
  <r>
    <s v="TX501145"/>
    <x v="8"/>
    <x v="9"/>
    <n v="18.5"/>
    <x v="974"/>
    <d v="2025-02-14T00:00:00"/>
    <d v="2025-02-15T00:00:00"/>
    <s v="F"/>
    <x v="2"/>
    <x v="1"/>
    <x v="0"/>
    <x v="6"/>
    <x v="3"/>
    <x v="6"/>
    <x v="2"/>
  </r>
  <r>
    <s v="TX501146"/>
    <x v="5"/>
    <x v="2"/>
    <n v="25.5"/>
    <x v="514"/>
    <d v="2025-02-14T00:00:00"/>
    <d v="2025-02-16T00:00:00"/>
    <s v="F"/>
    <x v="4"/>
    <x v="1"/>
    <x v="0"/>
    <x v="6"/>
    <x v="1"/>
    <x v="6"/>
    <x v="2"/>
  </r>
  <r>
    <s v="TX501147"/>
    <x v="2"/>
    <x v="1"/>
    <n v="94.7"/>
    <x v="975"/>
    <d v="2025-02-14T00:00:00"/>
    <d v="2025-02-15T00:00:00"/>
    <s v="F"/>
    <x v="2"/>
    <x v="0"/>
    <x v="0"/>
    <x v="36"/>
    <x v="3"/>
    <x v="6"/>
    <x v="2"/>
  </r>
  <r>
    <s v="TX501148"/>
    <x v="1"/>
    <x v="13"/>
    <n v="38.799999999999997"/>
    <x v="976"/>
    <d v="2025-02-14T00:00:00"/>
    <d v="2025-02-19T00:00:00"/>
    <s v="F"/>
    <x v="2"/>
    <x v="2"/>
    <x v="0"/>
    <x v="8"/>
    <x v="0"/>
    <x v="6"/>
    <x v="2"/>
  </r>
  <r>
    <s v="TX501149"/>
    <x v="9"/>
    <x v="1"/>
    <n v="49.4"/>
    <x v="197"/>
    <d v="2025-02-15T00:00:00"/>
    <d v="2025-02-23T00:00:00"/>
    <s v="M"/>
    <x v="4"/>
    <x v="1"/>
    <x v="0"/>
    <x v="8"/>
    <x v="9"/>
    <x v="6"/>
    <x v="1"/>
  </r>
  <r>
    <s v="TX501150"/>
    <x v="7"/>
    <x v="2"/>
    <n v="68"/>
    <x v="977"/>
    <d v="2025-02-15T00:00:00"/>
    <d v="2025-02-18T00:00:00"/>
    <s v="M"/>
    <x v="0"/>
    <x v="2"/>
    <x v="0"/>
    <x v="8"/>
    <x v="2"/>
    <x v="6"/>
    <x v="1"/>
  </r>
  <r>
    <s v="TX501151"/>
    <x v="15"/>
    <x v="3"/>
    <n v="63.7"/>
    <x v="978"/>
    <d v="2025-02-15T00:00:00"/>
    <d v="2025-02-16T00:00:00"/>
    <s v="F"/>
    <x v="2"/>
    <x v="2"/>
    <x v="0"/>
    <x v="8"/>
    <x v="3"/>
    <x v="6"/>
    <x v="2"/>
  </r>
  <r>
    <s v="TX501152"/>
    <x v="10"/>
    <x v="1"/>
    <n v="66.2"/>
    <x v="979"/>
    <d v="2025-02-15T00:00:00"/>
    <d v="2025-02-16T00:00:00"/>
    <s v="F"/>
    <x v="4"/>
    <x v="2"/>
    <x v="0"/>
    <x v="17"/>
    <x v="3"/>
    <x v="6"/>
    <x v="2"/>
  </r>
  <r>
    <s v="TX501153"/>
    <x v="12"/>
    <x v="2"/>
    <n v="32.299999999999997"/>
    <x v="980"/>
    <d v="2025-02-15T00:00:00"/>
    <d v="2025-02-16T00:00:00"/>
    <s v="O"/>
    <x v="2"/>
    <x v="1"/>
    <x v="0"/>
    <x v="9"/>
    <x v="3"/>
    <x v="6"/>
    <x v="3"/>
  </r>
  <r>
    <s v="TX501154"/>
    <x v="4"/>
    <x v="1"/>
    <n v="66.900000000000006"/>
    <x v="981"/>
    <d v="2025-02-15T00:00:00"/>
    <d v="2025-02-18T00:00:00"/>
    <s v="M"/>
    <x v="1"/>
    <x v="0"/>
    <x v="0"/>
    <x v="11"/>
    <x v="2"/>
    <x v="6"/>
    <x v="1"/>
  </r>
  <r>
    <s v="TX501155"/>
    <x v="4"/>
    <x v="4"/>
    <n v="25.2"/>
    <x v="982"/>
    <d v="2025-02-15T00:00:00"/>
    <d v="2025-02-19T00:00:00"/>
    <s v="F"/>
    <x v="0"/>
    <x v="1"/>
    <x v="0"/>
    <x v="11"/>
    <x v="5"/>
    <x v="6"/>
    <x v="2"/>
  </r>
  <r>
    <s v="TX501156"/>
    <x v="10"/>
    <x v="13"/>
    <n v="29.5"/>
    <x v="983"/>
    <d v="2025-02-15T00:00:00"/>
    <d v="2025-02-16T00:00:00"/>
    <s v="M"/>
    <x v="2"/>
    <x v="0"/>
    <x v="0"/>
    <x v="11"/>
    <x v="3"/>
    <x v="6"/>
    <x v="1"/>
  </r>
  <r>
    <s v="TX501157"/>
    <x v="8"/>
    <x v="9"/>
    <n v="21.6"/>
    <x v="807"/>
    <d v="2025-02-15T00:00:00"/>
    <d v="2025-02-17T00:00:00"/>
    <s v="F"/>
    <x v="0"/>
    <x v="2"/>
    <x v="0"/>
    <x v="32"/>
    <x v="1"/>
    <x v="6"/>
    <x v="2"/>
  </r>
  <r>
    <s v="TX501158"/>
    <x v="12"/>
    <x v="2"/>
    <n v="69"/>
    <x v="461"/>
    <d v="2025-02-15T00:00:00"/>
    <d v="2025-02-16T00:00:00"/>
    <s v="F"/>
    <x v="0"/>
    <x v="0"/>
    <x v="0"/>
    <x v="18"/>
    <x v="3"/>
    <x v="6"/>
    <x v="2"/>
  </r>
  <r>
    <s v="TX501159"/>
    <x v="7"/>
    <x v="1"/>
    <n v="115"/>
    <x v="984"/>
    <d v="2025-02-15T00:00:00"/>
    <d v="2025-02-19T00:00:00"/>
    <s v="M"/>
    <x v="0"/>
    <x v="2"/>
    <x v="0"/>
    <x v="18"/>
    <x v="5"/>
    <x v="6"/>
    <x v="1"/>
  </r>
  <r>
    <s v="TX501160"/>
    <x v="2"/>
    <x v="1"/>
    <n v="109.3"/>
    <x v="985"/>
    <d v="2025-02-15T00:00:00"/>
    <d v="2025-02-17T00:00:00"/>
    <s v=""/>
    <x v="3"/>
    <x v="1"/>
    <x v="0"/>
    <x v="19"/>
    <x v="1"/>
    <x v="6"/>
    <x v="0"/>
  </r>
  <r>
    <s v="TX501161"/>
    <x v="9"/>
    <x v="1"/>
    <n v="66.599999999999994"/>
    <x v="986"/>
    <d v="2025-02-15T00:00:00"/>
    <d v="2025-02-18T00:00:00"/>
    <s v=""/>
    <x v="4"/>
    <x v="1"/>
    <x v="0"/>
    <x v="19"/>
    <x v="2"/>
    <x v="6"/>
    <x v="0"/>
  </r>
  <r>
    <s v="TX501162"/>
    <x v="12"/>
    <x v="9"/>
    <n v="47.7"/>
    <x v="987"/>
    <d v="2025-02-15T00:00:00"/>
    <d v="2025-02-16T00:00:00"/>
    <s v="M"/>
    <x v="3"/>
    <x v="2"/>
    <x v="0"/>
    <x v="21"/>
    <x v="3"/>
    <x v="6"/>
    <x v="1"/>
  </r>
  <r>
    <s v="TX501163"/>
    <x v="8"/>
    <x v="1"/>
    <n v="46"/>
    <x v="988"/>
    <d v="2025-02-15T00:00:00"/>
    <d v="2025-02-16T00:00:00"/>
    <s v="F"/>
    <x v="4"/>
    <x v="4"/>
    <x v="0"/>
    <x v="22"/>
    <x v="3"/>
    <x v="6"/>
    <x v="2"/>
  </r>
  <r>
    <s v="TX501164"/>
    <x v="1"/>
    <x v="13"/>
    <n v="39.299999999999997"/>
    <x v="989"/>
    <d v="2025-02-15T00:00:00"/>
    <d v="2025-02-17T00:00:00"/>
    <s v="M"/>
    <x v="3"/>
    <x v="2"/>
    <x v="0"/>
    <x v="3"/>
    <x v="1"/>
    <x v="6"/>
    <x v="1"/>
  </r>
  <r>
    <s v="TX501165"/>
    <x v="9"/>
    <x v="0"/>
    <n v="70.2"/>
    <x v="474"/>
    <d v="2025-02-15T00:00:00"/>
    <d v="2025-02-16T00:00:00"/>
    <s v="F"/>
    <x v="0"/>
    <x v="4"/>
    <x v="0"/>
    <x v="3"/>
    <x v="3"/>
    <x v="6"/>
    <x v="2"/>
  </r>
  <r>
    <s v="TX501166"/>
    <x v="3"/>
    <x v="12"/>
    <n v="71.5"/>
    <x v="990"/>
    <d v="2025-02-15T00:00:00"/>
    <d v="2025-02-15T00:00:00"/>
    <s v="F"/>
    <x v="1"/>
    <x v="2"/>
    <x v="0"/>
    <x v="3"/>
    <x v="7"/>
    <x v="6"/>
    <x v="2"/>
  </r>
  <r>
    <s v="TX501167"/>
    <x v="10"/>
    <x v="3"/>
    <n v="31"/>
    <x v="991"/>
    <d v="2025-02-15T00:00:00"/>
    <d v="2025-02-22T00:00:00"/>
    <s v="F"/>
    <x v="3"/>
    <x v="2"/>
    <x v="0"/>
    <x v="3"/>
    <x v="6"/>
    <x v="6"/>
    <x v="2"/>
  </r>
  <r>
    <s v="TX501168"/>
    <x v="2"/>
    <x v="9"/>
    <n v="68.2"/>
    <x v="992"/>
    <d v="2025-02-15T00:00:00"/>
    <d v="2025-02-20T00:00:00"/>
    <s v="F"/>
    <x v="0"/>
    <x v="2"/>
    <x v="0"/>
    <x v="3"/>
    <x v="0"/>
    <x v="6"/>
    <x v="2"/>
  </r>
  <r>
    <s v="TX501169"/>
    <x v="2"/>
    <x v="0"/>
    <n v="91.4"/>
    <x v="411"/>
    <d v="2025-02-15T00:00:00"/>
    <d v="2025-02-19T00:00:00"/>
    <s v="F"/>
    <x v="1"/>
    <x v="2"/>
    <x v="0"/>
    <x v="6"/>
    <x v="5"/>
    <x v="6"/>
    <x v="2"/>
  </r>
  <r>
    <s v="TX501170"/>
    <x v="6"/>
    <x v="7"/>
    <n v="112.9"/>
    <x v="993"/>
    <d v="2025-02-15T00:00:00"/>
    <d v="2025-02-16T00:00:00"/>
    <s v="F"/>
    <x v="0"/>
    <x v="0"/>
    <x v="0"/>
    <x v="6"/>
    <x v="3"/>
    <x v="6"/>
    <x v="2"/>
  </r>
  <r>
    <s v="TX501171"/>
    <x v="17"/>
    <x v="11"/>
    <n v="33.700000000000003"/>
    <x v="994"/>
    <d v="2025-02-15T00:00:00"/>
    <d v="2025-02-16T00:00:00"/>
    <s v="F"/>
    <x v="1"/>
    <x v="2"/>
    <x v="0"/>
    <x v="8"/>
    <x v="3"/>
    <x v="6"/>
    <x v="2"/>
  </r>
  <r>
    <s v="TX501172"/>
    <x v="15"/>
    <x v="7"/>
    <n v="35.299999999999997"/>
    <x v="995"/>
    <d v="2025-02-15T00:00:00"/>
    <d v="2025-02-17T00:00:00"/>
    <s v="M"/>
    <x v="2"/>
    <x v="0"/>
    <x v="0"/>
    <x v="8"/>
    <x v="1"/>
    <x v="6"/>
    <x v="1"/>
  </r>
  <r>
    <s v="TX501173"/>
    <x v="18"/>
    <x v="2"/>
    <n v="45.6"/>
    <x v="996"/>
    <d v="2025-02-15T00:00:00"/>
    <d v="2025-02-19T00:00:00"/>
    <s v="M"/>
    <x v="3"/>
    <x v="0"/>
    <x v="0"/>
    <x v="8"/>
    <x v="5"/>
    <x v="6"/>
    <x v="1"/>
  </r>
  <r>
    <s v="TX501174"/>
    <x v="7"/>
    <x v="3"/>
    <n v="47.1"/>
    <x v="847"/>
    <d v="2025-02-15T00:00:00"/>
    <d v="2025-02-16T00:00:00"/>
    <s v="F"/>
    <x v="4"/>
    <x v="2"/>
    <x v="0"/>
    <x v="9"/>
    <x v="3"/>
    <x v="6"/>
    <x v="2"/>
  </r>
  <r>
    <s v="TX501175"/>
    <x v="8"/>
    <x v="9"/>
    <n v="16.2"/>
    <x v="969"/>
    <d v="2025-02-15T00:00:00"/>
    <d v="2025-02-17T00:00:00"/>
    <s v="F"/>
    <x v="3"/>
    <x v="2"/>
    <x v="0"/>
    <x v="19"/>
    <x v="1"/>
    <x v="6"/>
    <x v="2"/>
  </r>
  <r>
    <s v="TX501176"/>
    <x v="1"/>
    <x v="1"/>
    <n v="159.69999999999999"/>
    <x v="997"/>
    <d v="2025-02-16T00:00:00"/>
    <d v="2025-02-17T00:00:00"/>
    <s v="M"/>
    <x v="4"/>
    <x v="0"/>
    <x v="0"/>
    <x v="13"/>
    <x v="3"/>
    <x v="7"/>
    <x v="1"/>
  </r>
  <r>
    <s v="TX501177"/>
    <x v="8"/>
    <x v="12"/>
    <n v="19"/>
    <x v="998"/>
    <d v="2025-02-16T00:00:00"/>
    <d v="2025-02-23T00:00:00"/>
    <s v="F"/>
    <x v="2"/>
    <x v="2"/>
    <x v="0"/>
    <x v="21"/>
    <x v="6"/>
    <x v="7"/>
    <x v="2"/>
  </r>
  <r>
    <s v="TX501178"/>
    <x v="6"/>
    <x v="13"/>
    <n v="91.1"/>
    <x v="999"/>
    <d v="2025-02-16T00:00:00"/>
    <d v="2025-02-25T00:00:00"/>
    <s v="F"/>
    <x v="4"/>
    <x v="0"/>
    <x v="0"/>
    <x v="21"/>
    <x v="8"/>
    <x v="7"/>
    <x v="2"/>
  </r>
  <r>
    <s v="TX501179"/>
    <x v="2"/>
    <x v="9"/>
    <n v="94.1"/>
    <x v="1000"/>
    <d v="2025-02-16T00:00:00"/>
    <d v="2025-02-19T00:00:00"/>
    <s v=""/>
    <x v="1"/>
    <x v="1"/>
    <x v="0"/>
    <x v="21"/>
    <x v="2"/>
    <x v="7"/>
    <x v="0"/>
  </r>
  <r>
    <s v="TX501180"/>
    <x v="9"/>
    <x v="11"/>
    <n v="21.1"/>
    <x v="1001"/>
    <d v="2025-02-16T00:00:00"/>
    <d v="2025-02-17T00:00:00"/>
    <s v="F"/>
    <x v="4"/>
    <x v="2"/>
    <x v="0"/>
    <x v="51"/>
    <x v="3"/>
    <x v="7"/>
    <x v="2"/>
  </r>
  <r>
    <s v="TX501181"/>
    <x v="8"/>
    <x v="3"/>
    <n v="15.3"/>
    <x v="1002"/>
    <d v="2025-02-16T00:00:00"/>
    <d v="2025-02-24T00:00:00"/>
    <s v="F"/>
    <x v="2"/>
    <x v="0"/>
    <x v="0"/>
    <x v="1"/>
    <x v="9"/>
    <x v="7"/>
    <x v="2"/>
  </r>
  <r>
    <s v="TX501182"/>
    <x v="15"/>
    <x v="12"/>
    <n v="21.3"/>
    <x v="464"/>
    <d v="2025-02-16T00:00:00"/>
    <d v="2025-02-19T00:00:00"/>
    <s v="M"/>
    <x v="1"/>
    <x v="0"/>
    <x v="0"/>
    <x v="3"/>
    <x v="2"/>
    <x v="7"/>
    <x v="1"/>
  </r>
  <r>
    <s v="TX501183"/>
    <x v="0"/>
    <x v="1"/>
    <n v="23.2"/>
    <x v="434"/>
    <d v="2025-02-16T00:00:00"/>
    <d v="2025-02-16T00:00:00"/>
    <s v=""/>
    <x v="3"/>
    <x v="1"/>
    <x v="0"/>
    <x v="3"/>
    <x v="7"/>
    <x v="7"/>
    <x v="0"/>
  </r>
  <r>
    <s v="TX501184"/>
    <x v="4"/>
    <x v="2"/>
    <n v="25.7"/>
    <x v="1003"/>
    <d v="2025-02-16T00:00:00"/>
    <d v="2025-02-17T00:00:00"/>
    <s v="M"/>
    <x v="4"/>
    <x v="0"/>
    <x v="0"/>
    <x v="3"/>
    <x v="3"/>
    <x v="7"/>
    <x v="1"/>
  </r>
  <r>
    <s v="TX501185"/>
    <x v="0"/>
    <x v="11"/>
    <n v="31.6"/>
    <x v="1004"/>
    <d v="2025-02-16T00:00:00"/>
    <d v="2025-02-18T00:00:00"/>
    <s v="F"/>
    <x v="0"/>
    <x v="0"/>
    <x v="0"/>
    <x v="3"/>
    <x v="1"/>
    <x v="7"/>
    <x v="2"/>
  </r>
  <r>
    <s v="TX501186"/>
    <x v="6"/>
    <x v="0"/>
    <n v="64.2"/>
    <x v="1005"/>
    <d v="2025-02-16T00:00:00"/>
    <d v="2025-02-21T00:00:00"/>
    <s v="M"/>
    <x v="0"/>
    <x v="0"/>
    <x v="0"/>
    <x v="3"/>
    <x v="0"/>
    <x v="7"/>
    <x v="1"/>
  </r>
  <r>
    <s v="TX501187"/>
    <x v="8"/>
    <x v="1"/>
    <n v="55.8"/>
    <x v="1006"/>
    <d v="2025-02-16T00:00:00"/>
    <d v="2025-02-18T00:00:00"/>
    <s v=""/>
    <x v="0"/>
    <x v="0"/>
    <x v="0"/>
    <x v="3"/>
    <x v="1"/>
    <x v="7"/>
    <x v="0"/>
  </r>
  <r>
    <s v="TX501188"/>
    <x v="8"/>
    <x v="1"/>
    <n v="28.1"/>
    <x v="1007"/>
    <d v="2025-02-16T00:00:00"/>
    <d v="2025-02-17T00:00:00"/>
    <s v="F"/>
    <x v="4"/>
    <x v="1"/>
    <x v="0"/>
    <x v="3"/>
    <x v="3"/>
    <x v="7"/>
    <x v="2"/>
  </r>
  <r>
    <s v="TX501189"/>
    <x v="0"/>
    <x v="1"/>
    <n v="11.6"/>
    <x v="772"/>
    <d v="2025-02-16T00:00:00"/>
    <d v="2025-02-18T00:00:00"/>
    <s v="F"/>
    <x v="1"/>
    <x v="0"/>
    <x v="0"/>
    <x v="24"/>
    <x v="1"/>
    <x v="7"/>
    <x v="2"/>
  </r>
  <r>
    <s v="TX501190"/>
    <x v="5"/>
    <x v="2"/>
    <n v="50.4"/>
    <x v="277"/>
    <d v="2025-02-16T00:00:00"/>
    <d v="2025-02-17T00:00:00"/>
    <s v="M"/>
    <x v="4"/>
    <x v="2"/>
    <x v="0"/>
    <x v="25"/>
    <x v="3"/>
    <x v="7"/>
    <x v="1"/>
  </r>
  <r>
    <s v="TX501191"/>
    <x v="6"/>
    <x v="13"/>
    <n v="48.3"/>
    <x v="1008"/>
    <d v="2025-02-16T00:00:00"/>
    <d v="2025-02-20T00:00:00"/>
    <s v="F"/>
    <x v="0"/>
    <x v="0"/>
    <x v="0"/>
    <x v="25"/>
    <x v="5"/>
    <x v="7"/>
    <x v="2"/>
  </r>
  <r>
    <s v="TX501192"/>
    <x v="17"/>
    <x v="3"/>
    <n v="32.200000000000003"/>
    <x v="1009"/>
    <d v="2025-02-16T00:00:00"/>
    <d v="2025-02-18T00:00:00"/>
    <s v="F"/>
    <x v="2"/>
    <x v="0"/>
    <x v="0"/>
    <x v="25"/>
    <x v="1"/>
    <x v="7"/>
    <x v="2"/>
  </r>
  <r>
    <s v="TX501193"/>
    <x v="7"/>
    <x v="31"/>
    <n v="48.5"/>
    <x v="1010"/>
    <d v="2025-02-16T00:00:00"/>
    <d v="2025-02-17T00:00:00"/>
    <s v="M"/>
    <x v="0"/>
    <x v="0"/>
    <x v="0"/>
    <x v="5"/>
    <x v="3"/>
    <x v="7"/>
    <x v="1"/>
  </r>
  <r>
    <s v="TX501194"/>
    <x v="2"/>
    <x v="9"/>
    <n v="62"/>
    <x v="892"/>
    <d v="2025-02-16T00:00:00"/>
    <d v="2025-02-19T00:00:00"/>
    <s v="F"/>
    <x v="1"/>
    <x v="0"/>
    <x v="0"/>
    <x v="6"/>
    <x v="2"/>
    <x v="7"/>
    <x v="2"/>
  </r>
  <r>
    <s v="TX501195"/>
    <x v="8"/>
    <x v="2"/>
    <n v="32.1"/>
    <x v="219"/>
    <d v="2025-02-17T00:00:00"/>
    <d v="2025-02-19T00:00:00"/>
    <s v="M"/>
    <x v="0"/>
    <x v="0"/>
    <x v="0"/>
    <x v="6"/>
    <x v="1"/>
    <x v="7"/>
    <x v="1"/>
  </r>
  <r>
    <s v="TX501196"/>
    <x v="12"/>
    <x v="2"/>
    <n v="106.1"/>
    <x v="1011"/>
    <d v="2025-02-17T00:00:00"/>
    <d v="2025-02-19T00:00:00"/>
    <s v="M"/>
    <x v="0"/>
    <x v="1"/>
    <x v="0"/>
    <x v="7"/>
    <x v="1"/>
    <x v="7"/>
    <x v="1"/>
  </r>
  <r>
    <s v="TX501197"/>
    <x v="10"/>
    <x v="2"/>
    <n v="23.5"/>
    <x v="1012"/>
    <d v="2025-02-17T00:00:00"/>
    <d v="2025-02-20T00:00:00"/>
    <s v="M"/>
    <x v="0"/>
    <x v="4"/>
    <x v="0"/>
    <x v="7"/>
    <x v="2"/>
    <x v="7"/>
    <x v="1"/>
  </r>
  <r>
    <s v="TX501198"/>
    <x v="1"/>
    <x v="1"/>
    <n v="35.6"/>
    <x v="1013"/>
    <d v="2025-02-17T00:00:00"/>
    <d v="2025-02-22T00:00:00"/>
    <s v="M"/>
    <x v="4"/>
    <x v="0"/>
    <x v="0"/>
    <x v="8"/>
    <x v="0"/>
    <x v="7"/>
    <x v="1"/>
  </r>
  <r>
    <s v="TX501199"/>
    <x v="1"/>
    <x v="1"/>
    <n v="63.5"/>
    <x v="520"/>
    <d v="2025-02-17T00:00:00"/>
    <d v="2025-02-17T00:00:00"/>
    <s v="F"/>
    <x v="1"/>
    <x v="2"/>
    <x v="0"/>
    <x v="8"/>
    <x v="7"/>
    <x v="7"/>
    <x v="2"/>
  </r>
  <r>
    <s v="TX501200"/>
    <x v="6"/>
    <x v="3"/>
    <n v="82.9"/>
    <x v="1014"/>
    <d v="2025-02-17T00:00:00"/>
    <d v="2025-02-22T00:00:00"/>
    <s v="F"/>
    <x v="4"/>
    <x v="0"/>
    <x v="0"/>
    <x v="9"/>
    <x v="0"/>
    <x v="7"/>
    <x v="2"/>
  </r>
  <r>
    <s v="TX501201"/>
    <x v="6"/>
    <x v="1"/>
    <n v="83.6"/>
    <x v="762"/>
    <d v="2025-02-17T00:00:00"/>
    <d v="2025-02-22T00:00:00"/>
    <s v="F"/>
    <x v="0"/>
    <x v="0"/>
    <x v="0"/>
    <x v="11"/>
    <x v="0"/>
    <x v="7"/>
    <x v="2"/>
  </r>
  <r>
    <s v="TX501202"/>
    <x v="4"/>
    <x v="1"/>
    <n v="29.4"/>
    <x v="572"/>
    <d v="2025-02-17T00:00:00"/>
    <d v="2025-02-17T00:00:00"/>
    <s v="F"/>
    <x v="0"/>
    <x v="1"/>
    <x v="0"/>
    <x v="30"/>
    <x v="7"/>
    <x v="7"/>
    <x v="2"/>
  </r>
  <r>
    <s v="TX501203"/>
    <x v="2"/>
    <x v="2"/>
    <n v="107.1"/>
    <x v="1015"/>
    <d v="2025-02-17T00:00:00"/>
    <d v="2025-02-21T00:00:00"/>
    <s v="F"/>
    <x v="2"/>
    <x v="0"/>
    <x v="0"/>
    <x v="20"/>
    <x v="5"/>
    <x v="7"/>
    <x v="2"/>
  </r>
  <r>
    <s v="TX501204"/>
    <x v="2"/>
    <x v="0"/>
    <n v="62.7"/>
    <x v="1016"/>
    <d v="2025-02-17T00:00:00"/>
    <d v="2025-02-21T00:00:00"/>
    <s v="M"/>
    <x v="1"/>
    <x v="0"/>
    <x v="0"/>
    <x v="21"/>
    <x v="5"/>
    <x v="7"/>
    <x v="1"/>
  </r>
  <r>
    <s v="TX501205"/>
    <x v="11"/>
    <x v="0"/>
    <n v="41.6"/>
    <x v="480"/>
    <d v="2025-02-17T00:00:00"/>
    <d v="2025-02-18T00:00:00"/>
    <s v="M"/>
    <x v="0"/>
    <x v="1"/>
    <x v="0"/>
    <x v="1"/>
    <x v="3"/>
    <x v="7"/>
    <x v="1"/>
  </r>
  <r>
    <s v="TX501206"/>
    <x v="6"/>
    <x v="0"/>
    <n v="44.2"/>
    <x v="573"/>
    <d v="2025-02-17T00:00:00"/>
    <d v="2025-02-18T00:00:00"/>
    <s v="O"/>
    <x v="0"/>
    <x v="1"/>
    <x v="0"/>
    <x v="1"/>
    <x v="3"/>
    <x v="7"/>
    <x v="3"/>
  </r>
  <r>
    <s v="TX501207"/>
    <x v="4"/>
    <x v="13"/>
    <n v="40.4"/>
    <x v="1017"/>
    <d v="2025-02-17T00:00:00"/>
    <d v="2025-03-02T00:00:00"/>
    <s v="F"/>
    <x v="2"/>
    <x v="0"/>
    <x v="0"/>
    <x v="22"/>
    <x v="10"/>
    <x v="7"/>
    <x v="2"/>
  </r>
  <r>
    <s v="TX501208"/>
    <x v="15"/>
    <x v="13"/>
    <n v="59.6"/>
    <x v="1018"/>
    <d v="2025-02-17T00:00:00"/>
    <d v="2025-02-18T00:00:00"/>
    <s v="F"/>
    <x v="4"/>
    <x v="0"/>
    <x v="0"/>
    <x v="34"/>
    <x v="3"/>
    <x v="7"/>
    <x v="2"/>
  </r>
  <r>
    <s v="TX501209"/>
    <x v="17"/>
    <x v="4"/>
    <n v="63.8"/>
    <x v="1019"/>
    <d v="2025-02-17T00:00:00"/>
    <d v="2025-02-18T00:00:00"/>
    <s v="M"/>
    <x v="1"/>
    <x v="0"/>
    <x v="0"/>
    <x v="3"/>
    <x v="3"/>
    <x v="7"/>
    <x v="1"/>
  </r>
  <r>
    <s v="TX501210"/>
    <x v="9"/>
    <x v="13"/>
    <n v="30.8"/>
    <x v="827"/>
    <d v="2025-02-17T00:00:00"/>
    <d v="2025-02-19T00:00:00"/>
    <s v="M"/>
    <x v="4"/>
    <x v="0"/>
    <x v="0"/>
    <x v="3"/>
    <x v="1"/>
    <x v="7"/>
    <x v="1"/>
  </r>
  <r>
    <s v="TX501211"/>
    <x v="1"/>
    <x v="1"/>
    <n v="41.5"/>
    <x v="470"/>
    <d v="2025-02-17T00:00:00"/>
    <d v="2025-02-20T00:00:00"/>
    <s v="O"/>
    <x v="0"/>
    <x v="0"/>
    <x v="0"/>
    <x v="3"/>
    <x v="2"/>
    <x v="7"/>
    <x v="3"/>
  </r>
  <r>
    <s v="TX501212"/>
    <x v="10"/>
    <x v="12"/>
    <n v="44.7"/>
    <x v="1020"/>
    <d v="2025-02-17T00:00:00"/>
    <d v="2025-02-19T00:00:00"/>
    <s v="F"/>
    <x v="2"/>
    <x v="1"/>
    <x v="0"/>
    <x v="3"/>
    <x v="1"/>
    <x v="7"/>
    <x v="2"/>
  </r>
  <r>
    <s v="TX501213"/>
    <x v="12"/>
    <x v="1"/>
    <n v="64.099999999999994"/>
    <x v="618"/>
    <d v="2025-02-17T00:00:00"/>
    <d v="2025-02-21T00:00:00"/>
    <s v="F"/>
    <x v="1"/>
    <x v="4"/>
    <x v="0"/>
    <x v="3"/>
    <x v="5"/>
    <x v="7"/>
    <x v="2"/>
  </r>
  <r>
    <s v="TX501214"/>
    <x v="8"/>
    <x v="0"/>
    <n v="15.9"/>
    <x v="1021"/>
    <d v="2025-02-17T00:00:00"/>
    <d v="2025-02-20T00:00:00"/>
    <s v=""/>
    <x v="1"/>
    <x v="0"/>
    <x v="0"/>
    <x v="3"/>
    <x v="2"/>
    <x v="7"/>
    <x v="0"/>
  </r>
  <r>
    <s v="TX501215"/>
    <x v="6"/>
    <x v="1"/>
    <n v="78.7"/>
    <x v="1022"/>
    <d v="2025-02-17T00:00:00"/>
    <d v="2025-02-17T00:00:00"/>
    <s v="F"/>
    <x v="2"/>
    <x v="1"/>
    <x v="0"/>
    <x v="3"/>
    <x v="7"/>
    <x v="7"/>
    <x v="2"/>
  </r>
  <r>
    <s v="TX501216"/>
    <x v="5"/>
    <x v="4"/>
    <n v="29.6"/>
    <x v="1023"/>
    <d v="2025-02-17T00:00:00"/>
    <d v="2025-02-21T00:00:00"/>
    <s v="M"/>
    <x v="2"/>
    <x v="4"/>
    <x v="0"/>
    <x v="3"/>
    <x v="5"/>
    <x v="7"/>
    <x v="1"/>
  </r>
  <r>
    <s v="TX501217"/>
    <x v="8"/>
    <x v="12"/>
    <n v="21.5"/>
    <x v="1024"/>
    <d v="2025-02-17T00:00:00"/>
    <d v="2025-02-20T00:00:00"/>
    <s v="M"/>
    <x v="1"/>
    <x v="0"/>
    <x v="0"/>
    <x v="3"/>
    <x v="2"/>
    <x v="7"/>
    <x v="1"/>
  </r>
  <r>
    <s v="TX501218"/>
    <x v="9"/>
    <x v="2"/>
    <n v="74.900000000000006"/>
    <x v="890"/>
    <d v="2025-02-17T00:00:00"/>
    <d v="2025-02-26T00:00:00"/>
    <s v="M"/>
    <x v="3"/>
    <x v="1"/>
    <x v="0"/>
    <x v="3"/>
    <x v="8"/>
    <x v="7"/>
    <x v="1"/>
  </r>
  <r>
    <s v="TX501219"/>
    <x v="10"/>
    <x v="13"/>
    <n v="45"/>
    <x v="843"/>
    <d v="2025-02-17T00:00:00"/>
    <d v="2025-02-22T00:00:00"/>
    <s v="F"/>
    <x v="2"/>
    <x v="0"/>
    <x v="0"/>
    <x v="3"/>
    <x v="0"/>
    <x v="7"/>
    <x v="2"/>
  </r>
  <r>
    <s v="TX501220"/>
    <x v="7"/>
    <x v="33"/>
    <n v="37.9"/>
    <x v="1025"/>
    <d v="2025-02-17T00:00:00"/>
    <d v="2025-02-18T00:00:00"/>
    <s v="M"/>
    <x v="0"/>
    <x v="0"/>
    <x v="0"/>
    <x v="3"/>
    <x v="3"/>
    <x v="7"/>
    <x v="1"/>
  </r>
  <r>
    <s v="TX501221"/>
    <x v="6"/>
    <x v="2"/>
    <n v="56.6"/>
    <x v="1026"/>
    <d v="2025-02-17T00:00:00"/>
    <d v="2025-02-18T00:00:00"/>
    <s v="M"/>
    <x v="3"/>
    <x v="0"/>
    <x v="0"/>
    <x v="3"/>
    <x v="3"/>
    <x v="7"/>
    <x v="1"/>
  </r>
  <r>
    <s v="TX501222"/>
    <x v="3"/>
    <x v="15"/>
    <n v="84.5"/>
    <x v="1027"/>
    <d v="2025-02-17T00:00:00"/>
    <d v="2025-02-20T00:00:00"/>
    <s v="F"/>
    <x v="1"/>
    <x v="4"/>
    <x v="0"/>
    <x v="3"/>
    <x v="2"/>
    <x v="7"/>
    <x v="2"/>
  </r>
  <r>
    <s v="TX501223"/>
    <x v="2"/>
    <x v="9"/>
    <n v="105.4"/>
    <x v="1028"/>
    <d v="2025-02-17T00:00:00"/>
    <d v="2025-02-19T00:00:00"/>
    <s v="F"/>
    <x v="1"/>
    <x v="1"/>
    <x v="0"/>
    <x v="3"/>
    <x v="1"/>
    <x v="7"/>
    <x v="2"/>
  </r>
  <r>
    <s v="TX501224"/>
    <x v="18"/>
    <x v="3"/>
    <n v="39.4"/>
    <x v="1029"/>
    <d v="2025-02-18T00:00:00"/>
    <d v="2025-02-18T00:00:00"/>
    <s v="M"/>
    <x v="1"/>
    <x v="0"/>
    <x v="0"/>
    <x v="37"/>
    <x v="7"/>
    <x v="7"/>
    <x v="1"/>
  </r>
  <r>
    <s v="TX501225"/>
    <x v="19"/>
    <x v="2"/>
    <n v="38"/>
    <x v="717"/>
    <d v="2025-02-18T00:00:00"/>
    <d v="2025-02-21T00:00:00"/>
    <s v="M"/>
    <x v="4"/>
    <x v="1"/>
    <x v="0"/>
    <x v="6"/>
    <x v="2"/>
    <x v="7"/>
    <x v="1"/>
  </r>
  <r>
    <s v="TX501226"/>
    <x v="17"/>
    <x v="12"/>
    <n v="42.5"/>
    <x v="393"/>
    <d v="2025-02-18T00:00:00"/>
    <d v="2025-02-20T00:00:00"/>
    <s v=""/>
    <x v="0"/>
    <x v="0"/>
    <x v="0"/>
    <x v="6"/>
    <x v="1"/>
    <x v="7"/>
    <x v="0"/>
  </r>
  <r>
    <s v="TX501227"/>
    <x v="15"/>
    <x v="0"/>
    <n v="62.3"/>
    <x v="1030"/>
    <d v="2025-02-18T00:00:00"/>
    <d v="2025-02-27T00:00:00"/>
    <s v="M"/>
    <x v="0"/>
    <x v="2"/>
    <x v="0"/>
    <x v="6"/>
    <x v="8"/>
    <x v="7"/>
    <x v="1"/>
  </r>
  <r>
    <s v="TX501228"/>
    <x v="6"/>
    <x v="9"/>
    <n v="49.1"/>
    <x v="1031"/>
    <d v="2025-02-18T00:00:00"/>
    <d v="2025-02-20T00:00:00"/>
    <s v="F"/>
    <x v="1"/>
    <x v="2"/>
    <x v="0"/>
    <x v="7"/>
    <x v="1"/>
    <x v="7"/>
    <x v="2"/>
  </r>
  <r>
    <s v="TX501229"/>
    <x v="3"/>
    <x v="1"/>
    <n v="30.5"/>
    <x v="170"/>
    <d v="2025-02-18T00:00:00"/>
    <d v="2025-02-21T00:00:00"/>
    <s v="M"/>
    <x v="0"/>
    <x v="2"/>
    <x v="0"/>
    <x v="8"/>
    <x v="2"/>
    <x v="7"/>
    <x v="1"/>
  </r>
  <r>
    <s v="TX501230"/>
    <x v="2"/>
    <x v="1"/>
    <n v="154.80000000000001"/>
    <x v="141"/>
    <d v="2025-02-18T00:00:00"/>
    <d v="2025-02-21T00:00:00"/>
    <s v="F"/>
    <x v="1"/>
    <x v="4"/>
    <x v="0"/>
    <x v="8"/>
    <x v="2"/>
    <x v="7"/>
    <x v="2"/>
  </r>
  <r>
    <s v="TX501231"/>
    <x v="6"/>
    <x v="0"/>
    <n v="45"/>
    <x v="583"/>
    <d v="2025-02-18T00:00:00"/>
    <d v="2025-02-22T00:00:00"/>
    <s v="M"/>
    <x v="3"/>
    <x v="1"/>
    <x v="0"/>
    <x v="8"/>
    <x v="5"/>
    <x v="7"/>
    <x v="1"/>
  </r>
  <r>
    <s v="TX501232"/>
    <x v="0"/>
    <x v="3"/>
    <n v="15.3"/>
    <x v="1002"/>
    <d v="2025-02-18T00:00:00"/>
    <d v="2025-02-19T00:00:00"/>
    <s v="M"/>
    <x v="0"/>
    <x v="2"/>
    <x v="0"/>
    <x v="8"/>
    <x v="3"/>
    <x v="7"/>
    <x v="1"/>
  </r>
  <r>
    <s v="TX501233"/>
    <x v="2"/>
    <x v="5"/>
    <n v="88.6"/>
    <x v="1032"/>
    <d v="2025-02-18T00:00:00"/>
    <d v="2025-02-21T00:00:00"/>
    <s v="F"/>
    <x v="0"/>
    <x v="4"/>
    <x v="0"/>
    <x v="17"/>
    <x v="2"/>
    <x v="7"/>
    <x v="2"/>
  </r>
  <r>
    <s v="TX501234"/>
    <x v="9"/>
    <x v="1"/>
    <n v="49.7"/>
    <x v="1033"/>
    <d v="2025-02-18T00:00:00"/>
    <d v="2025-02-20T00:00:00"/>
    <s v="O"/>
    <x v="4"/>
    <x v="0"/>
    <x v="0"/>
    <x v="10"/>
    <x v="1"/>
    <x v="7"/>
    <x v="3"/>
  </r>
  <r>
    <s v="TX501235"/>
    <x v="10"/>
    <x v="0"/>
    <n v="29"/>
    <x v="1034"/>
    <d v="2025-02-18T00:00:00"/>
    <d v="2025-02-19T00:00:00"/>
    <s v="M"/>
    <x v="0"/>
    <x v="0"/>
    <x v="0"/>
    <x v="11"/>
    <x v="3"/>
    <x v="7"/>
    <x v="1"/>
  </r>
  <r>
    <s v="TX501236"/>
    <x v="1"/>
    <x v="0"/>
    <n v="60.7"/>
    <x v="1035"/>
    <d v="2025-02-18T00:00:00"/>
    <d v="2025-02-19T00:00:00"/>
    <s v="O"/>
    <x v="0"/>
    <x v="1"/>
    <x v="0"/>
    <x v="11"/>
    <x v="3"/>
    <x v="7"/>
    <x v="3"/>
  </r>
  <r>
    <s v="TX501237"/>
    <x v="17"/>
    <x v="12"/>
    <n v="87.4"/>
    <x v="1036"/>
    <d v="2025-02-18T00:00:00"/>
    <d v="2025-02-20T00:00:00"/>
    <s v=""/>
    <x v="0"/>
    <x v="0"/>
    <x v="0"/>
    <x v="11"/>
    <x v="1"/>
    <x v="7"/>
    <x v="0"/>
  </r>
  <r>
    <s v="TX501238"/>
    <x v="4"/>
    <x v="3"/>
    <n v="44.5"/>
    <x v="1037"/>
    <d v="2025-02-18T00:00:00"/>
    <d v="2025-02-22T00:00:00"/>
    <s v="F"/>
    <x v="2"/>
    <x v="2"/>
    <x v="0"/>
    <x v="19"/>
    <x v="5"/>
    <x v="7"/>
    <x v="2"/>
  </r>
  <r>
    <s v="TX501239"/>
    <x v="2"/>
    <x v="0"/>
    <n v="141"/>
    <x v="1038"/>
    <d v="2025-02-18T00:00:00"/>
    <d v="2025-02-19T00:00:00"/>
    <s v="M"/>
    <x v="4"/>
    <x v="2"/>
    <x v="0"/>
    <x v="19"/>
    <x v="3"/>
    <x v="7"/>
    <x v="1"/>
  </r>
  <r>
    <s v="TX501240"/>
    <x v="0"/>
    <x v="2"/>
    <n v="16.7"/>
    <x v="1039"/>
    <d v="2025-02-18T00:00:00"/>
    <d v="2025-02-26T00:00:00"/>
    <s v="F"/>
    <x v="0"/>
    <x v="0"/>
    <x v="0"/>
    <x v="20"/>
    <x v="9"/>
    <x v="7"/>
    <x v="2"/>
  </r>
  <r>
    <s v="TX501241"/>
    <x v="1"/>
    <x v="1"/>
    <n v="77.5"/>
    <x v="1040"/>
    <d v="2025-02-18T00:00:00"/>
    <d v="2025-02-19T00:00:00"/>
    <s v=""/>
    <x v="2"/>
    <x v="2"/>
    <x v="0"/>
    <x v="13"/>
    <x v="3"/>
    <x v="7"/>
    <x v="0"/>
  </r>
  <r>
    <s v="TX501242"/>
    <x v="2"/>
    <x v="1"/>
    <n v="163"/>
    <x v="1041"/>
    <d v="2025-02-18T00:00:00"/>
    <d v="2025-02-24T00:00:00"/>
    <s v="F"/>
    <x v="4"/>
    <x v="0"/>
    <x v="0"/>
    <x v="21"/>
    <x v="4"/>
    <x v="7"/>
    <x v="2"/>
  </r>
  <r>
    <s v="TX501243"/>
    <x v="4"/>
    <x v="11"/>
    <n v="21.4"/>
    <x v="1042"/>
    <d v="2025-02-18T00:00:00"/>
    <d v="2025-02-21T00:00:00"/>
    <s v="F"/>
    <x v="0"/>
    <x v="0"/>
    <x v="0"/>
    <x v="51"/>
    <x v="2"/>
    <x v="7"/>
    <x v="2"/>
  </r>
  <r>
    <s v="TX501244"/>
    <x v="10"/>
    <x v="5"/>
    <n v="31"/>
    <x v="992"/>
    <d v="2025-02-18T00:00:00"/>
    <d v="2025-02-20T00:00:00"/>
    <s v="F"/>
    <x v="3"/>
    <x v="2"/>
    <x v="0"/>
    <x v="1"/>
    <x v="1"/>
    <x v="7"/>
    <x v="2"/>
  </r>
  <r>
    <s v="TX501245"/>
    <x v="7"/>
    <x v="1"/>
    <n v="34.299999999999997"/>
    <x v="1043"/>
    <d v="2025-02-18T00:00:00"/>
    <d v="2025-02-20T00:00:00"/>
    <s v="F"/>
    <x v="0"/>
    <x v="3"/>
    <x v="0"/>
    <x v="1"/>
    <x v="1"/>
    <x v="7"/>
    <x v="2"/>
  </r>
  <r>
    <s v="TX501246"/>
    <x v="17"/>
    <x v="9"/>
    <n v="48.2"/>
    <x v="1044"/>
    <d v="2025-02-18T00:00:00"/>
    <d v="2025-02-19T00:00:00"/>
    <s v="M"/>
    <x v="1"/>
    <x v="1"/>
    <x v="0"/>
    <x v="2"/>
    <x v="3"/>
    <x v="7"/>
    <x v="1"/>
  </r>
  <r>
    <s v="TX501247"/>
    <x v="10"/>
    <x v="0"/>
    <n v="51.4"/>
    <x v="1045"/>
    <d v="2025-02-18T00:00:00"/>
    <d v="2025-02-19T00:00:00"/>
    <s v="M"/>
    <x v="0"/>
    <x v="0"/>
    <x v="0"/>
    <x v="3"/>
    <x v="3"/>
    <x v="7"/>
    <x v="1"/>
  </r>
  <r>
    <s v="TX501248"/>
    <x v="2"/>
    <x v="9"/>
    <n v="117.2"/>
    <x v="1046"/>
    <d v="2025-02-18T00:00:00"/>
    <d v="2025-02-21T00:00:00"/>
    <s v="F"/>
    <x v="4"/>
    <x v="4"/>
    <x v="0"/>
    <x v="3"/>
    <x v="2"/>
    <x v="7"/>
    <x v="2"/>
  </r>
  <r>
    <s v="TX501249"/>
    <x v="8"/>
    <x v="0"/>
    <n v="38.1"/>
    <x v="220"/>
    <d v="2025-02-18T00:00:00"/>
    <d v="2025-02-18T00:00:00"/>
    <s v="M"/>
    <x v="4"/>
    <x v="1"/>
    <x v="0"/>
    <x v="3"/>
    <x v="7"/>
    <x v="7"/>
    <x v="1"/>
  </r>
  <r>
    <s v="TX501250"/>
    <x v="0"/>
    <x v="1"/>
    <n v="44.1"/>
    <x v="1047"/>
    <d v="2025-02-18T00:00:00"/>
    <d v="2025-02-20T00:00:00"/>
    <s v="F"/>
    <x v="2"/>
    <x v="0"/>
    <x v="0"/>
    <x v="3"/>
    <x v="1"/>
    <x v="7"/>
    <x v="2"/>
  </r>
  <r>
    <s v="TX501251"/>
    <x v="15"/>
    <x v="12"/>
    <n v="80.5"/>
    <x v="310"/>
    <d v="2025-02-18T00:00:00"/>
    <d v="2025-02-23T00:00:00"/>
    <s v="M"/>
    <x v="0"/>
    <x v="0"/>
    <x v="0"/>
    <x v="3"/>
    <x v="0"/>
    <x v="7"/>
    <x v="1"/>
  </r>
  <r>
    <s v="TX501252"/>
    <x v="18"/>
    <x v="12"/>
    <n v="33.6"/>
    <x v="1048"/>
    <d v="2025-02-18T00:00:00"/>
    <d v="2025-02-23T00:00:00"/>
    <s v=""/>
    <x v="0"/>
    <x v="2"/>
    <x v="0"/>
    <x v="3"/>
    <x v="0"/>
    <x v="7"/>
    <x v="0"/>
  </r>
  <r>
    <s v="TX501253"/>
    <x v="9"/>
    <x v="11"/>
    <n v="41.8"/>
    <x v="82"/>
    <d v="2025-02-18T00:00:00"/>
    <d v="2025-02-19T00:00:00"/>
    <s v="F"/>
    <x v="0"/>
    <x v="1"/>
    <x v="0"/>
    <x v="3"/>
    <x v="3"/>
    <x v="7"/>
    <x v="2"/>
  </r>
  <r>
    <s v="TX501254"/>
    <x v="1"/>
    <x v="1"/>
    <n v="106.2"/>
    <x v="230"/>
    <d v="2025-02-18T00:00:00"/>
    <d v="2025-02-18T00:00:00"/>
    <s v="F"/>
    <x v="4"/>
    <x v="2"/>
    <x v="0"/>
    <x v="3"/>
    <x v="7"/>
    <x v="7"/>
    <x v="2"/>
  </r>
  <r>
    <s v="TX501255"/>
    <x v="1"/>
    <x v="1"/>
    <n v="52.6"/>
    <x v="1049"/>
    <d v="2025-02-18T00:00:00"/>
    <d v="2025-02-19T00:00:00"/>
    <s v="F"/>
    <x v="0"/>
    <x v="2"/>
    <x v="0"/>
    <x v="5"/>
    <x v="3"/>
    <x v="7"/>
    <x v="2"/>
  </r>
  <r>
    <s v="TX501256"/>
    <x v="11"/>
    <x v="3"/>
    <n v="68.5"/>
    <x v="1050"/>
    <d v="2025-02-18T00:00:00"/>
    <d v="2025-02-19T00:00:00"/>
    <s v="F"/>
    <x v="1"/>
    <x v="0"/>
    <x v="0"/>
    <x v="5"/>
    <x v="3"/>
    <x v="7"/>
    <x v="2"/>
  </r>
  <r>
    <s v="TX501257"/>
    <x v="1"/>
    <x v="1"/>
    <n v="55.6"/>
    <x v="622"/>
    <d v="2025-02-18T00:00:00"/>
    <d v="2025-02-20T00:00:00"/>
    <s v="M"/>
    <x v="1"/>
    <x v="2"/>
    <x v="0"/>
    <x v="6"/>
    <x v="1"/>
    <x v="7"/>
    <x v="1"/>
  </r>
  <r>
    <s v="TX501258"/>
    <x v="2"/>
    <x v="2"/>
    <n v="134.9"/>
    <x v="1051"/>
    <d v="2025-02-18T00:00:00"/>
    <d v="2025-02-19T00:00:00"/>
    <s v="M"/>
    <x v="1"/>
    <x v="1"/>
    <x v="0"/>
    <x v="6"/>
    <x v="3"/>
    <x v="7"/>
    <x v="1"/>
  </r>
  <r>
    <s v="TX501259"/>
    <x v="10"/>
    <x v="9"/>
    <n v="42.6"/>
    <x v="226"/>
    <d v="2025-02-18T00:00:00"/>
    <d v="2025-02-19T00:00:00"/>
    <s v="M"/>
    <x v="0"/>
    <x v="0"/>
    <x v="0"/>
    <x v="6"/>
    <x v="3"/>
    <x v="7"/>
    <x v="1"/>
  </r>
  <r>
    <s v="TX501260"/>
    <x v="7"/>
    <x v="9"/>
    <n v="60.6"/>
    <x v="1052"/>
    <d v="2025-02-18T00:00:00"/>
    <d v="2025-02-20T00:00:00"/>
    <s v="M"/>
    <x v="4"/>
    <x v="0"/>
    <x v="0"/>
    <x v="6"/>
    <x v="1"/>
    <x v="7"/>
    <x v="1"/>
  </r>
  <r>
    <s v="TX501261"/>
    <x v="8"/>
    <x v="1"/>
    <n v="43.5"/>
    <x v="1053"/>
    <d v="2025-02-18T00:00:00"/>
    <d v="2025-02-19T00:00:00"/>
    <s v="M"/>
    <x v="4"/>
    <x v="0"/>
    <x v="0"/>
    <x v="7"/>
    <x v="3"/>
    <x v="7"/>
    <x v="1"/>
  </r>
  <r>
    <s v="TX501262"/>
    <x v="2"/>
    <x v="1"/>
    <n v="187.1"/>
    <x v="1054"/>
    <d v="2025-02-18T00:00:00"/>
    <d v="2025-02-19T00:00:00"/>
    <s v="M"/>
    <x v="1"/>
    <x v="2"/>
    <x v="0"/>
    <x v="8"/>
    <x v="3"/>
    <x v="7"/>
    <x v="1"/>
  </r>
  <r>
    <s v="TX501263"/>
    <x v="9"/>
    <x v="2"/>
    <n v="32"/>
    <x v="854"/>
    <d v="2025-02-18T00:00:00"/>
    <d v="2025-02-20T00:00:00"/>
    <s v="M"/>
    <x v="0"/>
    <x v="0"/>
    <x v="0"/>
    <x v="8"/>
    <x v="1"/>
    <x v="7"/>
    <x v="1"/>
  </r>
  <r>
    <s v="TX501264"/>
    <x v="9"/>
    <x v="1"/>
    <n v="110.8"/>
    <x v="1055"/>
    <d v="2025-02-18T00:00:00"/>
    <d v="2025-02-18T00:00:00"/>
    <s v="M"/>
    <x v="0"/>
    <x v="2"/>
    <x v="0"/>
    <x v="8"/>
    <x v="7"/>
    <x v="7"/>
    <x v="1"/>
  </r>
  <r>
    <s v="TX501265"/>
    <x v="10"/>
    <x v="15"/>
    <n v="36.1"/>
    <x v="1056"/>
    <d v="2025-02-18T00:00:00"/>
    <d v="2025-02-21T00:00:00"/>
    <s v="F"/>
    <x v="0"/>
    <x v="1"/>
    <x v="0"/>
    <x v="8"/>
    <x v="2"/>
    <x v="7"/>
    <x v="2"/>
  </r>
  <r>
    <s v="TX501266"/>
    <x v="0"/>
    <x v="0"/>
    <n v="24.1"/>
    <x v="1057"/>
    <d v="2025-02-18T00:00:00"/>
    <d v="2025-02-20T00:00:00"/>
    <s v="F"/>
    <x v="4"/>
    <x v="2"/>
    <x v="0"/>
    <x v="8"/>
    <x v="1"/>
    <x v="7"/>
    <x v="2"/>
  </r>
  <r>
    <s v="TX501267"/>
    <x v="19"/>
    <x v="2"/>
    <n v="30.5"/>
    <x v="1058"/>
    <d v="2025-02-18T00:00:00"/>
    <d v="2025-02-20T00:00:00"/>
    <s v="M"/>
    <x v="1"/>
    <x v="0"/>
    <x v="0"/>
    <x v="8"/>
    <x v="1"/>
    <x v="7"/>
    <x v="1"/>
  </r>
  <r>
    <s v="TX501268"/>
    <x v="18"/>
    <x v="13"/>
    <n v="68.3"/>
    <x v="1059"/>
    <d v="2025-02-18T00:00:00"/>
    <d v="2025-02-21T00:00:00"/>
    <s v="M"/>
    <x v="0"/>
    <x v="0"/>
    <x v="0"/>
    <x v="8"/>
    <x v="2"/>
    <x v="7"/>
    <x v="1"/>
  </r>
  <r>
    <s v="TX501269"/>
    <x v="7"/>
    <x v="2"/>
    <n v="43.3"/>
    <x v="1060"/>
    <d v="2025-02-18T00:00:00"/>
    <d v="2025-02-22T00:00:00"/>
    <s v="F"/>
    <x v="0"/>
    <x v="0"/>
    <x v="0"/>
    <x v="17"/>
    <x v="5"/>
    <x v="7"/>
    <x v="2"/>
  </r>
  <r>
    <s v="TX501270"/>
    <x v="3"/>
    <x v="0"/>
    <n v="101.7"/>
    <x v="530"/>
    <d v="2025-02-18T00:00:00"/>
    <d v="2025-02-21T00:00:00"/>
    <s v="F"/>
    <x v="0"/>
    <x v="1"/>
    <x v="0"/>
    <x v="17"/>
    <x v="2"/>
    <x v="7"/>
    <x v="2"/>
  </r>
  <r>
    <s v="TX501271"/>
    <x v="11"/>
    <x v="1"/>
    <n v="54.2"/>
    <x v="1061"/>
    <d v="2025-02-18T00:00:00"/>
    <d v="2025-02-19T00:00:00"/>
    <s v="F"/>
    <x v="0"/>
    <x v="1"/>
    <x v="0"/>
    <x v="17"/>
    <x v="3"/>
    <x v="7"/>
    <x v="2"/>
  </r>
  <r>
    <s v="TX501272"/>
    <x v="16"/>
    <x v="1"/>
    <n v="51"/>
    <x v="1062"/>
    <d v="2025-02-18T00:00:00"/>
    <d v="2025-02-18T00:00:00"/>
    <s v="M"/>
    <x v="1"/>
    <x v="0"/>
    <x v="0"/>
    <x v="26"/>
    <x v="7"/>
    <x v="7"/>
    <x v="1"/>
  </r>
  <r>
    <s v="TX501273"/>
    <x v="4"/>
    <x v="1"/>
    <n v="23.1"/>
    <x v="1063"/>
    <d v="2025-02-18T00:00:00"/>
    <d v="2025-02-21T00:00:00"/>
    <s v="M"/>
    <x v="1"/>
    <x v="0"/>
    <x v="0"/>
    <x v="10"/>
    <x v="2"/>
    <x v="7"/>
    <x v="1"/>
  </r>
  <r>
    <s v="TX501274"/>
    <x v="12"/>
    <x v="13"/>
    <n v="60.1"/>
    <x v="116"/>
    <d v="2025-02-18T00:00:00"/>
    <d v="2025-02-18T00:00:00"/>
    <s v="F"/>
    <x v="3"/>
    <x v="0"/>
    <x v="0"/>
    <x v="11"/>
    <x v="7"/>
    <x v="7"/>
    <x v="2"/>
  </r>
  <r>
    <s v="TX501275"/>
    <x v="2"/>
    <x v="3"/>
    <n v="87.5"/>
    <x v="1064"/>
    <d v="2025-02-18T00:00:00"/>
    <d v="2025-02-20T00:00:00"/>
    <s v="F"/>
    <x v="0"/>
    <x v="1"/>
    <x v="0"/>
    <x v="11"/>
    <x v="1"/>
    <x v="7"/>
    <x v="2"/>
  </r>
  <r>
    <s v="TX501276"/>
    <x v="1"/>
    <x v="2"/>
    <n v="51"/>
    <x v="1065"/>
    <d v="2025-02-18T00:00:00"/>
    <d v="2025-02-19T00:00:00"/>
    <s v="F"/>
    <x v="1"/>
    <x v="0"/>
    <x v="0"/>
    <x v="11"/>
    <x v="3"/>
    <x v="7"/>
    <x v="2"/>
  </r>
  <r>
    <s v="TX501277"/>
    <x v="8"/>
    <x v="12"/>
    <n v="19.2"/>
    <x v="714"/>
    <d v="2025-02-18T00:00:00"/>
    <d v="2025-02-20T00:00:00"/>
    <s v="F"/>
    <x v="0"/>
    <x v="0"/>
    <x v="0"/>
    <x v="11"/>
    <x v="1"/>
    <x v="7"/>
    <x v="2"/>
  </r>
  <r>
    <s v="TX501278"/>
    <x v="5"/>
    <x v="8"/>
    <n v="26.5"/>
    <x v="1066"/>
    <d v="2025-02-18T00:00:00"/>
    <d v="2025-02-19T00:00:00"/>
    <s v=""/>
    <x v="3"/>
    <x v="2"/>
    <x v="0"/>
    <x v="11"/>
    <x v="3"/>
    <x v="7"/>
    <x v="0"/>
  </r>
  <r>
    <s v="TX501279"/>
    <x v="2"/>
    <x v="1"/>
    <n v="220.3"/>
    <x v="1067"/>
    <d v="2025-02-18T00:00:00"/>
    <d v="2025-02-19T00:00:00"/>
    <s v="F"/>
    <x v="1"/>
    <x v="4"/>
    <x v="0"/>
    <x v="53"/>
    <x v="3"/>
    <x v="7"/>
    <x v="2"/>
  </r>
  <r>
    <s v="TX501280"/>
    <x v="8"/>
    <x v="2"/>
    <n v="45.7"/>
    <x v="1068"/>
    <d v="2025-02-18T00:00:00"/>
    <d v="2025-02-19T00:00:00"/>
    <s v="F"/>
    <x v="4"/>
    <x v="0"/>
    <x v="0"/>
    <x v="30"/>
    <x v="3"/>
    <x v="7"/>
    <x v="2"/>
  </r>
  <r>
    <s v="TX501281"/>
    <x v="5"/>
    <x v="9"/>
    <n v="47.1"/>
    <x v="1069"/>
    <d v="2025-02-18T00:00:00"/>
    <d v="2025-02-22T00:00:00"/>
    <s v="F"/>
    <x v="3"/>
    <x v="0"/>
    <x v="0"/>
    <x v="13"/>
    <x v="5"/>
    <x v="7"/>
    <x v="2"/>
  </r>
  <r>
    <s v="TX501282"/>
    <x v="1"/>
    <x v="9"/>
    <n v="81.7"/>
    <x v="856"/>
    <d v="2025-02-18T00:00:00"/>
    <d v="2025-02-19T00:00:00"/>
    <s v="F"/>
    <x v="0"/>
    <x v="2"/>
    <x v="0"/>
    <x v="21"/>
    <x v="3"/>
    <x v="7"/>
    <x v="2"/>
  </r>
  <r>
    <s v="TX501283"/>
    <x v="6"/>
    <x v="7"/>
    <n v="97.8"/>
    <x v="1070"/>
    <d v="2025-02-18T00:00:00"/>
    <d v="2025-02-18T00:00:00"/>
    <s v="M"/>
    <x v="1"/>
    <x v="1"/>
    <x v="0"/>
    <x v="21"/>
    <x v="7"/>
    <x v="7"/>
    <x v="1"/>
  </r>
  <r>
    <s v="TX501284"/>
    <x v="6"/>
    <x v="2"/>
    <n v="42.4"/>
    <x v="1071"/>
    <d v="2025-02-18T00:00:00"/>
    <d v="2025-02-19T00:00:00"/>
    <s v="F"/>
    <x v="0"/>
    <x v="2"/>
    <x v="0"/>
    <x v="54"/>
    <x v="3"/>
    <x v="7"/>
    <x v="2"/>
  </r>
  <r>
    <s v="TX501285"/>
    <x v="2"/>
    <x v="7"/>
    <n v="74.5"/>
    <x v="1072"/>
    <d v="2025-02-18T00:00:00"/>
    <d v="2025-02-19T00:00:00"/>
    <s v="M"/>
    <x v="2"/>
    <x v="1"/>
    <x v="0"/>
    <x v="1"/>
    <x v="3"/>
    <x v="7"/>
    <x v="1"/>
  </r>
  <r>
    <s v="TX501286"/>
    <x v="17"/>
    <x v="13"/>
    <n v="47.4"/>
    <x v="1073"/>
    <d v="2025-02-18T00:00:00"/>
    <d v="2025-02-19T00:00:00"/>
    <s v="M"/>
    <x v="1"/>
    <x v="0"/>
    <x v="0"/>
    <x v="1"/>
    <x v="3"/>
    <x v="7"/>
    <x v="1"/>
  </r>
  <r>
    <s v="TX501287"/>
    <x v="14"/>
    <x v="2"/>
    <n v="17.3"/>
    <x v="1074"/>
    <d v="2025-02-19T00:00:00"/>
    <d v="2025-02-22T00:00:00"/>
    <s v="M"/>
    <x v="2"/>
    <x v="2"/>
    <x v="0"/>
    <x v="1"/>
    <x v="2"/>
    <x v="7"/>
    <x v="1"/>
  </r>
  <r>
    <s v="TX501288"/>
    <x v="12"/>
    <x v="12"/>
    <n v="77.900000000000006"/>
    <x v="1075"/>
    <d v="2025-02-19T00:00:00"/>
    <d v="2025-02-20T00:00:00"/>
    <s v="M"/>
    <x v="1"/>
    <x v="0"/>
    <x v="0"/>
    <x v="2"/>
    <x v="3"/>
    <x v="7"/>
    <x v="1"/>
  </r>
  <r>
    <s v="TX501289"/>
    <x v="8"/>
    <x v="0"/>
    <n v="29.1"/>
    <x v="1076"/>
    <d v="2025-02-19T00:00:00"/>
    <d v="2025-02-22T00:00:00"/>
    <s v="M"/>
    <x v="0"/>
    <x v="2"/>
    <x v="0"/>
    <x v="50"/>
    <x v="2"/>
    <x v="7"/>
    <x v="1"/>
  </r>
  <r>
    <s v="TX501290"/>
    <x v="8"/>
    <x v="0"/>
    <n v="49"/>
    <x v="268"/>
    <d v="2025-02-19T00:00:00"/>
    <d v="2025-02-20T00:00:00"/>
    <s v="M"/>
    <x v="1"/>
    <x v="0"/>
    <x v="0"/>
    <x v="3"/>
    <x v="3"/>
    <x v="7"/>
    <x v="1"/>
  </r>
  <r>
    <s v="TX501291"/>
    <x v="8"/>
    <x v="13"/>
    <n v="21.1"/>
    <x v="1077"/>
    <d v="2025-02-19T00:00:00"/>
    <d v="2025-02-26T00:00:00"/>
    <s v="M"/>
    <x v="0"/>
    <x v="2"/>
    <x v="0"/>
    <x v="3"/>
    <x v="6"/>
    <x v="7"/>
    <x v="1"/>
  </r>
  <r>
    <s v="TX501292"/>
    <x v="4"/>
    <x v="10"/>
    <n v="36.9"/>
    <x v="1078"/>
    <d v="2025-02-19T00:00:00"/>
    <d v="2025-02-19T00:00:00"/>
    <s v="F"/>
    <x v="0"/>
    <x v="0"/>
    <x v="0"/>
    <x v="3"/>
    <x v="7"/>
    <x v="7"/>
    <x v="2"/>
  </r>
  <r>
    <s v="TX501293"/>
    <x v="1"/>
    <x v="7"/>
    <n v="92.6"/>
    <x v="1079"/>
    <d v="2025-02-19T00:00:00"/>
    <d v="2025-02-24T00:00:00"/>
    <s v="M"/>
    <x v="4"/>
    <x v="2"/>
    <x v="0"/>
    <x v="3"/>
    <x v="0"/>
    <x v="7"/>
    <x v="1"/>
  </r>
  <r>
    <s v="TX501294"/>
    <x v="10"/>
    <x v="1"/>
    <n v="38"/>
    <x v="998"/>
    <d v="2025-02-19T00:00:00"/>
    <d v="2025-02-20T00:00:00"/>
    <s v="M"/>
    <x v="1"/>
    <x v="1"/>
    <x v="0"/>
    <x v="3"/>
    <x v="3"/>
    <x v="7"/>
    <x v="1"/>
  </r>
  <r>
    <s v="TX501295"/>
    <x v="5"/>
    <x v="2"/>
    <n v="54.8"/>
    <x v="1080"/>
    <d v="2025-02-19T00:00:00"/>
    <d v="2025-02-23T00:00:00"/>
    <s v=""/>
    <x v="0"/>
    <x v="1"/>
    <x v="0"/>
    <x v="3"/>
    <x v="5"/>
    <x v="7"/>
    <x v="0"/>
  </r>
  <r>
    <s v="TX501296"/>
    <x v="10"/>
    <x v="4"/>
    <n v="56.8"/>
    <x v="1081"/>
    <d v="2025-02-19T00:00:00"/>
    <d v="2025-02-21T00:00:00"/>
    <s v="M"/>
    <x v="1"/>
    <x v="0"/>
    <x v="0"/>
    <x v="3"/>
    <x v="1"/>
    <x v="7"/>
    <x v="1"/>
  </r>
  <r>
    <s v="TX501297"/>
    <x v="11"/>
    <x v="40"/>
    <n v="47.2"/>
    <x v="1082"/>
    <d v="2025-02-19T00:00:00"/>
    <d v="2025-02-22T00:00:00"/>
    <s v="F"/>
    <x v="1"/>
    <x v="0"/>
    <x v="0"/>
    <x v="3"/>
    <x v="2"/>
    <x v="7"/>
    <x v="2"/>
  </r>
  <r>
    <s v="TX501298"/>
    <x v="7"/>
    <x v="13"/>
    <n v="45.1"/>
    <x v="1083"/>
    <d v="2025-02-19T00:00:00"/>
    <d v="2025-02-20T00:00:00"/>
    <s v="F"/>
    <x v="2"/>
    <x v="0"/>
    <x v="0"/>
    <x v="43"/>
    <x v="3"/>
    <x v="7"/>
    <x v="2"/>
  </r>
  <r>
    <s v="TX501299"/>
    <x v="4"/>
    <x v="4"/>
    <n v="25.2"/>
    <x v="982"/>
    <d v="2025-02-19T00:00:00"/>
    <d v="2025-02-24T00:00:00"/>
    <s v="F"/>
    <x v="2"/>
    <x v="0"/>
    <x v="0"/>
    <x v="16"/>
    <x v="0"/>
    <x v="7"/>
    <x v="2"/>
  </r>
  <r>
    <s v="TX501300"/>
    <x v="8"/>
    <x v="0"/>
    <n v="22"/>
    <x v="1084"/>
    <d v="2025-02-19T00:00:00"/>
    <d v="2025-02-20T00:00:00"/>
    <s v="F"/>
    <x v="0"/>
    <x v="0"/>
    <x v="0"/>
    <x v="5"/>
    <x v="3"/>
    <x v="7"/>
    <x v="2"/>
  </r>
  <r>
    <s v="TX501301"/>
    <x v="6"/>
    <x v="1"/>
    <n v="42.2"/>
    <x v="533"/>
    <d v="2025-02-19T00:00:00"/>
    <d v="2025-02-20T00:00:00"/>
    <s v="F"/>
    <x v="1"/>
    <x v="1"/>
    <x v="0"/>
    <x v="23"/>
    <x v="3"/>
    <x v="7"/>
    <x v="2"/>
  </r>
  <r>
    <s v="TX501302"/>
    <x v="13"/>
    <x v="2"/>
    <n v="20.5"/>
    <x v="1085"/>
    <d v="2025-02-19T00:00:00"/>
    <d v="2025-02-20T00:00:00"/>
    <s v="M"/>
    <x v="0"/>
    <x v="1"/>
    <x v="0"/>
    <x v="6"/>
    <x v="3"/>
    <x v="7"/>
    <x v="1"/>
  </r>
  <r>
    <s v="TX501303"/>
    <x v="2"/>
    <x v="0"/>
    <n v="190.4"/>
    <x v="1086"/>
    <d v="2025-02-19T00:00:00"/>
    <d v="2025-02-24T00:00:00"/>
    <s v="M"/>
    <x v="1"/>
    <x v="4"/>
    <x v="0"/>
    <x v="6"/>
    <x v="0"/>
    <x v="7"/>
    <x v="1"/>
  </r>
  <r>
    <s v="TX501304"/>
    <x v="2"/>
    <x v="0"/>
    <n v="121.9"/>
    <x v="1087"/>
    <d v="2025-02-19T00:00:00"/>
    <d v="2025-02-21T00:00:00"/>
    <s v="F"/>
    <x v="1"/>
    <x v="2"/>
    <x v="0"/>
    <x v="6"/>
    <x v="1"/>
    <x v="7"/>
    <x v="2"/>
  </r>
  <r>
    <s v="TX501305"/>
    <x v="2"/>
    <x v="13"/>
    <n v="149.19999999999999"/>
    <x v="1088"/>
    <d v="2025-02-19T00:00:00"/>
    <d v="2025-02-20T00:00:00"/>
    <s v="F"/>
    <x v="2"/>
    <x v="2"/>
    <x v="0"/>
    <x v="7"/>
    <x v="3"/>
    <x v="7"/>
    <x v="2"/>
  </r>
  <r>
    <s v="TX501306"/>
    <x v="2"/>
    <x v="0"/>
    <n v="54.1"/>
    <x v="1089"/>
    <d v="2025-02-19T00:00:00"/>
    <d v="2025-02-28T00:00:00"/>
    <s v="F"/>
    <x v="2"/>
    <x v="2"/>
    <x v="0"/>
    <x v="7"/>
    <x v="8"/>
    <x v="7"/>
    <x v="2"/>
  </r>
  <r>
    <s v="TX501307"/>
    <x v="5"/>
    <x v="1"/>
    <n v="27.4"/>
    <x v="1090"/>
    <d v="2025-02-19T00:00:00"/>
    <d v="2025-02-21T00:00:00"/>
    <s v="M"/>
    <x v="1"/>
    <x v="0"/>
    <x v="0"/>
    <x v="8"/>
    <x v="1"/>
    <x v="7"/>
    <x v="1"/>
  </r>
  <r>
    <s v="TX501308"/>
    <x v="0"/>
    <x v="15"/>
    <n v="30.4"/>
    <x v="1091"/>
    <d v="2025-02-19T00:00:00"/>
    <d v="2025-02-20T00:00:00"/>
    <s v="F"/>
    <x v="0"/>
    <x v="2"/>
    <x v="0"/>
    <x v="8"/>
    <x v="3"/>
    <x v="7"/>
    <x v="2"/>
  </r>
  <r>
    <s v="TX501309"/>
    <x v="12"/>
    <x v="2"/>
    <n v="46.2"/>
    <x v="209"/>
    <d v="2025-02-19T00:00:00"/>
    <d v="2025-02-21T00:00:00"/>
    <s v="M"/>
    <x v="2"/>
    <x v="1"/>
    <x v="0"/>
    <x v="17"/>
    <x v="1"/>
    <x v="7"/>
    <x v="1"/>
  </r>
  <r>
    <s v="TX501310"/>
    <x v="7"/>
    <x v="8"/>
    <n v="78.599999999999994"/>
    <x v="1092"/>
    <d v="2025-02-19T00:00:00"/>
    <d v="2025-02-23T00:00:00"/>
    <s v="M"/>
    <x v="3"/>
    <x v="0"/>
    <x v="0"/>
    <x v="17"/>
    <x v="5"/>
    <x v="7"/>
    <x v="1"/>
  </r>
  <r>
    <s v="TX501311"/>
    <x v="17"/>
    <x v="7"/>
    <n v="25.9"/>
    <x v="155"/>
    <d v="2025-02-19T00:00:00"/>
    <d v="2025-02-25T00:00:00"/>
    <s v="M"/>
    <x v="4"/>
    <x v="0"/>
    <x v="0"/>
    <x v="9"/>
    <x v="4"/>
    <x v="7"/>
    <x v="1"/>
  </r>
  <r>
    <s v="TX501312"/>
    <x v="6"/>
    <x v="0"/>
    <n v="134.80000000000001"/>
    <x v="1093"/>
    <d v="2025-02-19T00:00:00"/>
    <d v="2025-02-21T00:00:00"/>
    <s v="M"/>
    <x v="2"/>
    <x v="2"/>
    <x v="0"/>
    <x v="9"/>
    <x v="1"/>
    <x v="7"/>
    <x v="1"/>
  </r>
  <r>
    <s v="TX501313"/>
    <x v="15"/>
    <x v="9"/>
    <n v="43.1"/>
    <x v="1094"/>
    <d v="2025-02-19T00:00:00"/>
    <d v="2025-02-21T00:00:00"/>
    <s v="F"/>
    <x v="0"/>
    <x v="0"/>
    <x v="0"/>
    <x v="11"/>
    <x v="1"/>
    <x v="7"/>
    <x v="2"/>
  </r>
  <r>
    <s v="TX501314"/>
    <x v="2"/>
    <x v="1"/>
    <n v="215.6"/>
    <x v="348"/>
    <d v="2025-02-19T00:00:00"/>
    <d v="2025-02-20T00:00:00"/>
    <s v="F"/>
    <x v="2"/>
    <x v="0"/>
    <x v="0"/>
    <x v="18"/>
    <x v="3"/>
    <x v="7"/>
    <x v="2"/>
  </r>
  <r>
    <s v="TX501315"/>
    <x v="6"/>
    <x v="1"/>
    <n v="80.7"/>
    <x v="1095"/>
    <d v="2025-02-19T00:00:00"/>
    <d v="2025-02-22T00:00:00"/>
    <s v="F"/>
    <x v="3"/>
    <x v="0"/>
    <x v="0"/>
    <x v="18"/>
    <x v="2"/>
    <x v="7"/>
    <x v="2"/>
  </r>
  <r>
    <s v="TX501316"/>
    <x v="10"/>
    <x v="3"/>
    <n v="20.6"/>
    <x v="1096"/>
    <d v="2025-02-19T00:00:00"/>
    <d v="2025-02-24T00:00:00"/>
    <s v=""/>
    <x v="2"/>
    <x v="1"/>
    <x v="0"/>
    <x v="19"/>
    <x v="0"/>
    <x v="7"/>
    <x v="0"/>
  </r>
  <r>
    <s v="TX501317"/>
    <x v="12"/>
    <x v="2"/>
    <n v="37.1"/>
    <x v="1097"/>
    <d v="2025-02-19T00:00:00"/>
    <d v="2025-02-20T00:00:00"/>
    <s v="F"/>
    <x v="0"/>
    <x v="0"/>
    <x v="0"/>
    <x v="52"/>
    <x v="3"/>
    <x v="7"/>
    <x v="2"/>
  </r>
  <r>
    <s v="TX501318"/>
    <x v="12"/>
    <x v="0"/>
    <n v="104.8"/>
    <x v="661"/>
    <d v="2025-02-20T00:00:00"/>
    <d v="2025-02-22T00:00:00"/>
    <s v="F"/>
    <x v="0"/>
    <x v="0"/>
    <x v="0"/>
    <x v="13"/>
    <x v="1"/>
    <x v="7"/>
    <x v="2"/>
  </r>
  <r>
    <s v="TX501319"/>
    <x v="8"/>
    <x v="1"/>
    <n v="59"/>
    <x v="1098"/>
    <d v="2025-02-20T00:00:00"/>
    <d v="2025-02-21T00:00:00"/>
    <s v="M"/>
    <x v="1"/>
    <x v="0"/>
    <x v="0"/>
    <x v="21"/>
    <x v="3"/>
    <x v="7"/>
    <x v="1"/>
  </r>
  <r>
    <s v="TX501320"/>
    <x v="8"/>
    <x v="1"/>
    <n v="32.299999999999997"/>
    <x v="1099"/>
    <d v="2025-02-20T00:00:00"/>
    <d v="2025-02-21T00:00:00"/>
    <s v="M"/>
    <x v="0"/>
    <x v="2"/>
    <x v="0"/>
    <x v="21"/>
    <x v="3"/>
    <x v="7"/>
    <x v="1"/>
  </r>
  <r>
    <s v="TX501321"/>
    <x v="8"/>
    <x v="12"/>
    <n v="28.9"/>
    <x v="446"/>
    <d v="2025-02-20T00:00:00"/>
    <d v="2025-02-27T00:00:00"/>
    <s v="M"/>
    <x v="0"/>
    <x v="0"/>
    <x v="0"/>
    <x v="1"/>
    <x v="6"/>
    <x v="7"/>
    <x v="1"/>
  </r>
  <r>
    <s v="TX501322"/>
    <x v="0"/>
    <x v="1"/>
    <n v="29.6"/>
    <x v="1100"/>
    <d v="2025-02-20T00:00:00"/>
    <d v="2025-02-22T00:00:00"/>
    <s v="M"/>
    <x v="0"/>
    <x v="0"/>
    <x v="0"/>
    <x v="1"/>
    <x v="1"/>
    <x v="7"/>
    <x v="1"/>
  </r>
  <r>
    <s v="TX501323"/>
    <x v="0"/>
    <x v="9"/>
    <n v="29.4"/>
    <x v="926"/>
    <d v="2025-02-20T00:00:00"/>
    <d v="2025-02-23T00:00:00"/>
    <s v="F"/>
    <x v="0"/>
    <x v="0"/>
    <x v="0"/>
    <x v="1"/>
    <x v="2"/>
    <x v="7"/>
    <x v="2"/>
  </r>
  <r>
    <s v="TX501324"/>
    <x v="1"/>
    <x v="1"/>
    <n v="40.6"/>
    <x v="1101"/>
    <d v="2025-02-20T00:00:00"/>
    <d v="2025-02-21T00:00:00"/>
    <s v="M"/>
    <x v="0"/>
    <x v="4"/>
    <x v="0"/>
    <x v="2"/>
    <x v="3"/>
    <x v="7"/>
    <x v="1"/>
  </r>
  <r>
    <s v="TX501325"/>
    <x v="0"/>
    <x v="2"/>
    <n v="32.5"/>
    <x v="647"/>
    <d v="2025-02-20T00:00:00"/>
    <d v="2025-02-21T00:00:00"/>
    <s v="M"/>
    <x v="3"/>
    <x v="2"/>
    <x v="0"/>
    <x v="22"/>
    <x v="3"/>
    <x v="7"/>
    <x v="1"/>
  </r>
  <r>
    <s v="TX501326"/>
    <x v="15"/>
    <x v="0"/>
    <n v="26.2"/>
    <x v="1102"/>
    <d v="2025-02-20T00:00:00"/>
    <d v="2025-02-22T00:00:00"/>
    <s v="M"/>
    <x v="2"/>
    <x v="0"/>
    <x v="0"/>
    <x v="55"/>
    <x v="1"/>
    <x v="7"/>
    <x v="1"/>
  </r>
  <r>
    <s v="TX501327"/>
    <x v="10"/>
    <x v="17"/>
    <n v="44"/>
    <x v="1103"/>
    <d v="2025-02-20T00:00:00"/>
    <d v="2025-02-26T00:00:00"/>
    <s v="M"/>
    <x v="4"/>
    <x v="0"/>
    <x v="0"/>
    <x v="3"/>
    <x v="4"/>
    <x v="7"/>
    <x v="1"/>
  </r>
  <r>
    <s v="TX501328"/>
    <x v="7"/>
    <x v="12"/>
    <n v="65.599999999999994"/>
    <x v="1104"/>
    <d v="2025-02-20T00:00:00"/>
    <d v="2025-02-21T00:00:00"/>
    <s v="F"/>
    <x v="1"/>
    <x v="1"/>
    <x v="0"/>
    <x v="3"/>
    <x v="3"/>
    <x v="7"/>
    <x v="2"/>
  </r>
  <r>
    <s v="TX501329"/>
    <x v="5"/>
    <x v="4"/>
    <n v="32.6"/>
    <x v="1105"/>
    <d v="2025-02-20T00:00:00"/>
    <d v="2025-02-21T00:00:00"/>
    <s v="M"/>
    <x v="4"/>
    <x v="0"/>
    <x v="0"/>
    <x v="3"/>
    <x v="3"/>
    <x v="7"/>
    <x v="1"/>
  </r>
  <r>
    <s v="TX501330"/>
    <x v="16"/>
    <x v="1"/>
    <n v="88.7"/>
    <x v="633"/>
    <d v="2025-02-20T00:00:00"/>
    <d v="2025-02-21T00:00:00"/>
    <s v=""/>
    <x v="3"/>
    <x v="2"/>
    <x v="0"/>
    <x v="3"/>
    <x v="3"/>
    <x v="7"/>
    <x v="0"/>
  </r>
  <r>
    <s v="TX501331"/>
    <x v="4"/>
    <x v="1"/>
    <n v="21.3"/>
    <x v="440"/>
    <d v="2025-02-20T00:00:00"/>
    <d v="2025-02-21T00:00:00"/>
    <s v="M"/>
    <x v="0"/>
    <x v="0"/>
    <x v="0"/>
    <x v="3"/>
    <x v="3"/>
    <x v="7"/>
    <x v="1"/>
  </r>
  <r>
    <s v="TX501332"/>
    <x v="4"/>
    <x v="13"/>
    <n v="50.6"/>
    <x v="80"/>
    <d v="2025-02-20T00:00:00"/>
    <d v="2025-02-24T00:00:00"/>
    <s v="F"/>
    <x v="2"/>
    <x v="0"/>
    <x v="0"/>
    <x v="3"/>
    <x v="5"/>
    <x v="7"/>
    <x v="2"/>
  </r>
  <r>
    <s v="TX501333"/>
    <x v="9"/>
    <x v="38"/>
    <n v="86.9"/>
    <x v="1106"/>
    <d v="2025-02-20T00:00:00"/>
    <d v="2025-02-23T00:00:00"/>
    <s v="F"/>
    <x v="0"/>
    <x v="1"/>
    <x v="0"/>
    <x v="3"/>
    <x v="2"/>
    <x v="7"/>
    <x v="2"/>
  </r>
  <r>
    <s v="TX501334"/>
    <x v="11"/>
    <x v="2"/>
    <n v="31.8"/>
    <x v="233"/>
    <d v="2025-02-20T00:00:00"/>
    <d v="2025-02-22T00:00:00"/>
    <s v="M"/>
    <x v="0"/>
    <x v="2"/>
    <x v="0"/>
    <x v="3"/>
    <x v="1"/>
    <x v="7"/>
    <x v="1"/>
  </r>
  <r>
    <s v="TX501335"/>
    <x v="8"/>
    <x v="0"/>
    <n v="19"/>
    <x v="134"/>
    <d v="2025-02-20T00:00:00"/>
    <d v="2025-02-21T00:00:00"/>
    <s v="F"/>
    <x v="0"/>
    <x v="2"/>
    <x v="0"/>
    <x v="3"/>
    <x v="3"/>
    <x v="7"/>
    <x v="2"/>
  </r>
  <r>
    <s v="TX501336"/>
    <x v="5"/>
    <x v="0"/>
    <n v="54.5"/>
    <x v="1107"/>
    <d v="2025-02-20T00:00:00"/>
    <d v="2025-02-22T00:00:00"/>
    <s v="M"/>
    <x v="0"/>
    <x v="0"/>
    <x v="0"/>
    <x v="3"/>
    <x v="1"/>
    <x v="7"/>
    <x v="1"/>
  </r>
  <r>
    <s v="TX501337"/>
    <x v="9"/>
    <x v="9"/>
    <n v="68.900000000000006"/>
    <x v="1108"/>
    <d v="2025-02-20T00:00:00"/>
    <d v="2025-02-22T00:00:00"/>
    <s v="M"/>
    <x v="4"/>
    <x v="1"/>
    <x v="0"/>
    <x v="3"/>
    <x v="1"/>
    <x v="7"/>
    <x v="1"/>
  </r>
  <r>
    <s v="TX501338"/>
    <x v="6"/>
    <x v="2"/>
    <n v="84"/>
    <x v="816"/>
    <d v="2025-02-20T00:00:00"/>
    <d v="2025-02-21T00:00:00"/>
    <s v="M"/>
    <x v="1"/>
    <x v="4"/>
    <x v="0"/>
    <x v="16"/>
    <x v="3"/>
    <x v="7"/>
    <x v="1"/>
  </r>
  <r>
    <s v="TX501339"/>
    <x v="15"/>
    <x v="8"/>
    <n v="23.1"/>
    <x v="827"/>
    <d v="2025-02-20T00:00:00"/>
    <d v="2025-02-25T00:00:00"/>
    <s v="M"/>
    <x v="0"/>
    <x v="2"/>
    <x v="0"/>
    <x v="23"/>
    <x v="0"/>
    <x v="7"/>
    <x v="1"/>
  </r>
  <r>
    <s v="TX501340"/>
    <x v="7"/>
    <x v="1"/>
    <n v="62.4"/>
    <x v="1109"/>
    <d v="2025-02-20T00:00:00"/>
    <d v="2025-02-21T00:00:00"/>
    <s v="F"/>
    <x v="0"/>
    <x v="1"/>
    <x v="0"/>
    <x v="6"/>
    <x v="3"/>
    <x v="7"/>
    <x v="2"/>
  </r>
  <r>
    <s v="TX501341"/>
    <x v="6"/>
    <x v="4"/>
    <n v="40.700000000000003"/>
    <x v="1110"/>
    <d v="2025-02-20T00:00:00"/>
    <d v="2025-02-22T00:00:00"/>
    <s v="M"/>
    <x v="1"/>
    <x v="2"/>
    <x v="0"/>
    <x v="6"/>
    <x v="1"/>
    <x v="7"/>
    <x v="1"/>
  </r>
  <r>
    <s v="TX501342"/>
    <x v="6"/>
    <x v="0"/>
    <n v="49.6"/>
    <x v="1111"/>
    <d v="2025-02-20T00:00:00"/>
    <d v="2025-02-23T00:00:00"/>
    <s v="M"/>
    <x v="2"/>
    <x v="0"/>
    <x v="0"/>
    <x v="7"/>
    <x v="2"/>
    <x v="7"/>
    <x v="1"/>
  </r>
  <r>
    <s v="TX501343"/>
    <x v="7"/>
    <x v="41"/>
    <n v="66.599999999999994"/>
    <x v="1112"/>
    <d v="2025-02-20T00:00:00"/>
    <d v="2025-02-23T00:00:00"/>
    <s v="M"/>
    <x v="2"/>
    <x v="0"/>
    <x v="0"/>
    <x v="8"/>
    <x v="2"/>
    <x v="7"/>
    <x v="1"/>
  </r>
  <r>
    <s v="TX501344"/>
    <x v="8"/>
    <x v="2"/>
    <n v="26.4"/>
    <x v="1113"/>
    <d v="2025-02-20T00:00:00"/>
    <d v="2025-02-21T00:00:00"/>
    <s v="F"/>
    <x v="1"/>
    <x v="1"/>
    <x v="0"/>
    <x v="8"/>
    <x v="3"/>
    <x v="7"/>
    <x v="2"/>
  </r>
  <r>
    <s v="TX501345"/>
    <x v="0"/>
    <x v="1"/>
    <n v="17.2"/>
    <x v="1114"/>
    <d v="2025-02-20T00:00:00"/>
    <d v="2025-02-23T00:00:00"/>
    <s v="M"/>
    <x v="2"/>
    <x v="1"/>
    <x v="0"/>
    <x v="8"/>
    <x v="2"/>
    <x v="7"/>
    <x v="1"/>
  </r>
  <r>
    <s v="TX501346"/>
    <x v="5"/>
    <x v="8"/>
    <n v="58.1"/>
    <x v="1115"/>
    <d v="2025-02-20T00:00:00"/>
    <d v="2025-02-23T00:00:00"/>
    <s v="F"/>
    <x v="4"/>
    <x v="0"/>
    <x v="0"/>
    <x v="8"/>
    <x v="2"/>
    <x v="7"/>
    <x v="2"/>
  </r>
  <r>
    <s v="TX501347"/>
    <x v="15"/>
    <x v="12"/>
    <n v="31.5"/>
    <x v="624"/>
    <d v="2025-02-20T00:00:00"/>
    <d v="2025-02-23T00:00:00"/>
    <s v="F"/>
    <x v="4"/>
    <x v="4"/>
    <x v="0"/>
    <x v="8"/>
    <x v="2"/>
    <x v="7"/>
    <x v="2"/>
  </r>
  <r>
    <s v="TX501348"/>
    <x v="0"/>
    <x v="0"/>
    <n v="27.1"/>
    <x v="1116"/>
    <d v="2025-02-20T00:00:00"/>
    <d v="2025-02-22T00:00:00"/>
    <s v="F"/>
    <x v="0"/>
    <x v="1"/>
    <x v="0"/>
    <x v="17"/>
    <x v="1"/>
    <x v="7"/>
    <x v="2"/>
  </r>
  <r>
    <s v="TX501349"/>
    <x v="18"/>
    <x v="12"/>
    <n v="28.5"/>
    <x v="717"/>
    <d v="2025-02-20T00:00:00"/>
    <d v="2025-02-22T00:00:00"/>
    <s v="M"/>
    <x v="1"/>
    <x v="2"/>
    <x v="0"/>
    <x v="9"/>
    <x v="1"/>
    <x v="7"/>
    <x v="1"/>
  </r>
  <r>
    <s v="TX501350"/>
    <x v="10"/>
    <x v="0"/>
    <n v="40.5"/>
    <x v="1117"/>
    <d v="2025-02-21T00:00:00"/>
    <d v="2025-02-23T00:00:00"/>
    <s v="O"/>
    <x v="2"/>
    <x v="0"/>
    <x v="0"/>
    <x v="9"/>
    <x v="1"/>
    <x v="7"/>
    <x v="3"/>
  </r>
  <r>
    <s v="TX501351"/>
    <x v="2"/>
    <x v="2"/>
    <n v="77.900000000000006"/>
    <x v="1118"/>
    <d v="2025-02-21T00:00:00"/>
    <d v="2025-02-25T00:00:00"/>
    <s v="F"/>
    <x v="1"/>
    <x v="2"/>
    <x v="0"/>
    <x v="19"/>
    <x v="5"/>
    <x v="7"/>
    <x v="2"/>
  </r>
  <r>
    <s v="TX501352"/>
    <x v="18"/>
    <x v="12"/>
    <n v="37.1"/>
    <x v="1119"/>
    <d v="2025-02-21T00:00:00"/>
    <d v="2025-02-23T00:00:00"/>
    <s v="M"/>
    <x v="4"/>
    <x v="2"/>
    <x v="0"/>
    <x v="19"/>
    <x v="1"/>
    <x v="7"/>
    <x v="1"/>
  </r>
  <r>
    <s v="TX501353"/>
    <x v="16"/>
    <x v="2"/>
    <n v="51.6"/>
    <x v="1120"/>
    <d v="2025-02-21T00:00:00"/>
    <d v="2025-03-01T00:00:00"/>
    <s v="F"/>
    <x v="0"/>
    <x v="4"/>
    <x v="0"/>
    <x v="19"/>
    <x v="9"/>
    <x v="7"/>
    <x v="2"/>
  </r>
  <r>
    <s v="TX501354"/>
    <x v="7"/>
    <x v="2"/>
    <n v="98"/>
    <x v="1121"/>
    <d v="2025-02-21T00:00:00"/>
    <d v="2025-02-22T00:00:00"/>
    <s v="M"/>
    <x v="1"/>
    <x v="1"/>
    <x v="0"/>
    <x v="19"/>
    <x v="3"/>
    <x v="7"/>
    <x v="1"/>
  </r>
  <r>
    <s v="TX501355"/>
    <x v="6"/>
    <x v="3"/>
    <n v="41.4"/>
    <x v="1122"/>
    <d v="2025-02-21T00:00:00"/>
    <d v="2025-02-22T00:00:00"/>
    <s v="M"/>
    <x v="1"/>
    <x v="0"/>
    <x v="0"/>
    <x v="20"/>
    <x v="3"/>
    <x v="7"/>
    <x v="1"/>
  </r>
  <r>
    <s v="TX501356"/>
    <x v="11"/>
    <x v="8"/>
    <n v="34"/>
    <x v="1123"/>
    <d v="2025-02-21T00:00:00"/>
    <d v="2025-02-26T00:00:00"/>
    <s v="F"/>
    <x v="0"/>
    <x v="2"/>
    <x v="0"/>
    <x v="52"/>
    <x v="0"/>
    <x v="7"/>
    <x v="2"/>
  </r>
  <r>
    <s v="TX501357"/>
    <x v="6"/>
    <x v="0"/>
    <n v="66.3"/>
    <x v="1124"/>
    <d v="2025-02-21T00:00:00"/>
    <d v="2025-02-22T00:00:00"/>
    <s v="F"/>
    <x v="1"/>
    <x v="0"/>
    <x v="0"/>
    <x v="13"/>
    <x v="3"/>
    <x v="7"/>
    <x v="2"/>
  </r>
  <r>
    <s v="TX501358"/>
    <x v="7"/>
    <x v="0"/>
    <n v="33.5"/>
    <x v="253"/>
    <d v="2025-02-21T00:00:00"/>
    <d v="2025-02-25T00:00:00"/>
    <s v="M"/>
    <x v="2"/>
    <x v="0"/>
    <x v="0"/>
    <x v="13"/>
    <x v="5"/>
    <x v="7"/>
    <x v="1"/>
  </r>
  <r>
    <s v="TX501359"/>
    <x v="12"/>
    <x v="1"/>
    <n v="70.8"/>
    <x v="932"/>
    <d v="2025-02-21T00:00:00"/>
    <d v="2025-02-22T00:00:00"/>
    <s v=""/>
    <x v="0"/>
    <x v="0"/>
    <x v="0"/>
    <x v="28"/>
    <x v="3"/>
    <x v="7"/>
    <x v="0"/>
  </r>
  <r>
    <s v="TX501360"/>
    <x v="6"/>
    <x v="1"/>
    <n v="127.6"/>
    <x v="281"/>
    <d v="2025-02-21T00:00:00"/>
    <d v="2025-02-22T00:00:00"/>
    <s v="M"/>
    <x v="0"/>
    <x v="0"/>
    <x v="0"/>
    <x v="21"/>
    <x v="3"/>
    <x v="7"/>
    <x v="1"/>
  </r>
  <r>
    <s v="TX501361"/>
    <x v="6"/>
    <x v="2"/>
    <n v="95.9"/>
    <x v="1125"/>
    <d v="2025-02-21T00:00:00"/>
    <d v="2025-02-22T00:00:00"/>
    <s v="F"/>
    <x v="1"/>
    <x v="1"/>
    <x v="0"/>
    <x v="21"/>
    <x v="3"/>
    <x v="7"/>
    <x v="2"/>
  </r>
  <r>
    <s v="TX501362"/>
    <x v="2"/>
    <x v="1"/>
    <n v="78.099999999999994"/>
    <x v="1126"/>
    <d v="2025-02-21T00:00:00"/>
    <d v="2025-02-22T00:00:00"/>
    <s v="M"/>
    <x v="0"/>
    <x v="0"/>
    <x v="0"/>
    <x v="1"/>
    <x v="3"/>
    <x v="7"/>
    <x v="1"/>
  </r>
  <r>
    <s v="TX501363"/>
    <x v="13"/>
    <x v="1"/>
    <n v="43.2"/>
    <x v="781"/>
    <d v="2025-02-21T00:00:00"/>
    <d v="2025-02-22T00:00:00"/>
    <s v=""/>
    <x v="1"/>
    <x v="1"/>
    <x v="0"/>
    <x v="1"/>
    <x v="3"/>
    <x v="7"/>
    <x v="0"/>
  </r>
  <r>
    <s v="TX501364"/>
    <x v="8"/>
    <x v="12"/>
    <n v="28.4"/>
    <x v="1127"/>
    <d v="2025-02-21T00:00:00"/>
    <d v="2025-02-27T00:00:00"/>
    <s v="M"/>
    <x v="2"/>
    <x v="0"/>
    <x v="0"/>
    <x v="3"/>
    <x v="4"/>
    <x v="7"/>
    <x v="1"/>
  </r>
  <r>
    <s v="TX501365"/>
    <x v="2"/>
    <x v="1"/>
    <n v="81.7"/>
    <x v="1128"/>
    <d v="2025-02-21T00:00:00"/>
    <d v="2025-02-21T00:00:00"/>
    <s v="M"/>
    <x v="0"/>
    <x v="0"/>
    <x v="0"/>
    <x v="3"/>
    <x v="7"/>
    <x v="7"/>
    <x v="1"/>
  </r>
  <r>
    <s v="TX501366"/>
    <x v="18"/>
    <x v="1"/>
    <n v="56.7"/>
    <x v="1129"/>
    <d v="2025-02-21T00:00:00"/>
    <d v="2025-02-23T00:00:00"/>
    <s v=""/>
    <x v="0"/>
    <x v="2"/>
    <x v="0"/>
    <x v="3"/>
    <x v="1"/>
    <x v="7"/>
    <x v="0"/>
  </r>
  <r>
    <s v="TX501367"/>
    <x v="3"/>
    <x v="12"/>
    <n v="66.5"/>
    <x v="751"/>
    <d v="2025-02-21T00:00:00"/>
    <d v="2025-02-21T00:00:00"/>
    <s v="F"/>
    <x v="0"/>
    <x v="2"/>
    <x v="0"/>
    <x v="3"/>
    <x v="7"/>
    <x v="7"/>
    <x v="2"/>
  </r>
  <r>
    <s v="TX501368"/>
    <x v="1"/>
    <x v="1"/>
    <n v="105.3"/>
    <x v="1130"/>
    <d v="2025-02-21T00:00:00"/>
    <d v="2025-02-25T00:00:00"/>
    <s v="M"/>
    <x v="0"/>
    <x v="1"/>
    <x v="0"/>
    <x v="3"/>
    <x v="5"/>
    <x v="7"/>
    <x v="1"/>
  </r>
  <r>
    <s v="TX501369"/>
    <x v="10"/>
    <x v="9"/>
    <n v="33.799999999999997"/>
    <x v="900"/>
    <d v="2025-02-21T00:00:00"/>
    <d v="2025-02-26T00:00:00"/>
    <s v="M"/>
    <x v="0"/>
    <x v="0"/>
    <x v="0"/>
    <x v="3"/>
    <x v="0"/>
    <x v="7"/>
    <x v="1"/>
  </r>
  <r>
    <s v="TX501370"/>
    <x v="6"/>
    <x v="2"/>
    <n v="63.4"/>
    <x v="1131"/>
    <d v="2025-02-21T00:00:00"/>
    <d v="2025-02-26T00:00:00"/>
    <s v="M"/>
    <x v="3"/>
    <x v="1"/>
    <x v="0"/>
    <x v="24"/>
    <x v="0"/>
    <x v="7"/>
    <x v="1"/>
  </r>
  <r>
    <s v="TX501371"/>
    <x v="6"/>
    <x v="2"/>
    <n v="49"/>
    <x v="926"/>
    <d v="2025-02-21T00:00:00"/>
    <d v="2025-02-25T00:00:00"/>
    <s v="M"/>
    <x v="3"/>
    <x v="0"/>
    <x v="0"/>
    <x v="49"/>
    <x v="5"/>
    <x v="7"/>
    <x v="1"/>
  </r>
  <r>
    <s v="TX501372"/>
    <x v="1"/>
    <x v="1"/>
    <n v="40"/>
    <x v="479"/>
    <d v="2025-02-21T00:00:00"/>
    <d v="2025-02-22T00:00:00"/>
    <s v="F"/>
    <x v="4"/>
    <x v="1"/>
    <x v="0"/>
    <x v="23"/>
    <x v="3"/>
    <x v="7"/>
    <x v="2"/>
  </r>
  <r>
    <s v="TX501373"/>
    <x v="6"/>
    <x v="12"/>
    <n v="86.3"/>
    <x v="1132"/>
    <d v="2025-02-21T00:00:00"/>
    <d v="2025-02-22T00:00:00"/>
    <s v="O"/>
    <x v="0"/>
    <x v="0"/>
    <x v="0"/>
    <x v="6"/>
    <x v="3"/>
    <x v="7"/>
    <x v="3"/>
  </r>
  <r>
    <s v="TX501374"/>
    <x v="6"/>
    <x v="0"/>
    <n v="51.6"/>
    <x v="937"/>
    <d v="2025-02-21T00:00:00"/>
    <d v="2025-02-23T00:00:00"/>
    <s v="F"/>
    <x v="2"/>
    <x v="2"/>
    <x v="0"/>
    <x v="6"/>
    <x v="1"/>
    <x v="7"/>
    <x v="2"/>
  </r>
  <r>
    <s v="TX501375"/>
    <x v="10"/>
    <x v="2"/>
    <n v="26.7"/>
    <x v="1133"/>
    <d v="2025-02-21T00:00:00"/>
    <d v="2025-02-26T00:00:00"/>
    <s v="F"/>
    <x v="2"/>
    <x v="1"/>
    <x v="0"/>
    <x v="6"/>
    <x v="0"/>
    <x v="7"/>
    <x v="2"/>
  </r>
  <r>
    <s v="TX501376"/>
    <x v="18"/>
    <x v="1"/>
    <n v="68.099999999999994"/>
    <x v="1134"/>
    <d v="2025-02-21T00:00:00"/>
    <d v="2025-02-22T00:00:00"/>
    <s v="M"/>
    <x v="0"/>
    <x v="1"/>
    <x v="0"/>
    <x v="6"/>
    <x v="3"/>
    <x v="7"/>
    <x v="1"/>
  </r>
  <r>
    <s v="TX501377"/>
    <x v="1"/>
    <x v="0"/>
    <n v="81.7"/>
    <x v="1135"/>
    <d v="2025-02-21T00:00:00"/>
    <d v="2025-02-22T00:00:00"/>
    <s v="M"/>
    <x v="0"/>
    <x v="0"/>
    <x v="0"/>
    <x v="7"/>
    <x v="3"/>
    <x v="7"/>
    <x v="1"/>
  </r>
  <r>
    <s v="TX501378"/>
    <x v="18"/>
    <x v="7"/>
    <n v="25.1"/>
    <x v="1136"/>
    <d v="2025-02-21T00:00:00"/>
    <d v="2025-02-24T00:00:00"/>
    <s v="M"/>
    <x v="3"/>
    <x v="1"/>
    <x v="0"/>
    <x v="8"/>
    <x v="2"/>
    <x v="7"/>
    <x v="1"/>
  </r>
  <r>
    <s v="TX501379"/>
    <x v="8"/>
    <x v="0"/>
    <n v="20.2"/>
    <x v="1137"/>
    <d v="2025-02-21T00:00:00"/>
    <d v="2025-02-25T00:00:00"/>
    <s v="F"/>
    <x v="0"/>
    <x v="0"/>
    <x v="0"/>
    <x v="8"/>
    <x v="5"/>
    <x v="7"/>
    <x v="2"/>
  </r>
  <r>
    <s v="TX501380"/>
    <x v="8"/>
    <x v="2"/>
    <n v="15.4"/>
    <x v="1063"/>
    <d v="2025-02-21T00:00:00"/>
    <d v="2025-02-22T00:00:00"/>
    <s v="M"/>
    <x v="1"/>
    <x v="2"/>
    <x v="0"/>
    <x v="8"/>
    <x v="3"/>
    <x v="7"/>
    <x v="1"/>
  </r>
  <r>
    <s v="TX501381"/>
    <x v="10"/>
    <x v="0"/>
    <n v="59.2"/>
    <x v="1100"/>
    <d v="2025-02-21T00:00:00"/>
    <d v="2025-02-22T00:00:00"/>
    <s v="M"/>
    <x v="2"/>
    <x v="2"/>
    <x v="0"/>
    <x v="17"/>
    <x v="3"/>
    <x v="7"/>
    <x v="1"/>
  </r>
  <r>
    <s v="TX501382"/>
    <x v="0"/>
    <x v="0"/>
    <n v="46.7"/>
    <x v="594"/>
    <d v="2025-02-21T00:00:00"/>
    <d v="2025-02-26T00:00:00"/>
    <s v="M"/>
    <x v="0"/>
    <x v="0"/>
    <x v="0"/>
    <x v="17"/>
    <x v="0"/>
    <x v="7"/>
    <x v="1"/>
  </r>
  <r>
    <s v="TX501383"/>
    <x v="6"/>
    <x v="20"/>
    <n v="41.6"/>
    <x v="1138"/>
    <d v="2025-02-21T00:00:00"/>
    <d v="2025-02-23T00:00:00"/>
    <s v="M"/>
    <x v="1"/>
    <x v="0"/>
    <x v="0"/>
    <x v="26"/>
    <x v="1"/>
    <x v="7"/>
    <x v="1"/>
  </r>
  <r>
    <s v="TX501384"/>
    <x v="8"/>
    <x v="1"/>
    <n v="19.2"/>
    <x v="1139"/>
    <d v="2025-02-21T00:00:00"/>
    <d v="2025-02-24T00:00:00"/>
    <s v="M"/>
    <x v="4"/>
    <x v="2"/>
    <x v="0"/>
    <x v="9"/>
    <x v="2"/>
    <x v="7"/>
    <x v="1"/>
  </r>
  <r>
    <s v="TX501385"/>
    <x v="17"/>
    <x v="3"/>
    <n v="41.8"/>
    <x v="1140"/>
    <d v="2025-02-21T00:00:00"/>
    <d v="2025-02-23T00:00:00"/>
    <s v="F"/>
    <x v="2"/>
    <x v="0"/>
    <x v="0"/>
    <x v="11"/>
    <x v="1"/>
    <x v="7"/>
    <x v="2"/>
  </r>
  <r>
    <s v="TX501386"/>
    <x v="8"/>
    <x v="13"/>
    <n v="37.4"/>
    <x v="1141"/>
    <d v="2025-02-21T00:00:00"/>
    <d v="2025-02-23T00:00:00"/>
    <s v="M"/>
    <x v="0"/>
    <x v="2"/>
    <x v="0"/>
    <x v="11"/>
    <x v="1"/>
    <x v="7"/>
    <x v="1"/>
  </r>
  <r>
    <s v="TX501387"/>
    <x v="10"/>
    <x v="2"/>
    <n v="60.2"/>
    <x v="1142"/>
    <d v="2025-02-21T00:00:00"/>
    <d v="2025-02-24T00:00:00"/>
    <s v="M"/>
    <x v="4"/>
    <x v="1"/>
    <x v="0"/>
    <x v="38"/>
    <x v="2"/>
    <x v="7"/>
    <x v="1"/>
  </r>
  <r>
    <s v="TX501388"/>
    <x v="9"/>
    <x v="1"/>
    <n v="91.5"/>
    <x v="1143"/>
    <d v="2025-02-22T00:00:00"/>
    <d v="2025-02-23T00:00:00"/>
    <s v="M"/>
    <x v="0"/>
    <x v="0"/>
    <x v="0"/>
    <x v="13"/>
    <x v="3"/>
    <x v="7"/>
    <x v="1"/>
  </r>
  <r>
    <s v="TX501389"/>
    <x v="3"/>
    <x v="9"/>
    <n v="55.7"/>
    <x v="1144"/>
    <d v="2025-02-22T00:00:00"/>
    <d v="2025-02-24T00:00:00"/>
    <s v=""/>
    <x v="1"/>
    <x v="2"/>
    <x v="0"/>
    <x v="21"/>
    <x v="1"/>
    <x v="7"/>
    <x v="0"/>
  </r>
  <r>
    <s v="TX501390"/>
    <x v="7"/>
    <x v="1"/>
    <n v="76.7"/>
    <x v="1145"/>
    <d v="2025-02-22T00:00:00"/>
    <d v="2025-02-24T00:00:00"/>
    <s v="M"/>
    <x v="0"/>
    <x v="1"/>
    <x v="0"/>
    <x v="21"/>
    <x v="1"/>
    <x v="7"/>
    <x v="1"/>
  </r>
  <r>
    <s v="TX501391"/>
    <x v="8"/>
    <x v="38"/>
    <n v="28.2"/>
    <x v="1146"/>
    <d v="2025-02-22T00:00:00"/>
    <d v="2025-02-27T00:00:00"/>
    <s v="M"/>
    <x v="2"/>
    <x v="0"/>
    <x v="0"/>
    <x v="1"/>
    <x v="0"/>
    <x v="7"/>
    <x v="1"/>
  </r>
  <r>
    <s v="TX501392"/>
    <x v="7"/>
    <x v="9"/>
    <n v="93.2"/>
    <x v="1147"/>
    <d v="2025-02-22T00:00:00"/>
    <d v="2025-02-24T00:00:00"/>
    <s v="F"/>
    <x v="4"/>
    <x v="2"/>
    <x v="0"/>
    <x v="1"/>
    <x v="1"/>
    <x v="7"/>
    <x v="2"/>
  </r>
  <r>
    <s v="TX501393"/>
    <x v="17"/>
    <x v="0"/>
    <n v="33.299999999999997"/>
    <x v="698"/>
    <d v="2025-02-22T00:00:00"/>
    <d v="2025-02-23T00:00:00"/>
    <s v="M"/>
    <x v="4"/>
    <x v="0"/>
    <x v="0"/>
    <x v="2"/>
    <x v="3"/>
    <x v="7"/>
    <x v="1"/>
  </r>
  <r>
    <s v="TX501394"/>
    <x v="10"/>
    <x v="1"/>
    <n v="39.1"/>
    <x v="1148"/>
    <d v="2025-02-22T00:00:00"/>
    <d v="2025-02-25T00:00:00"/>
    <s v="M"/>
    <x v="0"/>
    <x v="0"/>
    <x v="0"/>
    <x v="44"/>
    <x v="2"/>
    <x v="7"/>
    <x v="1"/>
  </r>
  <r>
    <s v="TX501395"/>
    <x v="7"/>
    <x v="4"/>
    <n v="45.3"/>
    <x v="1149"/>
    <d v="2025-02-22T00:00:00"/>
    <d v="2025-02-23T00:00:00"/>
    <s v="M"/>
    <x v="2"/>
    <x v="0"/>
    <x v="0"/>
    <x v="33"/>
    <x v="3"/>
    <x v="7"/>
    <x v="1"/>
  </r>
  <r>
    <s v="TX501396"/>
    <x v="9"/>
    <x v="3"/>
    <n v="33.9"/>
    <x v="1150"/>
    <d v="2025-02-22T00:00:00"/>
    <d v="2025-02-23T00:00:00"/>
    <s v="M"/>
    <x v="4"/>
    <x v="0"/>
    <x v="0"/>
    <x v="33"/>
    <x v="3"/>
    <x v="7"/>
    <x v="1"/>
  </r>
  <r>
    <s v="TX501397"/>
    <x v="8"/>
    <x v="2"/>
    <n v="19"/>
    <x v="933"/>
    <d v="2025-02-22T00:00:00"/>
    <d v="2025-02-23T00:00:00"/>
    <s v="M"/>
    <x v="0"/>
    <x v="2"/>
    <x v="0"/>
    <x v="15"/>
    <x v="3"/>
    <x v="7"/>
    <x v="1"/>
  </r>
  <r>
    <s v="TX501398"/>
    <x v="4"/>
    <x v="0"/>
    <n v="41.9"/>
    <x v="1151"/>
    <d v="2025-02-22T00:00:00"/>
    <d v="2025-02-25T00:00:00"/>
    <s v="F"/>
    <x v="2"/>
    <x v="0"/>
    <x v="0"/>
    <x v="22"/>
    <x v="2"/>
    <x v="7"/>
    <x v="2"/>
  </r>
  <r>
    <s v="TX501399"/>
    <x v="1"/>
    <x v="12"/>
    <n v="37.5"/>
    <x v="638"/>
    <d v="2025-02-22T00:00:00"/>
    <d v="2025-02-22T00:00:00"/>
    <s v="F"/>
    <x v="0"/>
    <x v="0"/>
    <x v="0"/>
    <x v="3"/>
    <x v="7"/>
    <x v="7"/>
    <x v="2"/>
  </r>
  <r>
    <s v="TX501400"/>
    <x v="0"/>
    <x v="1"/>
    <n v="40.799999999999997"/>
    <x v="330"/>
    <d v="2025-02-22T00:00:00"/>
    <d v="2025-02-25T00:00:00"/>
    <s v="M"/>
    <x v="0"/>
    <x v="0"/>
    <x v="0"/>
    <x v="3"/>
    <x v="2"/>
    <x v="7"/>
    <x v="1"/>
  </r>
  <r>
    <s v="TX501401"/>
    <x v="0"/>
    <x v="12"/>
    <n v="23.1"/>
    <x v="1152"/>
    <d v="2025-02-22T00:00:00"/>
    <d v="2025-02-23T00:00:00"/>
    <s v="F"/>
    <x v="4"/>
    <x v="0"/>
    <x v="0"/>
    <x v="3"/>
    <x v="3"/>
    <x v="7"/>
    <x v="2"/>
  </r>
  <r>
    <s v="TX501402"/>
    <x v="8"/>
    <x v="9"/>
    <n v="39.299999999999997"/>
    <x v="756"/>
    <d v="2025-02-22T00:00:00"/>
    <d v="2025-02-23T00:00:00"/>
    <s v="F"/>
    <x v="0"/>
    <x v="0"/>
    <x v="0"/>
    <x v="3"/>
    <x v="3"/>
    <x v="7"/>
    <x v="2"/>
  </r>
  <r>
    <s v="TX501403"/>
    <x v="2"/>
    <x v="12"/>
    <n v="85.2"/>
    <x v="1153"/>
    <d v="2025-02-22T00:00:00"/>
    <d v="2025-02-27T00:00:00"/>
    <s v="M"/>
    <x v="2"/>
    <x v="0"/>
    <x v="0"/>
    <x v="3"/>
    <x v="0"/>
    <x v="7"/>
    <x v="1"/>
  </r>
  <r>
    <s v="TX501404"/>
    <x v="8"/>
    <x v="13"/>
    <n v="16"/>
    <x v="854"/>
    <d v="2025-02-22T00:00:00"/>
    <d v="2025-02-25T00:00:00"/>
    <s v="M"/>
    <x v="1"/>
    <x v="0"/>
    <x v="0"/>
    <x v="3"/>
    <x v="2"/>
    <x v="7"/>
    <x v="1"/>
  </r>
  <r>
    <s v="TX501405"/>
    <x v="1"/>
    <x v="1"/>
    <n v="33.799999999999997"/>
    <x v="821"/>
    <d v="2025-02-22T00:00:00"/>
    <d v="2025-02-26T00:00:00"/>
    <s v="F"/>
    <x v="1"/>
    <x v="0"/>
    <x v="0"/>
    <x v="3"/>
    <x v="5"/>
    <x v="7"/>
    <x v="2"/>
  </r>
  <r>
    <s v="TX501406"/>
    <x v="3"/>
    <x v="0"/>
    <n v="70"/>
    <x v="1154"/>
    <d v="2025-02-22T00:00:00"/>
    <d v="2025-02-23T00:00:00"/>
    <s v="F"/>
    <x v="0"/>
    <x v="0"/>
    <x v="0"/>
    <x v="3"/>
    <x v="3"/>
    <x v="7"/>
    <x v="2"/>
  </r>
  <r>
    <s v="TX501407"/>
    <x v="9"/>
    <x v="0"/>
    <n v="88"/>
    <x v="1155"/>
    <d v="2025-02-22T00:00:00"/>
    <d v="2025-02-27T00:00:00"/>
    <s v="F"/>
    <x v="3"/>
    <x v="0"/>
    <x v="0"/>
    <x v="3"/>
    <x v="0"/>
    <x v="7"/>
    <x v="2"/>
  </r>
  <r>
    <s v="TX501408"/>
    <x v="2"/>
    <x v="2"/>
    <n v="74.099999999999994"/>
    <x v="1156"/>
    <d v="2025-02-22T00:00:00"/>
    <d v="2025-02-22T00:00:00"/>
    <s v="M"/>
    <x v="4"/>
    <x v="1"/>
    <x v="0"/>
    <x v="3"/>
    <x v="7"/>
    <x v="7"/>
    <x v="1"/>
  </r>
  <r>
    <s v="TX501409"/>
    <x v="2"/>
    <x v="0"/>
    <n v="161.9"/>
    <x v="1157"/>
    <d v="2025-02-22T00:00:00"/>
    <d v="2025-02-24T00:00:00"/>
    <s v="M"/>
    <x v="2"/>
    <x v="0"/>
    <x v="0"/>
    <x v="3"/>
    <x v="1"/>
    <x v="7"/>
    <x v="1"/>
  </r>
  <r>
    <s v="TX501410"/>
    <x v="4"/>
    <x v="1"/>
    <n v="44"/>
    <x v="1155"/>
    <d v="2025-02-22T00:00:00"/>
    <d v="2025-02-23T00:00:00"/>
    <s v="O"/>
    <x v="4"/>
    <x v="1"/>
    <x v="0"/>
    <x v="3"/>
    <x v="3"/>
    <x v="7"/>
    <x v="3"/>
  </r>
  <r>
    <s v="TX501411"/>
    <x v="11"/>
    <x v="0"/>
    <n v="32.1"/>
    <x v="1158"/>
    <d v="2025-02-22T00:00:00"/>
    <d v="2025-02-22T00:00:00"/>
    <s v="F"/>
    <x v="3"/>
    <x v="3"/>
    <x v="0"/>
    <x v="3"/>
    <x v="7"/>
    <x v="7"/>
    <x v="2"/>
  </r>
  <r>
    <s v="TX501412"/>
    <x v="2"/>
    <x v="12"/>
    <n v="104.8"/>
    <x v="1159"/>
    <d v="2025-02-23T00:00:00"/>
    <d v="2025-02-25T00:00:00"/>
    <s v="O"/>
    <x v="0"/>
    <x v="0"/>
    <x v="0"/>
    <x v="3"/>
    <x v="1"/>
    <x v="8"/>
    <x v="3"/>
  </r>
  <r>
    <s v="TX501413"/>
    <x v="9"/>
    <x v="13"/>
    <n v="67.400000000000006"/>
    <x v="1160"/>
    <d v="2025-02-23T00:00:00"/>
    <d v="2025-02-24T00:00:00"/>
    <s v="F"/>
    <x v="3"/>
    <x v="0"/>
    <x v="0"/>
    <x v="3"/>
    <x v="3"/>
    <x v="8"/>
    <x v="2"/>
  </r>
  <r>
    <s v="TX501414"/>
    <x v="6"/>
    <x v="1"/>
    <n v="115.2"/>
    <x v="1161"/>
    <d v="2025-02-23T00:00:00"/>
    <d v="2025-02-24T00:00:00"/>
    <s v="F"/>
    <x v="1"/>
    <x v="0"/>
    <x v="0"/>
    <x v="4"/>
    <x v="3"/>
    <x v="8"/>
    <x v="2"/>
  </r>
  <r>
    <s v="TX501415"/>
    <x v="8"/>
    <x v="19"/>
    <n v="15.5"/>
    <x v="148"/>
    <d v="2025-02-23T00:00:00"/>
    <d v="2025-02-25T00:00:00"/>
    <s v="F"/>
    <x v="0"/>
    <x v="1"/>
    <x v="0"/>
    <x v="23"/>
    <x v="1"/>
    <x v="8"/>
    <x v="2"/>
  </r>
  <r>
    <s v="TX501416"/>
    <x v="6"/>
    <x v="5"/>
    <n v="66.400000000000006"/>
    <x v="1162"/>
    <d v="2025-02-23T00:00:00"/>
    <d v="2025-02-25T00:00:00"/>
    <s v="F"/>
    <x v="0"/>
    <x v="0"/>
    <x v="0"/>
    <x v="6"/>
    <x v="1"/>
    <x v="8"/>
    <x v="2"/>
  </r>
  <r>
    <s v="TX501417"/>
    <x v="9"/>
    <x v="4"/>
    <n v="68.099999999999994"/>
    <x v="1163"/>
    <d v="2025-02-23T00:00:00"/>
    <d v="2025-02-24T00:00:00"/>
    <s v="F"/>
    <x v="2"/>
    <x v="0"/>
    <x v="0"/>
    <x v="8"/>
    <x v="3"/>
    <x v="8"/>
    <x v="2"/>
  </r>
  <r>
    <s v="TX501418"/>
    <x v="8"/>
    <x v="9"/>
    <n v="32.5"/>
    <x v="1164"/>
    <d v="2025-02-23T00:00:00"/>
    <d v="2025-02-27T00:00:00"/>
    <s v="M"/>
    <x v="2"/>
    <x v="1"/>
    <x v="0"/>
    <x v="8"/>
    <x v="5"/>
    <x v="8"/>
    <x v="1"/>
  </r>
  <r>
    <s v="TX501419"/>
    <x v="15"/>
    <x v="2"/>
    <n v="61.2"/>
    <x v="1165"/>
    <d v="2025-02-23T00:00:00"/>
    <d v="2025-02-25T00:00:00"/>
    <s v="F"/>
    <x v="1"/>
    <x v="1"/>
    <x v="0"/>
    <x v="8"/>
    <x v="1"/>
    <x v="8"/>
    <x v="2"/>
  </r>
  <r>
    <s v="TX501420"/>
    <x v="9"/>
    <x v="1"/>
    <n v="54.2"/>
    <x v="1061"/>
    <d v="2025-02-23T00:00:00"/>
    <d v="2025-02-24T00:00:00"/>
    <s v="F"/>
    <x v="1"/>
    <x v="0"/>
    <x v="0"/>
    <x v="8"/>
    <x v="3"/>
    <x v="8"/>
    <x v="2"/>
  </r>
  <r>
    <s v="TX501421"/>
    <x v="11"/>
    <x v="8"/>
    <n v="28.7"/>
    <x v="1166"/>
    <d v="2025-02-23T00:00:00"/>
    <d v="2025-02-25T00:00:00"/>
    <s v="M"/>
    <x v="1"/>
    <x v="0"/>
    <x v="0"/>
    <x v="9"/>
    <x v="1"/>
    <x v="8"/>
    <x v="1"/>
  </r>
  <r>
    <s v="TX501422"/>
    <x v="12"/>
    <x v="13"/>
    <n v="38.200000000000003"/>
    <x v="1167"/>
    <d v="2025-02-23T00:00:00"/>
    <d v="2025-02-27T00:00:00"/>
    <s v="F"/>
    <x v="0"/>
    <x v="1"/>
    <x v="0"/>
    <x v="9"/>
    <x v="5"/>
    <x v="8"/>
    <x v="2"/>
  </r>
  <r>
    <s v="TX501423"/>
    <x v="8"/>
    <x v="4"/>
    <n v="17.600000000000001"/>
    <x v="1168"/>
    <d v="2025-02-23T00:00:00"/>
    <d v="2025-02-24T00:00:00"/>
    <s v="F"/>
    <x v="2"/>
    <x v="1"/>
    <x v="0"/>
    <x v="9"/>
    <x v="3"/>
    <x v="8"/>
    <x v="2"/>
  </r>
  <r>
    <s v="TX501424"/>
    <x v="10"/>
    <x v="2"/>
    <n v="74.599999999999994"/>
    <x v="1169"/>
    <d v="2025-02-23T00:00:00"/>
    <d v="2025-02-23T00:00:00"/>
    <s v="F"/>
    <x v="2"/>
    <x v="0"/>
    <x v="0"/>
    <x v="11"/>
    <x v="7"/>
    <x v="8"/>
    <x v="2"/>
  </r>
  <r>
    <s v="TX501425"/>
    <x v="16"/>
    <x v="20"/>
    <n v="72.599999999999994"/>
    <x v="1170"/>
    <d v="2025-02-23T00:00:00"/>
    <d v="2025-02-23T00:00:00"/>
    <s v=""/>
    <x v="1"/>
    <x v="1"/>
    <x v="0"/>
    <x v="11"/>
    <x v="7"/>
    <x v="8"/>
    <x v="0"/>
  </r>
  <r>
    <s v="TX501426"/>
    <x v="7"/>
    <x v="0"/>
    <n v="62.3"/>
    <x v="1030"/>
    <d v="2025-02-23T00:00:00"/>
    <d v="2025-02-24T00:00:00"/>
    <s v="F"/>
    <x v="1"/>
    <x v="0"/>
    <x v="0"/>
    <x v="11"/>
    <x v="3"/>
    <x v="8"/>
    <x v="2"/>
  </r>
  <r>
    <s v="TX501427"/>
    <x v="3"/>
    <x v="2"/>
    <n v="33.799999999999997"/>
    <x v="1171"/>
    <d v="2025-02-23T00:00:00"/>
    <d v="2025-02-25T00:00:00"/>
    <s v="M"/>
    <x v="0"/>
    <x v="2"/>
    <x v="0"/>
    <x v="20"/>
    <x v="1"/>
    <x v="8"/>
    <x v="1"/>
  </r>
  <r>
    <s v="TX501428"/>
    <x v="9"/>
    <x v="0"/>
    <n v="85.7"/>
    <x v="1172"/>
    <d v="2025-02-23T00:00:00"/>
    <d v="2025-02-26T00:00:00"/>
    <s v="M"/>
    <x v="3"/>
    <x v="1"/>
    <x v="0"/>
    <x v="21"/>
    <x v="2"/>
    <x v="8"/>
    <x v="1"/>
  </r>
  <r>
    <s v="TX501429"/>
    <x v="6"/>
    <x v="1"/>
    <n v="92.1"/>
    <x v="1173"/>
    <d v="2025-02-23T00:00:00"/>
    <d v="2025-02-25T00:00:00"/>
    <s v="M"/>
    <x v="1"/>
    <x v="0"/>
    <x v="0"/>
    <x v="21"/>
    <x v="1"/>
    <x v="8"/>
    <x v="1"/>
  </r>
  <r>
    <s v="TX501430"/>
    <x v="16"/>
    <x v="2"/>
    <n v="65.099999999999994"/>
    <x v="1174"/>
    <d v="2025-02-23T00:00:00"/>
    <d v="2025-02-26T00:00:00"/>
    <s v="M"/>
    <x v="0"/>
    <x v="0"/>
    <x v="0"/>
    <x v="1"/>
    <x v="2"/>
    <x v="8"/>
    <x v="1"/>
  </r>
  <r>
    <s v="TX501431"/>
    <x v="9"/>
    <x v="3"/>
    <n v="20.3"/>
    <x v="1175"/>
    <d v="2025-02-23T00:00:00"/>
    <d v="2025-02-24T00:00:00"/>
    <s v="F"/>
    <x v="2"/>
    <x v="2"/>
    <x v="0"/>
    <x v="2"/>
    <x v="3"/>
    <x v="8"/>
    <x v="2"/>
  </r>
  <r>
    <s v="TX501432"/>
    <x v="19"/>
    <x v="1"/>
    <n v="29.8"/>
    <x v="1176"/>
    <d v="2025-02-23T00:00:00"/>
    <d v="2025-02-25T00:00:00"/>
    <s v="F"/>
    <x v="1"/>
    <x v="2"/>
    <x v="0"/>
    <x v="34"/>
    <x v="1"/>
    <x v="8"/>
    <x v="2"/>
  </r>
  <r>
    <s v="TX501433"/>
    <x v="0"/>
    <x v="1"/>
    <n v="24.2"/>
    <x v="655"/>
    <d v="2025-02-23T00:00:00"/>
    <d v="2025-02-25T00:00:00"/>
    <s v="F"/>
    <x v="3"/>
    <x v="2"/>
    <x v="0"/>
    <x v="3"/>
    <x v="1"/>
    <x v="8"/>
    <x v="2"/>
  </r>
  <r>
    <s v="TX501434"/>
    <x v="3"/>
    <x v="0"/>
    <n v="57.3"/>
    <x v="1177"/>
    <d v="2025-02-23T00:00:00"/>
    <d v="2025-02-25T00:00:00"/>
    <s v="M"/>
    <x v="0"/>
    <x v="0"/>
    <x v="0"/>
    <x v="3"/>
    <x v="1"/>
    <x v="8"/>
    <x v="1"/>
  </r>
  <r>
    <s v="TX501435"/>
    <x v="2"/>
    <x v="0"/>
    <n v="108.9"/>
    <x v="1178"/>
    <d v="2025-02-23T00:00:00"/>
    <d v="2025-02-25T00:00:00"/>
    <s v="F"/>
    <x v="1"/>
    <x v="0"/>
    <x v="0"/>
    <x v="3"/>
    <x v="1"/>
    <x v="8"/>
    <x v="2"/>
  </r>
  <r>
    <s v="TX501436"/>
    <x v="7"/>
    <x v="9"/>
    <n v="50.7"/>
    <x v="103"/>
    <d v="2025-02-23T00:00:00"/>
    <d v="2025-02-24T00:00:00"/>
    <s v="F"/>
    <x v="0"/>
    <x v="0"/>
    <x v="0"/>
    <x v="3"/>
    <x v="3"/>
    <x v="8"/>
    <x v="2"/>
  </r>
  <r>
    <s v="TX501437"/>
    <x v="7"/>
    <x v="11"/>
    <n v="66.099999999999994"/>
    <x v="1179"/>
    <d v="2025-02-23T00:00:00"/>
    <d v="2025-03-09T00:00:00"/>
    <s v="F"/>
    <x v="1"/>
    <x v="0"/>
    <x v="0"/>
    <x v="3"/>
    <x v="12"/>
    <x v="8"/>
    <x v="2"/>
  </r>
  <r>
    <s v="TX501438"/>
    <x v="12"/>
    <x v="9"/>
    <n v="36.700000000000003"/>
    <x v="1180"/>
    <d v="2025-02-23T00:00:00"/>
    <d v="2025-02-27T00:00:00"/>
    <s v="F"/>
    <x v="4"/>
    <x v="0"/>
    <x v="0"/>
    <x v="3"/>
    <x v="5"/>
    <x v="8"/>
    <x v="2"/>
  </r>
  <r>
    <s v="TX501439"/>
    <x v="8"/>
    <x v="14"/>
    <n v="19.3"/>
    <x v="1181"/>
    <d v="2025-02-23T00:00:00"/>
    <d v="2025-02-25T00:00:00"/>
    <s v="M"/>
    <x v="0"/>
    <x v="0"/>
    <x v="0"/>
    <x v="43"/>
    <x v="1"/>
    <x v="8"/>
    <x v="1"/>
  </r>
  <r>
    <s v="TX501440"/>
    <x v="8"/>
    <x v="12"/>
    <n v="20.7"/>
    <x v="1182"/>
    <d v="2025-02-23T00:00:00"/>
    <d v="2025-02-24T00:00:00"/>
    <s v="M"/>
    <x v="1"/>
    <x v="2"/>
    <x v="0"/>
    <x v="6"/>
    <x v="3"/>
    <x v="8"/>
    <x v="1"/>
  </r>
  <r>
    <s v="TX501441"/>
    <x v="5"/>
    <x v="2"/>
    <n v="54.7"/>
    <x v="1183"/>
    <d v="2025-02-23T00:00:00"/>
    <d v="2025-02-23T00:00:00"/>
    <s v="O"/>
    <x v="1"/>
    <x v="4"/>
    <x v="0"/>
    <x v="6"/>
    <x v="7"/>
    <x v="8"/>
    <x v="3"/>
  </r>
  <r>
    <s v="TX501442"/>
    <x v="4"/>
    <x v="1"/>
    <n v="19.8"/>
    <x v="341"/>
    <d v="2025-02-23T00:00:00"/>
    <d v="2025-02-27T00:00:00"/>
    <s v="F"/>
    <x v="4"/>
    <x v="1"/>
    <x v="0"/>
    <x v="8"/>
    <x v="5"/>
    <x v="8"/>
    <x v="2"/>
  </r>
  <r>
    <s v="TX501443"/>
    <x v="7"/>
    <x v="0"/>
    <n v="41.1"/>
    <x v="1184"/>
    <d v="2025-02-23T00:00:00"/>
    <d v="2025-02-25T00:00:00"/>
    <s v="F"/>
    <x v="0"/>
    <x v="2"/>
    <x v="0"/>
    <x v="8"/>
    <x v="1"/>
    <x v="8"/>
    <x v="2"/>
  </r>
  <r>
    <s v="TX501444"/>
    <x v="11"/>
    <x v="8"/>
    <n v="43.5"/>
    <x v="1185"/>
    <d v="2025-02-23T00:00:00"/>
    <d v="2025-02-27T00:00:00"/>
    <s v="F"/>
    <x v="3"/>
    <x v="0"/>
    <x v="0"/>
    <x v="8"/>
    <x v="5"/>
    <x v="8"/>
    <x v="2"/>
  </r>
  <r>
    <s v="TX501445"/>
    <x v="8"/>
    <x v="21"/>
    <n v="19"/>
    <x v="751"/>
    <d v="2025-02-23T00:00:00"/>
    <d v="2025-02-24T00:00:00"/>
    <s v="M"/>
    <x v="0"/>
    <x v="0"/>
    <x v="0"/>
    <x v="26"/>
    <x v="3"/>
    <x v="8"/>
    <x v="1"/>
  </r>
  <r>
    <s v="TX501446"/>
    <x v="2"/>
    <x v="12"/>
    <n v="51.4"/>
    <x v="1186"/>
    <d v="2025-02-23T00:00:00"/>
    <d v="2025-02-23T00:00:00"/>
    <s v="F"/>
    <x v="0"/>
    <x v="0"/>
    <x v="0"/>
    <x v="26"/>
    <x v="7"/>
    <x v="8"/>
    <x v="2"/>
  </r>
  <r>
    <s v="TX501447"/>
    <x v="10"/>
    <x v="1"/>
    <n v="39.799999999999997"/>
    <x v="1187"/>
    <d v="2025-02-23T00:00:00"/>
    <d v="2025-02-26T00:00:00"/>
    <s v="M"/>
    <x v="3"/>
    <x v="1"/>
    <x v="0"/>
    <x v="13"/>
    <x v="2"/>
    <x v="8"/>
    <x v="1"/>
  </r>
  <r>
    <s v="TX501448"/>
    <x v="6"/>
    <x v="9"/>
    <n v="61"/>
    <x v="1188"/>
    <d v="2025-02-23T00:00:00"/>
    <d v="2025-02-24T00:00:00"/>
    <s v=""/>
    <x v="0"/>
    <x v="2"/>
    <x v="0"/>
    <x v="21"/>
    <x v="3"/>
    <x v="8"/>
    <x v="0"/>
  </r>
  <r>
    <s v="TX501449"/>
    <x v="8"/>
    <x v="5"/>
    <n v="15.1"/>
    <x v="1189"/>
    <d v="2025-02-24T00:00:00"/>
    <d v="2025-03-01T00:00:00"/>
    <s v="M"/>
    <x v="3"/>
    <x v="2"/>
    <x v="0"/>
    <x v="2"/>
    <x v="0"/>
    <x v="8"/>
    <x v="1"/>
  </r>
  <r>
    <s v="TX501450"/>
    <x v="1"/>
    <x v="3"/>
    <n v="71.3"/>
    <x v="1190"/>
    <d v="2025-02-24T00:00:00"/>
    <d v="2025-02-25T00:00:00"/>
    <s v="M"/>
    <x v="4"/>
    <x v="0"/>
    <x v="0"/>
    <x v="3"/>
    <x v="3"/>
    <x v="8"/>
    <x v="1"/>
  </r>
  <r>
    <s v="TX501451"/>
    <x v="10"/>
    <x v="0"/>
    <n v="25.8"/>
    <x v="1191"/>
    <d v="2025-02-24T00:00:00"/>
    <d v="2025-02-26T00:00:00"/>
    <s v="F"/>
    <x v="0"/>
    <x v="2"/>
    <x v="0"/>
    <x v="3"/>
    <x v="1"/>
    <x v="8"/>
    <x v="2"/>
  </r>
  <r>
    <s v="TX501452"/>
    <x v="8"/>
    <x v="9"/>
    <n v="39.6"/>
    <x v="1192"/>
    <d v="2025-02-24T00:00:00"/>
    <d v="2025-02-26T00:00:00"/>
    <s v="M"/>
    <x v="1"/>
    <x v="2"/>
    <x v="0"/>
    <x v="3"/>
    <x v="1"/>
    <x v="8"/>
    <x v="1"/>
  </r>
  <r>
    <s v="TX501453"/>
    <x v="5"/>
    <x v="1"/>
    <n v="64"/>
    <x v="1193"/>
    <d v="2025-02-24T00:00:00"/>
    <d v="2025-02-24T00:00:00"/>
    <s v="M"/>
    <x v="1"/>
    <x v="1"/>
    <x v="0"/>
    <x v="3"/>
    <x v="7"/>
    <x v="8"/>
    <x v="1"/>
  </r>
  <r>
    <s v="TX501454"/>
    <x v="8"/>
    <x v="1"/>
    <n v="30.6"/>
    <x v="1"/>
    <d v="2025-02-24T00:00:00"/>
    <d v="2025-02-27T00:00:00"/>
    <s v="M"/>
    <x v="0"/>
    <x v="2"/>
    <x v="0"/>
    <x v="3"/>
    <x v="2"/>
    <x v="8"/>
    <x v="1"/>
  </r>
  <r>
    <s v="TX501455"/>
    <x v="8"/>
    <x v="1"/>
    <n v="21.3"/>
    <x v="440"/>
    <d v="2025-02-24T00:00:00"/>
    <d v="2025-02-25T00:00:00"/>
    <s v="M"/>
    <x v="0"/>
    <x v="1"/>
    <x v="0"/>
    <x v="3"/>
    <x v="3"/>
    <x v="8"/>
    <x v="1"/>
  </r>
  <r>
    <s v="TX501456"/>
    <x v="7"/>
    <x v="0"/>
    <n v="40.799999999999997"/>
    <x v="803"/>
    <d v="2025-02-24T00:00:00"/>
    <d v="2025-02-26T00:00:00"/>
    <s v="F"/>
    <x v="4"/>
    <x v="0"/>
    <x v="0"/>
    <x v="3"/>
    <x v="1"/>
    <x v="8"/>
    <x v="2"/>
  </r>
  <r>
    <s v="TX501457"/>
    <x v="9"/>
    <x v="12"/>
    <n v="27.7"/>
    <x v="806"/>
    <d v="2025-02-24T00:00:00"/>
    <d v="2025-02-25T00:00:00"/>
    <s v="F"/>
    <x v="0"/>
    <x v="1"/>
    <x v="0"/>
    <x v="3"/>
    <x v="3"/>
    <x v="8"/>
    <x v="2"/>
  </r>
  <r>
    <s v="TX501458"/>
    <x v="6"/>
    <x v="1"/>
    <n v="64.599999999999994"/>
    <x v="769"/>
    <d v="2025-02-24T00:00:00"/>
    <d v="2025-02-25T00:00:00"/>
    <s v="M"/>
    <x v="0"/>
    <x v="1"/>
    <x v="0"/>
    <x v="3"/>
    <x v="3"/>
    <x v="8"/>
    <x v="1"/>
  </r>
  <r>
    <s v="TX501459"/>
    <x v="6"/>
    <x v="27"/>
    <n v="91.1"/>
    <x v="1194"/>
    <d v="2025-02-24T00:00:00"/>
    <d v="2025-02-25T00:00:00"/>
    <s v="F"/>
    <x v="1"/>
    <x v="2"/>
    <x v="0"/>
    <x v="3"/>
    <x v="3"/>
    <x v="8"/>
    <x v="2"/>
  </r>
  <r>
    <s v="TX501460"/>
    <x v="1"/>
    <x v="0"/>
    <n v="39.5"/>
    <x v="736"/>
    <d v="2025-02-24T00:00:00"/>
    <d v="2025-03-04T00:00:00"/>
    <s v="F"/>
    <x v="0"/>
    <x v="0"/>
    <x v="0"/>
    <x v="3"/>
    <x v="9"/>
    <x v="8"/>
    <x v="2"/>
  </r>
  <r>
    <s v="TX501461"/>
    <x v="9"/>
    <x v="1"/>
    <n v="21.8"/>
    <x v="1195"/>
    <d v="2025-02-24T00:00:00"/>
    <d v="2025-02-28T00:00:00"/>
    <s v="M"/>
    <x v="4"/>
    <x v="2"/>
    <x v="0"/>
    <x v="3"/>
    <x v="5"/>
    <x v="8"/>
    <x v="1"/>
  </r>
  <r>
    <s v="TX501462"/>
    <x v="8"/>
    <x v="1"/>
    <n v="51"/>
    <x v="1062"/>
    <d v="2025-02-24T00:00:00"/>
    <d v="2025-02-27T00:00:00"/>
    <s v="M"/>
    <x v="3"/>
    <x v="2"/>
    <x v="0"/>
    <x v="3"/>
    <x v="2"/>
    <x v="8"/>
    <x v="1"/>
  </r>
  <r>
    <s v="TX501463"/>
    <x v="2"/>
    <x v="0"/>
    <n v="92.6"/>
    <x v="1196"/>
    <d v="2025-02-24T00:00:00"/>
    <d v="2025-02-27T00:00:00"/>
    <s v="F"/>
    <x v="0"/>
    <x v="2"/>
    <x v="0"/>
    <x v="35"/>
    <x v="2"/>
    <x v="8"/>
    <x v="2"/>
  </r>
  <r>
    <s v="TX501464"/>
    <x v="9"/>
    <x v="1"/>
    <n v="31.1"/>
    <x v="1197"/>
    <d v="2025-02-24T00:00:00"/>
    <d v="2025-03-01T00:00:00"/>
    <s v=""/>
    <x v="1"/>
    <x v="3"/>
    <x v="0"/>
    <x v="23"/>
    <x v="0"/>
    <x v="8"/>
    <x v="0"/>
  </r>
  <r>
    <s v="TX501465"/>
    <x v="5"/>
    <x v="2"/>
    <n v="56.4"/>
    <x v="362"/>
    <d v="2025-02-24T00:00:00"/>
    <d v="2025-02-25T00:00:00"/>
    <s v=""/>
    <x v="1"/>
    <x v="0"/>
    <x v="0"/>
    <x v="6"/>
    <x v="3"/>
    <x v="8"/>
    <x v="0"/>
  </r>
  <r>
    <s v="TX501466"/>
    <x v="9"/>
    <x v="0"/>
    <n v="41.9"/>
    <x v="1151"/>
    <d v="2025-02-24T00:00:00"/>
    <d v="2025-02-24T00:00:00"/>
    <s v="M"/>
    <x v="1"/>
    <x v="0"/>
    <x v="0"/>
    <x v="6"/>
    <x v="7"/>
    <x v="8"/>
    <x v="1"/>
  </r>
  <r>
    <s v="TX501467"/>
    <x v="10"/>
    <x v="3"/>
    <n v="45.9"/>
    <x v="1198"/>
    <d v="2025-02-24T00:00:00"/>
    <d v="2025-02-25T00:00:00"/>
    <s v="M"/>
    <x v="3"/>
    <x v="2"/>
    <x v="0"/>
    <x v="8"/>
    <x v="3"/>
    <x v="8"/>
    <x v="1"/>
  </r>
  <r>
    <s v="TX501468"/>
    <x v="14"/>
    <x v="11"/>
    <n v="24.4"/>
    <x v="1199"/>
    <d v="2025-02-24T00:00:00"/>
    <d v="2025-02-28T00:00:00"/>
    <s v="M"/>
    <x v="3"/>
    <x v="2"/>
    <x v="0"/>
    <x v="8"/>
    <x v="5"/>
    <x v="8"/>
    <x v="1"/>
  </r>
  <r>
    <s v="TX501469"/>
    <x v="8"/>
    <x v="0"/>
    <n v="18.2"/>
    <x v="1200"/>
    <d v="2025-02-24T00:00:00"/>
    <d v="2025-02-25T00:00:00"/>
    <s v="F"/>
    <x v="2"/>
    <x v="2"/>
    <x v="0"/>
    <x v="8"/>
    <x v="3"/>
    <x v="8"/>
    <x v="2"/>
  </r>
  <r>
    <s v="TX501470"/>
    <x v="8"/>
    <x v="12"/>
    <n v="51.2"/>
    <x v="403"/>
    <d v="2025-02-24T00:00:00"/>
    <d v="2025-02-25T00:00:00"/>
    <s v="F"/>
    <x v="0"/>
    <x v="0"/>
    <x v="0"/>
    <x v="8"/>
    <x v="3"/>
    <x v="8"/>
    <x v="2"/>
  </r>
  <r>
    <s v="TX501471"/>
    <x v="6"/>
    <x v="0"/>
    <n v="59.7"/>
    <x v="1201"/>
    <d v="2025-02-24T00:00:00"/>
    <d v="2025-02-27T00:00:00"/>
    <s v="M"/>
    <x v="0"/>
    <x v="2"/>
    <x v="0"/>
    <x v="8"/>
    <x v="2"/>
    <x v="8"/>
    <x v="1"/>
  </r>
  <r>
    <s v="TX501472"/>
    <x v="4"/>
    <x v="1"/>
    <n v="33.6"/>
    <x v="863"/>
    <d v="2025-02-24T00:00:00"/>
    <d v="2025-02-26T00:00:00"/>
    <s v="F"/>
    <x v="0"/>
    <x v="0"/>
    <x v="0"/>
    <x v="17"/>
    <x v="1"/>
    <x v="8"/>
    <x v="2"/>
  </r>
  <r>
    <s v="TX501473"/>
    <x v="12"/>
    <x v="0"/>
    <n v="90.4"/>
    <x v="786"/>
    <d v="2025-02-24T00:00:00"/>
    <d v="2025-02-28T00:00:00"/>
    <s v="M"/>
    <x v="1"/>
    <x v="2"/>
    <x v="0"/>
    <x v="10"/>
    <x v="5"/>
    <x v="8"/>
    <x v="1"/>
  </r>
  <r>
    <s v="TX501474"/>
    <x v="11"/>
    <x v="2"/>
    <n v="70.3"/>
    <x v="1202"/>
    <d v="2025-02-24T00:00:00"/>
    <d v="2025-02-24T00:00:00"/>
    <s v="M"/>
    <x v="1"/>
    <x v="2"/>
    <x v="0"/>
    <x v="11"/>
    <x v="7"/>
    <x v="8"/>
    <x v="1"/>
  </r>
  <r>
    <s v="TX501475"/>
    <x v="4"/>
    <x v="1"/>
    <n v="20.5"/>
    <x v="783"/>
    <d v="2025-02-24T00:00:00"/>
    <d v="2025-02-27T00:00:00"/>
    <s v="F"/>
    <x v="0"/>
    <x v="1"/>
    <x v="0"/>
    <x v="11"/>
    <x v="2"/>
    <x v="8"/>
    <x v="2"/>
  </r>
  <r>
    <s v="TX501476"/>
    <x v="5"/>
    <x v="5"/>
    <n v="37.6"/>
    <x v="1203"/>
    <d v="2025-02-24T00:00:00"/>
    <d v="2025-02-25T00:00:00"/>
    <s v="M"/>
    <x v="0"/>
    <x v="0"/>
    <x v="0"/>
    <x v="38"/>
    <x v="3"/>
    <x v="8"/>
    <x v="1"/>
  </r>
  <r>
    <s v="TX501477"/>
    <x v="5"/>
    <x v="12"/>
    <n v="61.5"/>
    <x v="1204"/>
    <d v="2025-02-24T00:00:00"/>
    <d v="2025-03-03T00:00:00"/>
    <s v="F"/>
    <x v="1"/>
    <x v="4"/>
    <x v="0"/>
    <x v="13"/>
    <x v="6"/>
    <x v="8"/>
    <x v="2"/>
  </r>
  <r>
    <s v="TX501478"/>
    <x v="9"/>
    <x v="0"/>
    <n v="33.5"/>
    <x v="253"/>
    <d v="2025-02-25T00:00:00"/>
    <d v="2025-03-01T00:00:00"/>
    <s v="M"/>
    <x v="4"/>
    <x v="1"/>
    <x v="0"/>
    <x v="21"/>
    <x v="5"/>
    <x v="8"/>
    <x v="1"/>
  </r>
  <r>
    <s v="TX501479"/>
    <x v="4"/>
    <x v="2"/>
    <n v="29.3"/>
    <x v="1205"/>
    <d v="2025-02-25T00:00:00"/>
    <d v="2025-02-27T00:00:00"/>
    <s v="F"/>
    <x v="1"/>
    <x v="2"/>
    <x v="0"/>
    <x v="1"/>
    <x v="1"/>
    <x v="8"/>
    <x v="2"/>
  </r>
  <r>
    <s v="TX501480"/>
    <x v="2"/>
    <x v="1"/>
    <n v="125.9"/>
    <x v="1206"/>
    <d v="2025-02-25T00:00:00"/>
    <d v="2025-03-02T00:00:00"/>
    <s v="F"/>
    <x v="4"/>
    <x v="1"/>
    <x v="0"/>
    <x v="1"/>
    <x v="0"/>
    <x v="8"/>
    <x v="2"/>
  </r>
  <r>
    <s v="TX501481"/>
    <x v="5"/>
    <x v="9"/>
    <n v="29.3"/>
    <x v="1207"/>
    <d v="2025-02-25T00:00:00"/>
    <d v="2025-02-25T00:00:00"/>
    <s v="M"/>
    <x v="2"/>
    <x v="0"/>
    <x v="0"/>
    <x v="44"/>
    <x v="7"/>
    <x v="8"/>
    <x v="1"/>
  </r>
  <r>
    <s v="TX501482"/>
    <x v="9"/>
    <x v="0"/>
    <n v="37.799999999999997"/>
    <x v="463"/>
    <d v="2025-02-25T00:00:00"/>
    <d v="2025-02-28T00:00:00"/>
    <s v="F"/>
    <x v="0"/>
    <x v="2"/>
    <x v="0"/>
    <x v="3"/>
    <x v="2"/>
    <x v="8"/>
    <x v="2"/>
  </r>
  <r>
    <s v="TX501483"/>
    <x v="0"/>
    <x v="12"/>
    <n v="31.7"/>
    <x v="1208"/>
    <d v="2025-02-25T00:00:00"/>
    <d v="2025-02-26T00:00:00"/>
    <s v="M"/>
    <x v="2"/>
    <x v="2"/>
    <x v="0"/>
    <x v="3"/>
    <x v="3"/>
    <x v="8"/>
    <x v="1"/>
  </r>
  <r>
    <s v="TX501484"/>
    <x v="8"/>
    <x v="9"/>
    <n v="26.3"/>
    <x v="1209"/>
    <d v="2025-02-25T00:00:00"/>
    <d v="2025-02-26T00:00:00"/>
    <s v="F"/>
    <x v="3"/>
    <x v="2"/>
    <x v="0"/>
    <x v="3"/>
    <x v="3"/>
    <x v="8"/>
    <x v="2"/>
  </r>
  <r>
    <s v="TX501485"/>
    <x v="8"/>
    <x v="2"/>
    <n v="23.1"/>
    <x v="59"/>
    <d v="2025-02-25T00:00:00"/>
    <d v="2025-02-26T00:00:00"/>
    <s v="O"/>
    <x v="2"/>
    <x v="1"/>
    <x v="0"/>
    <x v="3"/>
    <x v="3"/>
    <x v="8"/>
    <x v="3"/>
  </r>
  <r>
    <s v="TX501486"/>
    <x v="4"/>
    <x v="0"/>
    <n v="22.3"/>
    <x v="968"/>
    <d v="2025-02-25T00:00:00"/>
    <d v="2025-02-27T00:00:00"/>
    <s v="F"/>
    <x v="2"/>
    <x v="0"/>
    <x v="0"/>
    <x v="3"/>
    <x v="1"/>
    <x v="8"/>
    <x v="2"/>
  </r>
  <r>
    <s v="TX501487"/>
    <x v="12"/>
    <x v="1"/>
    <n v="99.5"/>
    <x v="1210"/>
    <d v="2025-02-25T00:00:00"/>
    <d v="2025-02-27T00:00:00"/>
    <s v="F"/>
    <x v="2"/>
    <x v="0"/>
    <x v="0"/>
    <x v="3"/>
    <x v="1"/>
    <x v="8"/>
    <x v="2"/>
  </r>
  <r>
    <s v="TX501488"/>
    <x v="12"/>
    <x v="12"/>
    <n v="47.4"/>
    <x v="455"/>
    <d v="2025-02-25T00:00:00"/>
    <d v="2025-02-28T00:00:00"/>
    <s v="F"/>
    <x v="1"/>
    <x v="0"/>
    <x v="0"/>
    <x v="3"/>
    <x v="2"/>
    <x v="8"/>
    <x v="2"/>
  </r>
  <r>
    <s v="TX501489"/>
    <x v="0"/>
    <x v="5"/>
    <n v="37.5"/>
    <x v="1211"/>
    <d v="2025-02-25T00:00:00"/>
    <d v="2025-02-27T00:00:00"/>
    <s v="F"/>
    <x v="0"/>
    <x v="3"/>
    <x v="0"/>
    <x v="3"/>
    <x v="1"/>
    <x v="8"/>
    <x v="2"/>
  </r>
  <r>
    <s v="TX501490"/>
    <x v="10"/>
    <x v="0"/>
    <n v="45.1"/>
    <x v="1212"/>
    <d v="2025-02-25T00:00:00"/>
    <d v="2025-03-02T00:00:00"/>
    <s v="M"/>
    <x v="3"/>
    <x v="2"/>
    <x v="0"/>
    <x v="24"/>
    <x v="0"/>
    <x v="8"/>
    <x v="1"/>
  </r>
  <r>
    <s v="TX501491"/>
    <x v="5"/>
    <x v="7"/>
    <n v="34.4"/>
    <x v="1213"/>
    <d v="2025-02-25T00:00:00"/>
    <d v="2025-02-28T00:00:00"/>
    <s v="M"/>
    <x v="2"/>
    <x v="0"/>
    <x v="0"/>
    <x v="16"/>
    <x v="2"/>
    <x v="8"/>
    <x v="1"/>
  </r>
  <r>
    <s v="TX501492"/>
    <x v="4"/>
    <x v="1"/>
    <n v="38"/>
    <x v="998"/>
    <d v="2025-02-25T00:00:00"/>
    <d v="2025-02-27T00:00:00"/>
    <s v="F"/>
    <x v="1"/>
    <x v="0"/>
    <x v="0"/>
    <x v="5"/>
    <x v="1"/>
    <x v="8"/>
    <x v="2"/>
  </r>
  <r>
    <s v="TX501493"/>
    <x v="3"/>
    <x v="21"/>
    <n v="32.4"/>
    <x v="1214"/>
    <d v="2025-02-25T00:00:00"/>
    <d v="2025-02-28T00:00:00"/>
    <s v="M"/>
    <x v="4"/>
    <x v="0"/>
    <x v="0"/>
    <x v="6"/>
    <x v="2"/>
    <x v="8"/>
    <x v="1"/>
  </r>
  <r>
    <s v="TX501494"/>
    <x v="6"/>
    <x v="2"/>
    <n v="40.9"/>
    <x v="544"/>
    <d v="2025-02-25T00:00:00"/>
    <d v="2025-02-25T00:00:00"/>
    <s v=""/>
    <x v="1"/>
    <x v="0"/>
    <x v="0"/>
    <x v="8"/>
    <x v="7"/>
    <x v="8"/>
    <x v="0"/>
  </r>
  <r>
    <s v="TX501495"/>
    <x v="7"/>
    <x v="3"/>
    <n v="76.2"/>
    <x v="1215"/>
    <d v="2025-02-25T00:00:00"/>
    <d v="2025-02-27T00:00:00"/>
    <s v="F"/>
    <x v="2"/>
    <x v="1"/>
    <x v="0"/>
    <x v="8"/>
    <x v="1"/>
    <x v="8"/>
    <x v="2"/>
  </r>
  <r>
    <s v="TX501496"/>
    <x v="2"/>
    <x v="0"/>
    <n v="85.6"/>
    <x v="1216"/>
    <d v="2025-02-25T00:00:00"/>
    <d v="2025-02-27T00:00:00"/>
    <s v="M"/>
    <x v="2"/>
    <x v="0"/>
    <x v="0"/>
    <x v="8"/>
    <x v="1"/>
    <x v="8"/>
    <x v="1"/>
  </r>
  <r>
    <s v="TX501497"/>
    <x v="4"/>
    <x v="12"/>
    <n v="25"/>
    <x v="1217"/>
    <d v="2025-02-25T00:00:00"/>
    <d v="2025-02-27T00:00:00"/>
    <s v="F"/>
    <x v="2"/>
    <x v="2"/>
    <x v="0"/>
    <x v="8"/>
    <x v="1"/>
    <x v="8"/>
    <x v="2"/>
  </r>
  <r>
    <s v="TX501498"/>
    <x v="2"/>
    <x v="9"/>
    <n v="150.69999999999999"/>
    <x v="1218"/>
    <d v="2025-02-25T00:00:00"/>
    <d v="2025-02-26T00:00:00"/>
    <s v=""/>
    <x v="0"/>
    <x v="2"/>
    <x v="0"/>
    <x v="8"/>
    <x v="3"/>
    <x v="8"/>
    <x v="0"/>
  </r>
  <r>
    <s v="TX501499"/>
    <x v="8"/>
    <x v="0"/>
    <n v="19.600000000000001"/>
    <x v="1219"/>
    <d v="2025-02-25T00:00:00"/>
    <d v="2025-02-26T00:00:00"/>
    <s v="M"/>
    <x v="1"/>
    <x v="4"/>
    <x v="0"/>
    <x v="8"/>
    <x v="3"/>
    <x v="8"/>
    <x v="1"/>
  </r>
  <r>
    <s v="TX501500"/>
    <x v="13"/>
    <x v="1"/>
    <n v="37.5"/>
    <x v="611"/>
    <d v="2025-02-25T00:00:00"/>
    <d v="2025-02-28T00:00:00"/>
    <s v="F"/>
    <x v="1"/>
    <x v="2"/>
    <x v="0"/>
    <x v="17"/>
    <x v="2"/>
    <x v="8"/>
    <x v="2"/>
  </r>
  <r>
    <s v="TX501501"/>
    <x v="9"/>
    <x v="2"/>
    <n v="51.9"/>
    <x v="515"/>
    <d v="2025-02-25T00:00:00"/>
    <d v="2025-03-03T00:00:00"/>
    <s v="F"/>
    <x v="0"/>
    <x v="4"/>
    <x v="0"/>
    <x v="11"/>
    <x v="4"/>
    <x v="8"/>
    <x v="2"/>
  </r>
  <r>
    <s v="TX501502"/>
    <x v="1"/>
    <x v="1"/>
    <n v="30.9"/>
    <x v="546"/>
    <d v="2025-02-25T00:00:00"/>
    <d v="2025-02-27T00:00:00"/>
    <s v="F"/>
    <x v="1"/>
    <x v="0"/>
    <x v="0"/>
    <x v="18"/>
    <x v="1"/>
    <x v="8"/>
    <x v="2"/>
  </r>
  <r>
    <s v="TX501503"/>
    <x v="4"/>
    <x v="2"/>
    <n v="21.2"/>
    <x v="1220"/>
    <d v="2025-02-25T00:00:00"/>
    <d v="2025-02-28T00:00:00"/>
    <s v="F"/>
    <x v="1"/>
    <x v="0"/>
    <x v="0"/>
    <x v="19"/>
    <x v="2"/>
    <x v="8"/>
    <x v="2"/>
  </r>
  <r>
    <s v="TX501504"/>
    <x v="13"/>
    <x v="14"/>
    <n v="17.5"/>
    <x v="1221"/>
    <d v="2025-02-25T00:00:00"/>
    <d v="2025-02-26T00:00:00"/>
    <s v="M"/>
    <x v="1"/>
    <x v="1"/>
    <x v="0"/>
    <x v="13"/>
    <x v="3"/>
    <x v="8"/>
    <x v="1"/>
  </r>
  <r>
    <s v="TX501505"/>
    <x v="12"/>
    <x v="1"/>
    <n v="53.8"/>
    <x v="799"/>
    <d v="2025-02-25T00:00:00"/>
    <d v="2025-03-02T00:00:00"/>
    <s v="F"/>
    <x v="0"/>
    <x v="2"/>
    <x v="0"/>
    <x v="21"/>
    <x v="0"/>
    <x v="8"/>
    <x v="2"/>
  </r>
  <r>
    <s v="TX501506"/>
    <x v="19"/>
    <x v="1"/>
    <n v="17"/>
    <x v="1222"/>
    <d v="2025-02-25T00:00:00"/>
    <d v="2025-02-26T00:00:00"/>
    <s v="M"/>
    <x v="3"/>
    <x v="0"/>
    <x v="0"/>
    <x v="21"/>
    <x v="3"/>
    <x v="8"/>
    <x v="1"/>
  </r>
  <r>
    <s v="TX501507"/>
    <x v="6"/>
    <x v="0"/>
    <n v="103.2"/>
    <x v="1223"/>
    <d v="2025-02-25T00:00:00"/>
    <d v="2025-03-05T00:00:00"/>
    <s v="M"/>
    <x v="2"/>
    <x v="1"/>
    <x v="0"/>
    <x v="1"/>
    <x v="9"/>
    <x v="8"/>
    <x v="1"/>
  </r>
  <r>
    <s v="TX501508"/>
    <x v="6"/>
    <x v="12"/>
    <n v="70.3"/>
    <x v="552"/>
    <d v="2025-02-25T00:00:00"/>
    <d v="2025-02-26T00:00:00"/>
    <s v="M"/>
    <x v="0"/>
    <x v="0"/>
    <x v="0"/>
    <x v="3"/>
    <x v="3"/>
    <x v="8"/>
    <x v="1"/>
  </r>
  <r>
    <s v="TX501509"/>
    <x v="2"/>
    <x v="1"/>
    <n v="73.8"/>
    <x v="1224"/>
    <d v="2025-02-25T00:00:00"/>
    <d v="2025-02-25T00:00:00"/>
    <s v="M"/>
    <x v="3"/>
    <x v="2"/>
    <x v="0"/>
    <x v="3"/>
    <x v="7"/>
    <x v="8"/>
    <x v="1"/>
  </r>
  <r>
    <s v="TX501510"/>
    <x v="1"/>
    <x v="4"/>
    <n v="67.7"/>
    <x v="1225"/>
    <d v="2025-02-25T00:00:00"/>
    <d v="2025-03-01T00:00:00"/>
    <s v="M"/>
    <x v="1"/>
    <x v="1"/>
    <x v="0"/>
    <x v="3"/>
    <x v="5"/>
    <x v="8"/>
    <x v="1"/>
  </r>
  <r>
    <s v="TX501511"/>
    <x v="13"/>
    <x v="3"/>
    <n v="43.8"/>
    <x v="1226"/>
    <d v="2025-02-25T00:00:00"/>
    <d v="2025-02-27T00:00:00"/>
    <s v="M"/>
    <x v="1"/>
    <x v="0"/>
    <x v="0"/>
    <x v="3"/>
    <x v="1"/>
    <x v="8"/>
    <x v="1"/>
  </r>
  <r>
    <s v="TX501512"/>
    <x v="17"/>
    <x v="13"/>
    <n v="71.900000000000006"/>
    <x v="1227"/>
    <d v="2025-02-25T00:00:00"/>
    <d v="2025-02-26T00:00:00"/>
    <s v="F"/>
    <x v="2"/>
    <x v="0"/>
    <x v="0"/>
    <x v="3"/>
    <x v="3"/>
    <x v="8"/>
    <x v="2"/>
  </r>
  <r>
    <s v="TX501513"/>
    <x v="8"/>
    <x v="1"/>
    <n v="26.3"/>
    <x v="1228"/>
    <d v="2025-02-26T00:00:00"/>
    <d v="2025-02-28T00:00:00"/>
    <s v="F"/>
    <x v="0"/>
    <x v="1"/>
    <x v="0"/>
    <x v="3"/>
    <x v="1"/>
    <x v="8"/>
    <x v="2"/>
  </r>
  <r>
    <s v="TX501514"/>
    <x v="6"/>
    <x v="12"/>
    <n v="52.6"/>
    <x v="138"/>
    <d v="2025-02-26T00:00:00"/>
    <d v="2025-02-28T00:00:00"/>
    <s v="F"/>
    <x v="2"/>
    <x v="1"/>
    <x v="0"/>
    <x v="3"/>
    <x v="1"/>
    <x v="8"/>
    <x v="2"/>
  </r>
  <r>
    <s v="TX501515"/>
    <x v="10"/>
    <x v="0"/>
    <n v="32.700000000000003"/>
    <x v="1229"/>
    <d v="2025-02-26T00:00:00"/>
    <d v="2025-03-05T00:00:00"/>
    <s v="F"/>
    <x v="0"/>
    <x v="2"/>
    <x v="0"/>
    <x v="3"/>
    <x v="6"/>
    <x v="8"/>
    <x v="2"/>
  </r>
  <r>
    <s v="TX501516"/>
    <x v="5"/>
    <x v="12"/>
    <n v="38.9"/>
    <x v="1230"/>
    <d v="2025-02-26T00:00:00"/>
    <d v="2025-02-27T00:00:00"/>
    <s v="F"/>
    <x v="0"/>
    <x v="0"/>
    <x v="0"/>
    <x v="3"/>
    <x v="3"/>
    <x v="8"/>
    <x v="2"/>
  </r>
  <r>
    <s v="TX501517"/>
    <x v="9"/>
    <x v="9"/>
    <n v="35"/>
    <x v="25"/>
    <d v="2025-02-26T00:00:00"/>
    <d v="2025-02-28T00:00:00"/>
    <s v="M"/>
    <x v="0"/>
    <x v="0"/>
    <x v="0"/>
    <x v="3"/>
    <x v="1"/>
    <x v="8"/>
    <x v="1"/>
  </r>
  <r>
    <s v="TX501518"/>
    <x v="2"/>
    <x v="1"/>
    <n v="121"/>
    <x v="1231"/>
    <d v="2025-02-26T00:00:00"/>
    <d v="2025-02-27T00:00:00"/>
    <s v="F"/>
    <x v="1"/>
    <x v="1"/>
    <x v="0"/>
    <x v="3"/>
    <x v="3"/>
    <x v="8"/>
    <x v="2"/>
  </r>
  <r>
    <s v="TX501519"/>
    <x v="6"/>
    <x v="2"/>
    <n v="65.099999999999994"/>
    <x v="1174"/>
    <d v="2025-02-26T00:00:00"/>
    <d v="2025-03-02T00:00:00"/>
    <s v="M"/>
    <x v="2"/>
    <x v="0"/>
    <x v="0"/>
    <x v="36"/>
    <x v="5"/>
    <x v="8"/>
    <x v="1"/>
  </r>
  <r>
    <s v="TX501520"/>
    <x v="1"/>
    <x v="38"/>
    <n v="63.8"/>
    <x v="1232"/>
    <d v="2025-02-26T00:00:00"/>
    <d v="2025-02-28T00:00:00"/>
    <s v="F"/>
    <x v="0"/>
    <x v="0"/>
    <x v="0"/>
    <x v="8"/>
    <x v="1"/>
    <x v="8"/>
    <x v="2"/>
  </r>
  <r>
    <s v="TX501521"/>
    <x v="7"/>
    <x v="0"/>
    <n v="77.7"/>
    <x v="1233"/>
    <d v="2025-02-26T00:00:00"/>
    <d v="2025-02-28T00:00:00"/>
    <s v="M"/>
    <x v="0"/>
    <x v="0"/>
    <x v="0"/>
    <x v="8"/>
    <x v="1"/>
    <x v="8"/>
    <x v="1"/>
  </r>
  <r>
    <s v="TX501522"/>
    <x v="5"/>
    <x v="12"/>
    <n v="60.3"/>
    <x v="1234"/>
    <d v="2025-02-26T00:00:00"/>
    <d v="2025-02-26T00:00:00"/>
    <s v="M"/>
    <x v="0"/>
    <x v="2"/>
    <x v="0"/>
    <x v="8"/>
    <x v="7"/>
    <x v="8"/>
    <x v="1"/>
  </r>
  <r>
    <s v="TX501523"/>
    <x v="5"/>
    <x v="1"/>
    <n v="124.1"/>
    <x v="1235"/>
    <d v="2025-02-26T00:00:00"/>
    <d v="2025-03-01T00:00:00"/>
    <s v="F"/>
    <x v="0"/>
    <x v="2"/>
    <x v="0"/>
    <x v="8"/>
    <x v="2"/>
    <x v="8"/>
    <x v="2"/>
  </r>
  <r>
    <s v="TX501524"/>
    <x v="16"/>
    <x v="3"/>
    <n v="66"/>
    <x v="1236"/>
    <d v="2025-02-26T00:00:00"/>
    <d v="2025-02-26T00:00:00"/>
    <s v=""/>
    <x v="3"/>
    <x v="0"/>
    <x v="0"/>
    <x v="17"/>
    <x v="7"/>
    <x v="8"/>
    <x v="0"/>
  </r>
  <r>
    <s v="TX501525"/>
    <x v="2"/>
    <x v="42"/>
    <n v="118.2"/>
    <x v="1237"/>
    <d v="2025-02-26T00:00:00"/>
    <d v="2025-03-03T00:00:00"/>
    <s v=""/>
    <x v="0"/>
    <x v="0"/>
    <x v="0"/>
    <x v="17"/>
    <x v="0"/>
    <x v="8"/>
    <x v="0"/>
  </r>
  <r>
    <s v="TX501526"/>
    <x v="5"/>
    <x v="9"/>
    <n v="64.3"/>
    <x v="1238"/>
    <d v="2025-02-26T00:00:00"/>
    <d v="2025-02-27T00:00:00"/>
    <s v="M"/>
    <x v="4"/>
    <x v="4"/>
    <x v="0"/>
    <x v="26"/>
    <x v="3"/>
    <x v="8"/>
    <x v="1"/>
  </r>
  <r>
    <s v="TX501527"/>
    <x v="1"/>
    <x v="1"/>
    <n v="54.8"/>
    <x v="1239"/>
    <d v="2025-02-26T00:00:00"/>
    <d v="2025-02-26T00:00:00"/>
    <s v="M"/>
    <x v="0"/>
    <x v="1"/>
    <x v="0"/>
    <x v="26"/>
    <x v="7"/>
    <x v="8"/>
    <x v="1"/>
  </r>
  <r>
    <s v="TX501528"/>
    <x v="7"/>
    <x v="1"/>
    <n v="78.599999999999994"/>
    <x v="507"/>
    <d v="2025-02-26T00:00:00"/>
    <d v="2025-02-27T00:00:00"/>
    <s v="M"/>
    <x v="0"/>
    <x v="2"/>
    <x v="0"/>
    <x v="9"/>
    <x v="3"/>
    <x v="8"/>
    <x v="1"/>
  </r>
  <r>
    <s v="TX501529"/>
    <x v="2"/>
    <x v="9"/>
    <n v="158.5"/>
    <x v="1240"/>
    <d v="2025-02-26T00:00:00"/>
    <d v="2025-02-28T00:00:00"/>
    <s v=""/>
    <x v="2"/>
    <x v="2"/>
    <x v="0"/>
    <x v="9"/>
    <x v="1"/>
    <x v="8"/>
    <x v="0"/>
  </r>
  <r>
    <s v="TX501530"/>
    <x v="4"/>
    <x v="7"/>
    <n v="23.5"/>
    <x v="666"/>
    <d v="2025-02-26T00:00:00"/>
    <d v="2025-03-01T00:00:00"/>
    <s v="M"/>
    <x v="0"/>
    <x v="4"/>
    <x v="0"/>
    <x v="10"/>
    <x v="2"/>
    <x v="8"/>
    <x v="1"/>
  </r>
  <r>
    <s v="TX501531"/>
    <x v="5"/>
    <x v="1"/>
    <n v="32.1"/>
    <x v="1005"/>
    <d v="2025-02-26T00:00:00"/>
    <d v="2025-02-28T00:00:00"/>
    <s v=""/>
    <x v="3"/>
    <x v="0"/>
    <x v="0"/>
    <x v="10"/>
    <x v="1"/>
    <x v="8"/>
    <x v="0"/>
  </r>
  <r>
    <s v="TX501532"/>
    <x v="17"/>
    <x v="12"/>
    <n v="71.900000000000006"/>
    <x v="1241"/>
    <d v="2025-02-26T00:00:00"/>
    <d v="2025-02-26T00:00:00"/>
    <s v="M"/>
    <x v="2"/>
    <x v="0"/>
    <x v="0"/>
    <x v="19"/>
    <x v="7"/>
    <x v="8"/>
    <x v="1"/>
  </r>
  <r>
    <s v="TX501533"/>
    <x v="4"/>
    <x v="13"/>
    <n v="22.3"/>
    <x v="981"/>
    <d v="2025-02-26T00:00:00"/>
    <d v="2025-02-27T00:00:00"/>
    <s v=""/>
    <x v="3"/>
    <x v="2"/>
    <x v="0"/>
    <x v="13"/>
    <x v="3"/>
    <x v="8"/>
    <x v="0"/>
  </r>
  <r>
    <s v="TX501534"/>
    <x v="11"/>
    <x v="1"/>
    <n v="29.5"/>
    <x v="1242"/>
    <d v="2025-02-26T00:00:00"/>
    <d v="2025-02-27T00:00:00"/>
    <s v="F"/>
    <x v="0"/>
    <x v="2"/>
    <x v="0"/>
    <x v="13"/>
    <x v="3"/>
    <x v="8"/>
    <x v="2"/>
  </r>
  <r>
    <s v="TX501535"/>
    <x v="6"/>
    <x v="12"/>
    <n v="41.9"/>
    <x v="1243"/>
    <d v="2025-02-26T00:00:00"/>
    <d v="2025-03-02T00:00:00"/>
    <s v="F"/>
    <x v="0"/>
    <x v="1"/>
    <x v="0"/>
    <x v="21"/>
    <x v="5"/>
    <x v="8"/>
    <x v="2"/>
  </r>
  <r>
    <s v="TX501536"/>
    <x v="6"/>
    <x v="2"/>
    <n v="107.8"/>
    <x v="1244"/>
    <d v="2025-02-26T00:00:00"/>
    <d v="2025-02-27T00:00:00"/>
    <s v="M"/>
    <x v="1"/>
    <x v="2"/>
    <x v="0"/>
    <x v="46"/>
    <x v="3"/>
    <x v="8"/>
    <x v="1"/>
  </r>
  <r>
    <s v="TX501537"/>
    <x v="4"/>
    <x v="9"/>
    <n v="18.100000000000001"/>
    <x v="497"/>
    <d v="2025-02-26T00:00:00"/>
    <d v="2025-03-01T00:00:00"/>
    <s v="M"/>
    <x v="0"/>
    <x v="2"/>
    <x v="0"/>
    <x v="2"/>
    <x v="2"/>
    <x v="8"/>
    <x v="1"/>
  </r>
  <r>
    <s v="TX501538"/>
    <x v="12"/>
    <x v="11"/>
    <n v="79.8"/>
    <x v="1245"/>
    <d v="2025-02-26T00:00:00"/>
    <d v="2025-02-27T00:00:00"/>
    <s v="F"/>
    <x v="1"/>
    <x v="1"/>
    <x v="0"/>
    <x v="22"/>
    <x v="3"/>
    <x v="8"/>
    <x v="2"/>
  </r>
  <r>
    <s v="TX501539"/>
    <x v="0"/>
    <x v="2"/>
    <n v="22.3"/>
    <x v="884"/>
    <d v="2025-02-26T00:00:00"/>
    <d v="2025-03-01T00:00:00"/>
    <s v="F"/>
    <x v="0"/>
    <x v="2"/>
    <x v="0"/>
    <x v="22"/>
    <x v="2"/>
    <x v="8"/>
    <x v="2"/>
  </r>
  <r>
    <s v="TX501540"/>
    <x v="8"/>
    <x v="0"/>
    <n v="22.9"/>
    <x v="1246"/>
    <d v="2025-02-26T00:00:00"/>
    <d v="2025-02-26T00:00:00"/>
    <s v="F"/>
    <x v="1"/>
    <x v="0"/>
    <x v="0"/>
    <x v="22"/>
    <x v="7"/>
    <x v="8"/>
    <x v="2"/>
  </r>
  <r>
    <s v="TX501541"/>
    <x v="0"/>
    <x v="2"/>
    <n v="16.2"/>
    <x v="1247"/>
    <d v="2025-02-27T00:00:00"/>
    <d v="2025-02-27T00:00:00"/>
    <s v="M"/>
    <x v="4"/>
    <x v="2"/>
    <x v="0"/>
    <x v="3"/>
    <x v="7"/>
    <x v="8"/>
    <x v="1"/>
  </r>
  <r>
    <s v="TX501542"/>
    <x v="10"/>
    <x v="12"/>
    <n v="59.5"/>
    <x v="1248"/>
    <d v="2025-02-27T00:00:00"/>
    <d v="2025-02-28T00:00:00"/>
    <s v="M"/>
    <x v="1"/>
    <x v="2"/>
    <x v="0"/>
    <x v="3"/>
    <x v="3"/>
    <x v="8"/>
    <x v="1"/>
  </r>
  <r>
    <s v="TX501543"/>
    <x v="18"/>
    <x v="9"/>
    <n v="26.2"/>
    <x v="1249"/>
    <d v="2025-02-27T00:00:00"/>
    <d v="2025-03-02T00:00:00"/>
    <s v="M"/>
    <x v="3"/>
    <x v="4"/>
    <x v="0"/>
    <x v="3"/>
    <x v="2"/>
    <x v="8"/>
    <x v="1"/>
  </r>
  <r>
    <s v="TX501544"/>
    <x v="3"/>
    <x v="0"/>
    <n v="44.2"/>
    <x v="573"/>
    <d v="2025-02-27T00:00:00"/>
    <d v="2025-03-02T00:00:00"/>
    <s v="F"/>
    <x v="1"/>
    <x v="0"/>
    <x v="0"/>
    <x v="3"/>
    <x v="2"/>
    <x v="8"/>
    <x v="2"/>
  </r>
  <r>
    <s v="TX501545"/>
    <x v="9"/>
    <x v="1"/>
    <n v="59.2"/>
    <x v="1250"/>
    <d v="2025-02-27T00:00:00"/>
    <d v="2025-02-27T00:00:00"/>
    <s v="F"/>
    <x v="1"/>
    <x v="4"/>
    <x v="0"/>
    <x v="3"/>
    <x v="7"/>
    <x v="8"/>
    <x v="2"/>
  </r>
  <r>
    <s v="TX501546"/>
    <x v="15"/>
    <x v="12"/>
    <n v="41.5"/>
    <x v="1251"/>
    <d v="2025-02-27T00:00:00"/>
    <d v="2025-03-01T00:00:00"/>
    <s v="F"/>
    <x v="0"/>
    <x v="0"/>
    <x v="0"/>
    <x v="16"/>
    <x v="1"/>
    <x v="8"/>
    <x v="2"/>
  </r>
  <r>
    <s v="TX501547"/>
    <x v="6"/>
    <x v="4"/>
    <n v="67.099999999999994"/>
    <x v="1252"/>
    <d v="2025-02-27T00:00:00"/>
    <d v="2025-03-13T00:00:00"/>
    <s v="F"/>
    <x v="0"/>
    <x v="2"/>
    <x v="0"/>
    <x v="23"/>
    <x v="12"/>
    <x v="8"/>
    <x v="2"/>
  </r>
  <r>
    <s v="TX501548"/>
    <x v="8"/>
    <x v="1"/>
    <n v="28.7"/>
    <x v="1253"/>
    <d v="2025-02-27T00:00:00"/>
    <d v="2025-03-03T00:00:00"/>
    <s v="F"/>
    <x v="1"/>
    <x v="0"/>
    <x v="0"/>
    <x v="6"/>
    <x v="5"/>
    <x v="8"/>
    <x v="2"/>
  </r>
  <r>
    <s v="TX501549"/>
    <x v="2"/>
    <x v="12"/>
    <n v="132.1"/>
    <x v="1254"/>
    <d v="2025-02-27T00:00:00"/>
    <d v="2025-02-28T00:00:00"/>
    <s v="F"/>
    <x v="0"/>
    <x v="1"/>
    <x v="0"/>
    <x v="6"/>
    <x v="3"/>
    <x v="8"/>
    <x v="2"/>
  </r>
  <r>
    <s v="TX501550"/>
    <x v="18"/>
    <x v="1"/>
    <n v="47"/>
    <x v="255"/>
    <d v="2025-02-27T00:00:00"/>
    <d v="2025-03-01T00:00:00"/>
    <s v="M"/>
    <x v="4"/>
    <x v="0"/>
    <x v="0"/>
    <x v="8"/>
    <x v="1"/>
    <x v="8"/>
    <x v="1"/>
  </r>
  <r>
    <s v="TX501551"/>
    <x v="8"/>
    <x v="1"/>
    <n v="41.6"/>
    <x v="707"/>
    <d v="2025-02-27T00:00:00"/>
    <d v="2025-03-03T00:00:00"/>
    <s v="M"/>
    <x v="1"/>
    <x v="2"/>
    <x v="0"/>
    <x v="8"/>
    <x v="5"/>
    <x v="8"/>
    <x v="1"/>
  </r>
  <r>
    <s v="TX501552"/>
    <x v="8"/>
    <x v="43"/>
    <n v="17.3"/>
    <x v="1255"/>
    <d v="2025-02-27T00:00:00"/>
    <d v="2025-03-01T00:00:00"/>
    <s v="M"/>
    <x v="2"/>
    <x v="2"/>
    <x v="0"/>
    <x v="8"/>
    <x v="1"/>
    <x v="8"/>
    <x v="1"/>
  </r>
  <r>
    <s v="TX501553"/>
    <x v="13"/>
    <x v="2"/>
    <n v="41.8"/>
    <x v="352"/>
    <d v="2025-02-27T00:00:00"/>
    <d v="2025-03-02T00:00:00"/>
    <s v="M"/>
    <x v="0"/>
    <x v="2"/>
    <x v="0"/>
    <x v="8"/>
    <x v="2"/>
    <x v="8"/>
    <x v="1"/>
  </r>
  <r>
    <s v="TX501554"/>
    <x v="10"/>
    <x v="0"/>
    <n v="24"/>
    <x v="835"/>
    <d v="2025-02-27T00:00:00"/>
    <d v="2025-02-28T00:00:00"/>
    <s v="F"/>
    <x v="0"/>
    <x v="0"/>
    <x v="0"/>
    <x v="17"/>
    <x v="3"/>
    <x v="8"/>
    <x v="2"/>
  </r>
  <r>
    <s v="TX501555"/>
    <x v="14"/>
    <x v="11"/>
    <n v="18.5"/>
    <x v="1256"/>
    <d v="2025-02-27T00:00:00"/>
    <d v="2025-03-01T00:00:00"/>
    <s v="F"/>
    <x v="0"/>
    <x v="0"/>
    <x v="0"/>
    <x v="9"/>
    <x v="1"/>
    <x v="8"/>
    <x v="2"/>
  </r>
  <r>
    <s v="TX501556"/>
    <x v="3"/>
    <x v="4"/>
    <n v="66.7"/>
    <x v="1257"/>
    <d v="2025-02-27T00:00:00"/>
    <d v="2025-03-02T00:00:00"/>
    <s v=""/>
    <x v="0"/>
    <x v="2"/>
    <x v="0"/>
    <x v="11"/>
    <x v="2"/>
    <x v="8"/>
    <x v="0"/>
  </r>
  <r>
    <s v="TX501557"/>
    <x v="1"/>
    <x v="12"/>
    <n v="33.1"/>
    <x v="979"/>
    <d v="2025-02-27T00:00:00"/>
    <d v="2025-03-04T00:00:00"/>
    <s v="M"/>
    <x v="3"/>
    <x v="0"/>
    <x v="0"/>
    <x v="11"/>
    <x v="0"/>
    <x v="8"/>
    <x v="1"/>
  </r>
  <r>
    <s v="TX501558"/>
    <x v="19"/>
    <x v="11"/>
    <n v="42.1"/>
    <x v="1258"/>
    <d v="2025-02-27T00:00:00"/>
    <d v="2025-03-10T00:00:00"/>
    <s v="M"/>
    <x v="1"/>
    <x v="0"/>
    <x v="0"/>
    <x v="18"/>
    <x v="11"/>
    <x v="8"/>
    <x v="1"/>
  </r>
  <r>
    <s v="TX501559"/>
    <x v="18"/>
    <x v="3"/>
    <n v="58.7"/>
    <x v="1259"/>
    <d v="2025-02-27T00:00:00"/>
    <d v="2025-02-27T00:00:00"/>
    <s v="O"/>
    <x v="3"/>
    <x v="0"/>
    <x v="0"/>
    <x v="31"/>
    <x v="7"/>
    <x v="8"/>
    <x v="3"/>
  </r>
  <r>
    <s v="TX501560"/>
    <x v="6"/>
    <x v="12"/>
    <n v="54"/>
    <x v="760"/>
    <d v="2025-02-27T00:00:00"/>
    <d v="2025-03-01T00:00:00"/>
    <s v="F"/>
    <x v="1"/>
    <x v="0"/>
    <x v="0"/>
    <x v="1"/>
    <x v="1"/>
    <x v="8"/>
    <x v="2"/>
  </r>
  <r>
    <s v="TX501561"/>
    <x v="8"/>
    <x v="0"/>
    <n v="52.1"/>
    <x v="475"/>
    <d v="2025-02-27T00:00:00"/>
    <d v="2025-02-28T00:00:00"/>
    <s v="F"/>
    <x v="2"/>
    <x v="2"/>
    <x v="0"/>
    <x v="2"/>
    <x v="3"/>
    <x v="8"/>
    <x v="2"/>
  </r>
  <r>
    <s v="TX501562"/>
    <x v="19"/>
    <x v="1"/>
    <n v="27"/>
    <x v="1260"/>
    <d v="2025-02-27T00:00:00"/>
    <d v="2025-03-02T00:00:00"/>
    <s v="O"/>
    <x v="2"/>
    <x v="0"/>
    <x v="0"/>
    <x v="22"/>
    <x v="2"/>
    <x v="8"/>
    <x v="3"/>
  </r>
  <r>
    <s v="TX501563"/>
    <x v="12"/>
    <x v="7"/>
    <n v="31"/>
    <x v="892"/>
    <d v="2025-02-28T00:00:00"/>
    <d v="2025-03-01T00:00:00"/>
    <s v="F"/>
    <x v="3"/>
    <x v="2"/>
    <x v="0"/>
    <x v="22"/>
    <x v="3"/>
    <x v="8"/>
    <x v="2"/>
  </r>
  <r>
    <s v="TX501564"/>
    <x v="10"/>
    <x v="1"/>
    <n v="46.7"/>
    <x v="1261"/>
    <d v="2025-02-28T00:00:00"/>
    <d v="2025-02-28T00:00:00"/>
    <s v="F"/>
    <x v="0"/>
    <x v="0"/>
    <x v="0"/>
    <x v="34"/>
    <x v="7"/>
    <x v="8"/>
    <x v="2"/>
  </r>
  <r>
    <s v="TX501565"/>
    <x v="6"/>
    <x v="0"/>
    <n v="144.69999999999999"/>
    <x v="1262"/>
    <d v="2025-02-28T00:00:00"/>
    <d v="2025-03-03T00:00:00"/>
    <s v="M"/>
    <x v="0"/>
    <x v="2"/>
    <x v="0"/>
    <x v="3"/>
    <x v="2"/>
    <x v="8"/>
    <x v="1"/>
  </r>
  <r>
    <s v="TX501566"/>
    <x v="2"/>
    <x v="11"/>
    <n v="90.9"/>
    <x v="1263"/>
    <d v="2025-02-28T00:00:00"/>
    <d v="2025-03-01T00:00:00"/>
    <s v="M"/>
    <x v="0"/>
    <x v="2"/>
    <x v="0"/>
    <x v="3"/>
    <x v="3"/>
    <x v="8"/>
    <x v="1"/>
  </r>
  <r>
    <s v="TX501567"/>
    <x v="1"/>
    <x v="1"/>
    <n v="75.8"/>
    <x v="318"/>
    <d v="2025-02-28T00:00:00"/>
    <d v="2025-03-01T00:00:00"/>
    <s v="F"/>
    <x v="2"/>
    <x v="1"/>
    <x v="0"/>
    <x v="3"/>
    <x v="3"/>
    <x v="8"/>
    <x v="2"/>
  </r>
  <r>
    <s v="TX501568"/>
    <x v="7"/>
    <x v="9"/>
    <n v="57.9"/>
    <x v="1264"/>
    <d v="2025-02-28T00:00:00"/>
    <d v="2025-03-02T00:00:00"/>
    <s v="M"/>
    <x v="2"/>
    <x v="2"/>
    <x v="0"/>
    <x v="3"/>
    <x v="1"/>
    <x v="8"/>
    <x v="1"/>
  </r>
  <r>
    <s v="TX501569"/>
    <x v="8"/>
    <x v="9"/>
    <n v="44.8"/>
    <x v="692"/>
    <d v="2025-02-28T00:00:00"/>
    <d v="2025-03-01T00:00:00"/>
    <s v="F"/>
    <x v="3"/>
    <x v="2"/>
    <x v="0"/>
    <x v="3"/>
    <x v="3"/>
    <x v="8"/>
    <x v="2"/>
  </r>
  <r>
    <s v="TX501570"/>
    <x v="9"/>
    <x v="2"/>
    <n v="44.2"/>
    <x v="1265"/>
    <d v="2025-02-28T00:00:00"/>
    <d v="2025-03-04T00:00:00"/>
    <s v="M"/>
    <x v="2"/>
    <x v="2"/>
    <x v="0"/>
    <x v="3"/>
    <x v="5"/>
    <x v="8"/>
    <x v="1"/>
  </r>
  <r>
    <s v="TX501571"/>
    <x v="5"/>
    <x v="9"/>
    <n v="53.5"/>
    <x v="1266"/>
    <d v="2025-02-28T00:00:00"/>
    <d v="2025-03-02T00:00:00"/>
    <s v="M"/>
    <x v="0"/>
    <x v="0"/>
    <x v="0"/>
    <x v="37"/>
    <x v="1"/>
    <x v="8"/>
    <x v="1"/>
  </r>
  <r>
    <s v="TX501572"/>
    <x v="6"/>
    <x v="1"/>
    <n v="72.2"/>
    <x v="613"/>
    <d v="2025-02-28T00:00:00"/>
    <d v="2025-03-01T00:00:00"/>
    <s v="M"/>
    <x v="0"/>
    <x v="2"/>
    <x v="0"/>
    <x v="25"/>
    <x v="3"/>
    <x v="8"/>
    <x v="1"/>
  </r>
  <r>
    <s v="TX501573"/>
    <x v="6"/>
    <x v="12"/>
    <n v="62.4"/>
    <x v="1267"/>
    <d v="2025-02-28T00:00:00"/>
    <d v="2025-03-03T00:00:00"/>
    <s v="F"/>
    <x v="0"/>
    <x v="1"/>
    <x v="0"/>
    <x v="23"/>
    <x v="2"/>
    <x v="8"/>
    <x v="2"/>
  </r>
  <r>
    <s v="TX501574"/>
    <x v="10"/>
    <x v="9"/>
    <n v="24.7"/>
    <x v="1268"/>
    <d v="2025-02-28T00:00:00"/>
    <d v="2025-03-01T00:00:00"/>
    <s v="F"/>
    <x v="0"/>
    <x v="0"/>
    <x v="0"/>
    <x v="6"/>
    <x v="3"/>
    <x v="8"/>
    <x v="2"/>
  </r>
  <r>
    <s v="TX501575"/>
    <x v="1"/>
    <x v="9"/>
    <n v="61.7"/>
    <x v="1269"/>
    <d v="2025-02-28T00:00:00"/>
    <d v="2025-03-02T00:00:00"/>
    <s v="F"/>
    <x v="2"/>
    <x v="0"/>
    <x v="0"/>
    <x v="8"/>
    <x v="1"/>
    <x v="8"/>
    <x v="2"/>
  </r>
  <r>
    <s v="TX501576"/>
    <x v="8"/>
    <x v="9"/>
    <n v="18.2"/>
    <x v="1270"/>
    <d v="2025-02-28T00:00:00"/>
    <d v="2025-03-02T00:00:00"/>
    <s v="F"/>
    <x v="3"/>
    <x v="0"/>
    <x v="0"/>
    <x v="8"/>
    <x v="1"/>
    <x v="8"/>
    <x v="2"/>
  </r>
  <r>
    <s v="TX501577"/>
    <x v="10"/>
    <x v="12"/>
    <n v="37.200000000000003"/>
    <x v="956"/>
    <d v="2025-02-28T00:00:00"/>
    <d v="2025-03-06T00:00:00"/>
    <s v="F"/>
    <x v="0"/>
    <x v="0"/>
    <x v="0"/>
    <x v="8"/>
    <x v="4"/>
    <x v="8"/>
    <x v="2"/>
  </r>
  <r>
    <s v="TX501578"/>
    <x v="9"/>
    <x v="2"/>
    <n v="53.5"/>
    <x v="1271"/>
    <d v="2025-02-28T00:00:00"/>
    <d v="2025-03-02T00:00:00"/>
    <s v="F"/>
    <x v="1"/>
    <x v="2"/>
    <x v="0"/>
    <x v="9"/>
    <x v="1"/>
    <x v="8"/>
    <x v="2"/>
  </r>
  <r>
    <s v="TX501579"/>
    <x v="8"/>
    <x v="2"/>
    <n v="43.6"/>
    <x v="1272"/>
    <d v="2025-02-28T00:00:00"/>
    <d v="2025-02-28T00:00:00"/>
    <s v="F"/>
    <x v="0"/>
    <x v="0"/>
    <x v="0"/>
    <x v="9"/>
    <x v="7"/>
    <x v="8"/>
    <x v="2"/>
  </r>
  <r>
    <s v="TX501580"/>
    <x v="1"/>
    <x v="7"/>
    <n v="135"/>
    <x v="1273"/>
    <d v="2025-02-28T00:00:00"/>
    <d v="2025-03-02T00:00:00"/>
    <s v="F"/>
    <x v="0"/>
    <x v="2"/>
    <x v="0"/>
    <x v="9"/>
    <x v="1"/>
    <x v="8"/>
    <x v="2"/>
  </r>
  <r>
    <s v="TX501581"/>
    <x v="8"/>
    <x v="9"/>
    <n v="38.5"/>
    <x v="796"/>
    <d v="2025-02-28T00:00:00"/>
    <d v="2025-02-28T00:00:00"/>
    <s v="M"/>
    <x v="4"/>
    <x v="2"/>
    <x v="0"/>
    <x v="10"/>
    <x v="7"/>
    <x v="8"/>
    <x v="1"/>
  </r>
  <r>
    <s v="TX501582"/>
    <x v="9"/>
    <x v="1"/>
    <n v="24"/>
    <x v="510"/>
    <d v="2025-02-28T00:00:00"/>
    <d v="2025-03-05T00:00:00"/>
    <s v="F"/>
    <x v="0"/>
    <x v="0"/>
    <x v="0"/>
    <x v="11"/>
    <x v="0"/>
    <x v="8"/>
    <x v="2"/>
  </r>
  <r>
    <s v="TX501583"/>
    <x v="4"/>
    <x v="2"/>
    <n v="28.2"/>
    <x v="1274"/>
    <d v="2025-02-28T00:00:00"/>
    <d v="2025-03-02T00:00:00"/>
    <s v="M"/>
    <x v="0"/>
    <x v="3"/>
    <x v="0"/>
    <x v="18"/>
    <x v="1"/>
    <x v="8"/>
    <x v="1"/>
  </r>
  <r>
    <s v="TX501584"/>
    <x v="7"/>
    <x v="2"/>
    <n v="37.4"/>
    <x v="794"/>
    <d v="2025-02-28T00:00:00"/>
    <d v="2025-03-01T00:00:00"/>
    <s v="F"/>
    <x v="3"/>
    <x v="0"/>
    <x v="0"/>
    <x v="1"/>
    <x v="3"/>
    <x v="8"/>
    <x v="2"/>
  </r>
  <r>
    <s v="TX501585"/>
    <x v="6"/>
    <x v="2"/>
    <n v="53.5"/>
    <x v="1271"/>
    <d v="2025-02-28T00:00:00"/>
    <d v="2025-03-03T00:00:00"/>
    <s v=""/>
    <x v="4"/>
    <x v="4"/>
    <x v="0"/>
    <x v="1"/>
    <x v="2"/>
    <x v="8"/>
    <x v="0"/>
  </r>
  <r>
    <s v="TX501586"/>
    <x v="11"/>
    <x v="9"/>
    <n v="36.200000000000003"/>
    <x v="1275"/>
    <d v="2025-02-28T00:00:00"/>
    <d v="2025-03-01T00:00:00"/>
    <s v="M"/>
    <x v="1"/>
    <x v="2"/>
    <x v="0"/>
    <x v="33"/>
    <x v="3"/>
    <x v="8"/>
    <x v="1"/>
  </r>
  <r>
    <s v="TX501587"/>
    <x v="0"/>
    <x v="8"/>
    <n v="31.9"/>
    <x v="281"/>
    <d v="2025-02-28T00:00:00"/>
    <d v="2025-03-01T00:00:00"/>
    <s v="F"/>
    <x v="4"/>
    <x v="0"/>
    <x v="0"/>
    <x v="3"/>
    <x v="3"/>
    <x v="8"/>
    <x v="2"/>
  </r>
  <r>
    <s v="TX501588"/>
    <x v="8"/>
    <x v="2"/>
    <n v="21.3"/>
    <x v="1276"/>
    <d v="2025-02-28T00:00:00"/>
    <d v="2025-03-01T00:00:00"/>
    <s v="M"/>
    <x v="0"/>
    <x v="2"/>
    <x v="0"/>
    <x v="3"/>
    <x v="3"/>
    <x v="8"/>
    <x v="1"/>
  </r>
  <r>
    <s v="TX501589"/>
    <x v="8"/>
    <x v="0"/>
    <n v="36.299999999999997"/>
    <x v="1277"/>
    <d v="2025-02-28T00:00:00"/>
    <d v="2025-03-02T00:00:00"/>
    <s v="O"/>
    <x v="4"/>
    <x v="0"/>
    <x v="0"/>
    <x v="3"/>
    <x v="1"/>
    <x v="8"/>
    <x v="3"/>
  </r>
  <r>
    <s v="TX501590"/>
    <x v="6"/>
    <x v="2"/>
    <n v="110.5"/>
    <x v="1278"/>
    <d v="2025-02-28T00:00:00"/>
    <d v="2025-03-01T00:00:00"/>
    <s v="F"/>
    <x v="0"/>
    <x v="3"/>
    <x v="0"/>
    <x v="3"/>
    <x v="3"/>
    <x v="8"/>
    <x v="2"/>
  </r>
  <r>
    <s v="TX501591"/>
    <x v="10"/>
    <x v="3"/>
    <n v="32.6"/>
    <x v="1279"/>
    <d v="2025-02-28T00:00:00"/>
    <d v="2025-03-02T00:00:00"/>
    <s v="F"/>
    <x v="0"/>
    <x v="1"/>
    <x v="0"/>
    <x v="3"/>
    <x v="1"/>
    <x v="8"/>
    <x v="2"/>
  </r>
  <r>
    <s v="TX501592"/>
    <x v="5"/>
    <x v="2"/>
    <n v="55.6"/>
    <x v="701"/>
    <d v="2025-03-01T00:00:00"/>
    <d v="2025-03-14T00:00:00"/>
    <s v="F"/>
    <x v="0"/>
    <x v="0"/>
    <x v="0"/>
    <x v="3"/>
    <x v="10"/>
    <x v="8"/>
    <x v="2"/>
  </r>
  <r>
    <s v="TX501593"/>
    <x v="1"/>
    <x v="12"/>
    <n v="38"/>
    <x v="465"/>
    <d v="2025-03-01T00:00:00"/>
    <d v="2025-03-02T00:00:00"/>
    <s v="F"/>
    <x v="3"/>
    <x v="2"/>
    <x v="0"/>
    <x v="5"/>
    <x v="3"/>
    <x v="8"/>
    <x v="2"/>
  </r>
  <r>
    <s v="TX501594"/>
    <x v="10"/>
    <x v="1"/>
    <n v="51.8"/>
    <x v="186"/>
    <d v="2025-03-01T00:00:00"/>
    <d v="2025-03-07T00:00:00"/>
    <s v="M"/>
    <x v="1"/>
    <x v="4"/>
    <x v="0"/>
    <x v="6"/>
    <x v="4"/>
    <x v="8"/>
    <x v="1"/>
  </r>
  <r>
    <s v="TX501595"/>
    <x v="11"/>
    <x v="8"/>
    <n v="28.7"/>
    <x v="1166"/>
    <d v="2025-03-01T00:00:00"/>
    <d v="2025-03-06T00:00:00"/>
    <s v="F"/>
    <x v="0"/>
    <x v="0"/>
    <x v="0"/>
    <x v="6"/>
    <x v="0"/>
    <x v="8"/>
    <x v="2"/>
  </r>
  <r>
    <s v="TX501596"/>
    <x v="6"/>
    <x v="4"/>
    <n v="52.2"/>
    <x v="1280"/>
    <d v="2025-03-01T00:00:00"/>
    <d v="2025-03-01T00:00:00"/>
    <s v="M"/>
    <x v="0"/>
    <x v="1"/>
    <x v="0"/>
    <x v="6"/>
    <x v="7"/>
    <x v="8"/>
    <x v="1"/>
  </r>
  <r>
    <s v="TX501597"/>
    <x v="1"/>
    <x v="1"/>
    <n v="68.2"/>
    <x v="517"/>
    <d v="2025-03-01T00:00:00"/>
    <d v="2025-03-02T00:00:00"/>
    <s v=""/>
    <x v="2"/>
    <x v="0"/>
    <x v="0"/>
    <x v="7"/>
    <x v="3"/>
    <x v="8"/>
    <x v="0"/>
  </r>
  <r>
    <s v="TX501598"/>
    <x v="0"/>
    <x v="2"/>
    <n v="34"/>
    <x v="1062"/>
    <d v="2025-03-01T00:00:00"/>
    <d v="2025-03-05T00:00:00"/>
    <s v="F"/>
    <x v="0"/>
    <x v="0"/>
    <x v="0"/>
    <x v="8"/>
    <x v="5"/>
    <x v="8"/>
    <x v="2"/>
  </r>
  <r>
    <s v="TX501599"/>
    <x v="8"/>
    <x v="2"/>
    <n v="19.100000000000001"/>
    <x v="1281"/>
    <d v="2025-03-01T00:00:00"/>
    <d v="2025-03-02T00:00:00"/>
    <s v="F"/>
    <x v="4"/>
    <x v="0"/>
    <x v="0"/>
    <x v="8"/>
    <x v="3"/>
    <x v="8"/>
    <x v="2"/>
  </r>
  <r>
    <s v="TX501600"/>
    <x v="5"/>
    <x v="8"/>
    <n v="34"/>
    <x v="1123"/>
    <d v="2025-03-01T00:00:00"/>
    <d v="2025-03-09T00:00:00"/>
    <s v="F"/>
    <x v="4"/>
    <x v="0"/>
    <x v="0"/>
    <x v="8"/>
    <x v="9"/>
    <x v="8"/>
    <x v="2"/>
  </r>
  <r>
    <s v="TX501601"/>
    <x v="12"/>
    <x v="1"/>
    <n v="109.1"/>
    <x v="1282"/>
    <d v="2025-03-01T00:00:00"/>
    <d v="2025-03-03T00:00:00"/>
    <s v="M"/>
    <x v="0"/>
    <x v="2"/>
    <x v="0"/>
    <x v="8"/>
    <x v="1"/>
    <x v="8"/>
    <x v="1"/>
  </r>
  <r>
    <s v="TX501602"/>
    <x v="18"/>
    <x v="1"/>
    <n v="64.8"/>
    <x v="632"/>
    <d v="2025-03-01T00:00:00"/>
    <d v="2025-03-03T00:00:00"/>
    <s v="M"/>
    <x v="0"/>
    <x v="2"/>
    <x v="0"/>
    <x v="8"/>
    <x v="1"/>
    <x v="8"/>
    <x v="1"/>
  </r>
  <r>
    <s v="TX501603"/>
    <x v="10"/>
    <x v="1"/>
    <n v="21.1"/>
    <x v="1283"/>
    <d v="2025-03-01T00:00:00"/>
    <d v="2025-03-01T00:00:00"/>
    <s v="F"/>
    <x v="1"/>
    <x v="0"/>
    <x v="0"/>
    <x v="11"/>
    <x v="7"/>
    <x v="8"/>
    <x v="2"/>
  </r>
  <r>
    <s v="TX501604"/>
    <x v="0"/>
    <x v="8"/>
    <n v="21.3"/>
    <x v="1284"/>
    <d v="2025-03-01T00:00:00"/>
    <d v="2025-03-03T00:00:00"/>
    <s v="M"/>
    <x v="3"/>
    <x v="1"/>
    <x v="0"/>
    <x v="18"/>
    <x v="1"/>
    <x v="8"/>
    <x v="1"/>
  </r>
  <r>
    <s v="TX501605"/>
    <x v="9"/>
    <x v="2"/>
    <n v="24.3"/>
    <x v="1285"/>
    <d v="2025-03-01T00:00:00"/>
    <d v="2025-03-02T00:00:00"/>
    <s v="M"/>
    <x v="1"/>
    <x v="0"/>
    <x v="0"/>
    <x v="19"/>
    <x v="3"/>
    <x v="8"/>
    <x v="1"/>
  </r>
  <r>
    <s v="TX501606"/>
    <x v="8"/>
    <x v="0"/>
    <n v="43.3"/>
    <x v="1286"/>
    <d v="2025-03-01T00:00:00"/>
    <d v="2025-03-05T00:00:00"/>
    <s v="M"/>
    <x v="1"/>
    <x v="1"/>
    <x v="0"/>
    <x v="13"/>
    <x v="5"/>
    <x v="8"/>
    <x v="1"/>
  </r>
  <r>
    <s v="TX501607"/>
    <x v="9"/>
    <x v="2"/>
    <n v="41"/>
    <x v="1287"/>
    <d v="2025-03-01T00:00:00"/>
    <d v="2025-03-02T00:00:00"/>
    <s v="F"/>
    <x v="3"/>
    <x v="4"/>
    <x v="0"/>
    <x v="21"/>
    <x v="3"/>
    <x v="8"/>
    <x v="2"/>
  </r>
  <r>
    <s v="TX501608"/>
    <x v="16"/>
    <x v="2"/>
    <n v="54.1"/>
    <x v="1288"/>
    <d v="2025-03-01T00:00:00"/>
    <d v="2025-03-03T00:00:00"/>
    <s v="F"/>
    <x v="4"/>
    <x v="0"/>
    <x v="0"/>
    <x v="21"/>
    <x v="1"/>
    <x v="8"/>
    <x v="2"/>
  </r>
  <r>
    <s v="TX501609"/>
    <x v="11"/>
    <x v="1"/>
    <n v="39"/>
    <x v="292"/>
    <d v="2025-03-01T00:00:00"/>
    <d v="2025-03-02T00:00:00"/>
    <s v="M"/>
    <x v="1"/>
    <x v="2"/>
    <x v="0"/>
    <x v="1"/>
    <x v="3"/>
    <x v="8"/>
    <x v="1"/>
  </r>
  <r>
    <s v="TX501610"/>
    <x v="8"/>
    <x v="1"/>
    <n v="40.299999999999997"/>
    <x v="7"/>
    <d v="2025-03-01T00:00:00"/>
    <d v="2025-03-03T00:00:00"/>
    <s v="M"/>
    <x v="3"/>
    <x v="0"/>
    <x v="0"/>
    <x v="27"/>
    <x v="1"/>
    <x v="8"/>
    <x v="1"/>
  </r>
  <r>
    <s v="TX501611"/>
    <x v="8"/>
    <x v="2"/>
    <n v="24.1"/>
    <x v="1289"/>
    <d v="2025-03-01T00:00:00"/>
    <d v="2025-03-02T00:00:00"/>
    <s v="M"/>
    <x v="0"/>
    <x v="2"/>
    <x v="0"/>
    <x v="34"/>
    <x v="3"/>
    <x v="8"/>
    <x v="1"/>
  </r>
  <r>
    <s v="TX501612"/>
    <x v="6"/>
    <x v="9"/>
    <n v="52.3"/>
    <x v="1290"/>
    <d v="2025-03-01T00:00:00"/>
    <d v="2025-03-02T00:00:00"/>
    <s v="M"/>
    <x v="2"/>
    <x v="0"/>
    <x v="0"/>
    <x v="3"/>
    <x v="3"/>
    <x v="8"/>
    <x v="1"/>
  </r>
  <r>
    <s v="TX501613"/>
    <x v="12"/>
    <x v="12"/>
    <n v="68.8"/>
    <x v="1291"/>
    <d v="2025-03-01T00:00:00"/>
    <d v="2025-03-05T00:00:00"/>
    <s v="F"/>
    <x v="4"/>
    <x v="2"/>
    <x v="0"/>
    <x v="3"/>
    <x v="5"/>
    <x v="8"/>
    <x v="2"/>
  </r>
  <r>
    <s v="TX501614"/>
    <x v="2"/>
    <x v="1"/>
    <n v="128.80000000000001"/>
    <x v="1292"/>
    <d v="2025-03-02T00:00:00"/>
    <d v="2025-03-05T00:00:00"/>
    <s v="F"/>
    <x v="1"/>
    <x v="1"/>
    <x v="0"/>
    <x v="3"/>
    <x v="2"/>
    <x v="9"/>
    <x v="2"/>
  </r>
  <r>
    <s v="TX501615"/>
    <x v="15"/>
    <x v="9"/>
    <n v="48.2"/>
    <x v="1044"/>
    <d v="2025-03-02T00:00:00"/>
    <d v="2025-03-04T00:00:00"/>
    <s v="F"/>
    <x v="3"/>
    <x v="0"/>
    <x v="0"/>
    <x v="3"/>
    <x v="1"/>
    <x v="9"/>
    <x v="2"/>
  </r>
  <r>
    <s v="TX501616"/>
    <x v="10"/>
    <x v="0"/>
    <n v="39.700000000000003"/>
    <x v="144"/>
    <d v="2025-03-02T00:00:00"/>
    <d v="2025-03-04T00:00:00"/>
    <s v="F"/>
    <x v="0"/>
    <x v="1"/>
    <x v="0"/>
    <x v="3"/>
    <x v="1"/>
    <x v="9"/>
    <x v="2"/>
  </r>
  <r>
    <s v="TX501617"/>
    <x v="9"/>
    <x v="0"/>
    <n v="59.7"/>
    <x v="1201"/>
    <d v="2025-03-02T00:00:00"/>
    <d v="2025-03-05T00:00:00"/>
    <s v="F"/>
    <x v="4"/>
    <x v="0"/>
    <x v="0"/>
    <x v="3"/>
    <x v="2"/>
    <x v="9"/>
    <x v="2"/>
  </r>
  <r>
    <s v="TX501618"/>
    <x v="6"/>
    <x v="0"/>
    <n v="48.3"/>
    <x v="1293"/>
    <d v="2025-03-02T00:00:00"/>
    <d v="2025-03-16T00:00:00"/>
    <s v="O"/>
    <x v="0"/>
    <x v="2"/>
    <x v="0"/>
    <x v="3"/>
    <x v="12"/>
    <x v="9"/>
    <x v="3"/>
  </r>
  <r>
    <s v="TX501619"/>
    <x v="8"/>
    <x v="2"/>
    <n v="45.5"/>
    <x v="1294"/>
    <d v="2025-03-02T00:00:00"/>
    <d v="2025-03-04T00:00:00"/>
    <s v="M"/>
    <x v="2"/>
    <x v="1"/>
    <x v="0"/>
    <x v="3"/>
    <x v="1"/>
    <x v="9"/>
    <x v="1"/>
  </r>
  <r>
    <s v="TX501620"/>
    <x v="9"/>
    <x v="6"/>
    <n v="51"/>
    <x v="1295"/>
    <d v="2025-03-02T00:00:00"/>
    <d v="2025-03-02T00:00:00"/>
    <s v="F"/>
    <x v="2"/>
    <x v="0"/>
    <x v="0"/>
    <x v="3"/>
    <x v="7"/>
    <x v="9"/>
    <x v="2"/>
  </r>
  <r>
    <s v="TX501621"/>
    <x v="4"/>
    <x v="13"/>
    <n v="20.399999999999999"/>
    <x v="1296"/>
    <d v="2025-03-02T00:00:00"/>
    <d v="2025-03-03T00:00:00"/>
    <s v="M"/>
    <x v="2"/>
    <x v="0"/>
    <x v="0"/>
    <x v="3"/>
    <x v="3"/>
    <x v="9"/>
    <x v="1"/>
  </r>
  <r>
    <s v="TX501622"/>
    <x v="10"/>
    <x v="1"/>
    <n v="30.4"/>
    <x v="1297"/>
    <d v="2025-03-02T00:00:00"/>
    <d v="2025-03-04T00:00:00"/>
    <s v="M"/>
    <x v="2"/>
    <x v="0"/>
    <x v="0"/>
    <x v="3"/>
    <x v="1"/>
    <x v="9"/>
    <x v="1"/>
  </r>
  <r>
    <s v="TX501623"/>
    <x v="7"/>
    <x v="1"/>
    <n v="71.5"/>
    <x v="1298"/>
    <d v="2025-03-02T00:00:00"/>
    <d v="2025-03-06T00:00:00"/>
    <s v="F"/>
    <x v="0"/>
    <x v="0"/>
    <x v="0"/>
    <x v="3"/>
    <x v="5"/>
    <x v="9"/>
    <x v="2"/>
  </r>
  <r>
    <s v="TX501624"/>
    <x v="8"/>
    <x v="13"/>
    <n v="18"/>
    <x v="807"/>
    <d v="2025-03-02T00:00:00"/>
    <d v="2025-03-03T00:00:00"/>
    <s v="O"/>
    <x v="1"/>
    <x v="2"/>
    <x v="0"/>
    <x v="6"/>
    <x v="3"/>
    <x v="9"/>
    <x v="3"/>
  </r>
  <r>
    <s v="TX501625"/>
    <x v="15"/>
    <x v="5"/>
    <n v="45.6"/>
    <x v="1299"/>
    <d v="2025-03-02T00:00:00"/>
    <d v="2025-03-03T00:00:00"/>
    <s v="O"/>
    <x v="1"/>
    <x v="1"/>
    <x v="0"/>
    <x v="7"/>
    <x v="3"/>
    <x v="9"/>
    <x v="3"/>
  </r>
  <r>
    <s v="TX501626"/>
    <x v="9"/>
    <x v="0"/>
    <n v="31.8"/>
    <x v="627"/>
    <d v="2025-03-02T00:00:00"/>
    <d v="2025-03-06T00:00:00"/>
    <s v="F"/>
    <x v="0"/>
    <x v="2"/>
    <x v="0"/>
    <x v="7"/>
    <x v="5"/>
    <x v="9"/>
    <x v="2"/>
  </r>
  <r>
    <s v="TX501627"/>
    <x v="8"/>
    <x v="9"/>
    <n v="19.899999999999999"/>
    <x v="1300"/>
    <d v="2025-03-02T00:00:00"/>
    <d v="2025-03-03T00:00:00"/>
    <s v="F"/>
    <x v="1"/>
    <x v="0"/>
    <x v="0"/>
    <x v="7"/>
    <x v="3"/>
    <x v="9"/>
    <x v="2"/>
  </r>
  <r>
    <s v="TX501628"/>
    <x v="12"/>
    <x v="11"/>
    <n v="52.1"/>
    <x v="1301"/>
    <d v="2025-03-02T00:00:00"/>
    <d v="2025-03-04T00:00:00"/>
    <s v="M"/>
    <x v="0"/>
    <x v="0"/>
    <x v="0"/>
    <x v="8"/>
    <x v="1"/>
    <x v="9"/>
    <x v="1"/>
  </r>
  <r>
    <s v="TX501629"/>
    <x v="1"/>
    <x v="3"/>
    <n v="45.9"/>
    <x v="1198"/>
    <d v="2025-03-02T00:00:00"/>
    <d v="2025-03-03T00:00:00"/>
    <s v="M"/>
    <x v="0"/>
    <x v="1"/>
    <x v="0"/>
    <x v="8"/>
    <x v="3"/>
    <x v="9"/>
    <x v="1"/>
  </r>
  <r>
    <s v="TX501630"/>
    <x v="1"/>
    <x v="7"/>
    <n v="115.9"/>
    <x v="1302"/>
    <d v="2025-03-02T00:00:00"/>
    <d v="2025-03-05T00:00:00"/>
    <s v="F"/>
    <x v="1"/>
    <x v="0"/>
    <x v="0"/>
    <x v="8"/>
    <x v="2"/>
    <x v="9"/>
    <x v="2"/>
  </r>
  <r>
    <s v="TX501631"/>
    <x v="6"/>
    <x v="11"/>
    <n v="86"/>
    <x v="1303"/>
    <d v="2025-03-02T00:00:00"/>
    <d v="2025-03-07T00:00:00"/>
    <s v="F"/>
    <x v="0"/>
    <x v="1"/>
    <x v="0"/>
    <x v="8"/>
    <x v="0"/>
    <x v="9"/>
    <x v="2"/>
  </r>
  <r>
    <s v="TX501632"/>
    <x v="7"/>
    <x v="3"/>
    <n v="73.599999999999994"/>
    <x v="1304"/>
    <d v="2025-03-02T00:00:00"/>
    <d v="2025-03-04T00:00:00"/>
    <s v="F"/>
    <x v="0"/>
    <x v="0"/>
    <x v="0"/>
    <x v="17"/>
    <x v="1"/>
    <x v="9"/>
    <x v="2"/>
  </r>
  <r>
    <s v="TX501633"/>
    <x v="10"/>
    <x v="2"/>
    <n v="26.7"/>
    <x v="1133"/>
    <d v="2025-03-02T00:00:00"/>
    <d v="2025-03-06T00:00:00"/>
    <s v="F"/>
    <x v="0"/>
    <x v="0"/>
    <x v="0"/>
    <x v="11"/>
    <x v="5"/>
    <x v="9"/>
    <x v="2"/>
  </r>
  <r>
    <s v="TX501634"/>
    <x v="8"/>
    <x v="3"/>
    <n v="46.6"/>
    <x v="1305"/>
    <d v="2025-03-02T00:00:00"/>
    <d v="2025-03-04T00:00:00"/>
    <s v=""/>
    <x v="3"/>
    <x v="0"/>
    <x v="0"/>
    <x v="11"/>
    <x v="1"/>
    <x v="9"/>
    <x v="0"/>
  </r>
  <r>
    <s v="TX501635"/>
    <x v="3"/>
    <x v="2"/>
    <n v="84.6"/>
    <x v="1306"/>
    <d v="2025-03-02T00:00:00"/>
    <d v="2025-03-04T00:00:00"/>
    <s v="M"/>
    <x v="4"/>
    <x v="0"/>
    <x v="0"/>
    <x v="11"/>
    <x v="1"/>
    <x v="9"/>
    <x v="1"/>
  </r>
  <r>
    <s v="TX501636"/>
    <x v="7"/>
    <x v="21"/>
    <n v="41.5"/>
    <x v="1307"/>
    <d v="2025-03-02T00:00:00"/>
    <d v="2025-03-16T00:00:00"/>
    <s v="M"/>
    <x v="1"/>
    <x v="0"/>
    <x v="0"/>
    <x v="53"/>
    <x v="12"/>
    <x v="9"/>
    <x v="1"/>
  </r>
  <r>
    <s v="TX501637"/>
    <x v="8"/>
    <x v="0"/>
    <n v="32.799999999999997"/>
    <x v="944"/>
    <d v="2025-03-02T00:00:00"/>
    <d v="2025-03-05T00:00:00"/>
    <s v="M"/>
    <x v="0"/>
    <x v="2"/>
    <x v="0"/>
    <x v="30"/>
    <x v="2"/>
    <x v="9"/>
    <x v="1"/>
  </r>
  <r>
    <s v="TX501638"/>
    <x v="4"/>
    <x v="3"/>
    <n v="46.7"/>
    <x v="1308"/>
    <d v="2025-03-02T00:00:00"/>
    <d v="2025-03-04T00:00:00"/>
    <s v="O"/>
    <x v="0"/>
    <x v="2"/>
    <x v="0"/>
    <x v="18"/>
    <x v="1"/>
    <x v="9"/>
    <x v="3"/>
  </r>
  <r>
    <s v="TX501639"/>
    <x v="15"/>
    <x v="3"/>
    <n v="21"/>
    <x v="926"/>
    <d v="2025-03-02T00:00:00"/>
    <d v="2025-03-05T00:00:00"/>
    <s v="M"/>
    <x v="2"/>
    <x v="1"/>
    <x v="0"/>
    <x v="21"/>
    <x v="2"/>
    <x v="9"/>
    <x v="1"/>
  </r>
  <r>
    <s v="TX501640"/>
    <x v="5"/>
    <x v="3"/>
    <n v="29.4"/>
    <x v="43"/>
    <d v="2025-03-02T00:00:00"/>
    <d v="2025-03-02T00:00:00"/>
    <s v="M"/>
    <x v="3"/>
    <x v="2"/>
    <x v="0"/>
    <x v="21"/>
    <x v="7"/>
    <x v="9"/>
    <x v="1"/>
  </r>
  <r>
    <s v="TX501641"/>
    <x v="15"/>
    <x v="1"/>
    <n v="32.299999999999997"/>
    <x v="1099"/>
    <d v="2025-03-02T00:00:00"/>
    <d v="2025-03-03T00:00:00"/>
    <s v="M"/>
    <x v="0"/>
    <x v="2"/>
    <x v="0"/>
    <x v="21"/>
    <x v="3"/>
    <x v="9"/>
    <x v="1"/>
  </r>
  <r>
    <s v="TX501642"/>
    <x v="6"/>
    <x v="0"/>
    <n v="42.2"/>
    <x v="1283"/>
    <d v="2025-03-03T00:00:00"/>
    <d v="2025-03-05T00:00:00"/>
    <s v="F"/>
    <x v="0"/>
    <x v="2"/>
    <x v="0"/>
    <x v="21"/>
    <x v="1"/>
    <x v="9"/>
    <x v="2"/>
  </r>
  <r>
    <s v="TX501643"/>
    <x v="6"/>
    <x v="0"/>
    <n v="53.7"/>
    <x v="1309"/>
    <d v="2025-03-03T00:00:00"/>
    <d v="2025-03-05T00:00:00"/>
    <s v="M"/>
    <x v="1"/>
    <x v="1"/>
    <x v="0"/>
    <x v="1"/>
    <x v="1"/>
    <x v="9"/>
    <x v="1"/>
  </r>
  <r>
    <s v="TX501644"/>
    <x v="2"/>
    <x v="1"/>
    <n v="123.9"/>
    <x v="1310"/>
    <d v="2025-03-03T00:00:00"/>
    <d v="2025-03-06T00:00:00"/>
    <s v="M"/>
    <x v="2"/>
    <x v="0"/>
    <x v="0"/>
    <x v="1"/>
    <x v="2"/>
    <x v="9"/>
    <x v="1"/>
  </r>
  <r>
    <s v="TX501645"/>
    <x v="4"/>
    <x v="2"/>
    <n v="35.9"/>
    <x v="1311"/>
    <d v="2025-03-03T00:00:00"/>
    <d v="2025-03-05T00:00:00"/>
    <s v="M"/>
    <x v="2"/>
    <x v="0"/>
    <x v="0"/>
    <x v="22"/>
    <x v="1"/>
    <x v="9"/>
    <x v="1"/>
  </r>
  <r>
    <s v="TX501646"/>
    <x v="4"/>
    <x v="1"/>
    <n v="23.6"/>
    <x v="828"/>
    <d v="2025-03-03T00:00:00"/>
    <d v="2025-03-06T00:00:00"/>
    <s v="M"/>
    <x v="0"/>
    <x v="2"/>
    <x v="0"/>
    <x v="3"/>
    <x v="2"/>
    <x v="9"/>
    <x v="1"/>
  </r>
  <r>
    <s v="TX501647"/>
    <x v="15"/>
    <x v="36"/>
    <n v="45.7"/>
    <x v="1312"/>
    <d v="2025-03-03T00:00:00"/>
    <d v="2025-03-04T00:00:00"/>
    <s v="M"/>
    <x v="0"/>
    <x v="1"/>
    <x v="0"/>
    <x v="3"/>
    <x v="3"/>
    <x v="9"/>
    <x v="1"/>
  </r>
  <r>
    <s v="TX501648"/>
    <x v="6"/>
    <x v="5"/>
    <n v="118.3"/>
    <x v="1313"/>
    <d v="2025-03-03T00:00:00"/>
    <d v="2025-03-05T00:00:00"/>
    <s v="M"/>
    <x v="4"/>
    <x v="2"/>
    <x v="0"/>
    <x v="3"/>
    <x v="1"/>
    <x v="9"/>
    <x v="1"/>
  </r>
  <r>
    <s v="TX501649"/>
    <x v="19"/>
    <x v="0"/>
    <n v="36"/>
    <x v="53"/>
    <d v="2025-03-03T00:00:00"/>
    <d v="2025-03-04T00:00:00"/>
    <s v="F"/>
    <x v="0"/>
    <x v="1"/>
    <x v="0"/>
    <x v="3"/>
    <x v="3"/>
    <x v="9"/>
    <x v="2"/>
  </r>
  <r>
    <s v="TX501650"/>
    <x v="8"/>
    <x v="1"/>
    <n v="37.1"/>
    <x v="1314"/>
    <d v="2025-03-03T00:00:00"/>
    <d v="2025-03-06T00:00:00"/>
    <s v="F"/>
    <x v="2"/>
    <x v="0"/>
    <x v="0"/>
    <x v="3"/>
    <x v="2"/>
    <x v="9"/>
    <x v="2"/>
  </r>
  <r>
    <s v="TX501651"/>
    <x v="18"/>
    <x v="2"/>
    <n v="45.1"/>
    <x v="246"/>
    <d v="2025-03-03T00:00:00"/>
    <d v="2025-03-05T00:00:00"/>
    <s v="F"/>
    <x v="1"/>
    <x v="2"/>
    <x v="0"/>
    <x v="3"/>
    <x v="1"/>
    <x v="9"/>
    <x v="2"/>
  </r>
  <r>
    <s v="TX501652"/>
    <x v="5"/>
    <x v="27"/>
    <n v="37.9"/>
    <x v="1315"/>
    <d v="2025-03-03T00:00:00"/>
    <d v="2025-03-04T00:00:00"/>
    <s v="F"/>
    <x v="3"/>
    <x v="2"/>
    <x v="0"/>
    <x v="3"/>
    <x v="3"/>
    <x v="9"/>
    <x v="2"/>
  </r>
  <r>
    <s v="TX501653"/>
    <x v="2"/>
    <x v="1"/>
    <n v="121.6"/>
    <x v="1316"/>
    <d v="2025-03-03T00:00:00"/>
    <d v="2025-03-06T00:00:00"/>
    <s v="M"/>
    <x v="3"/>
    <x v="2"/>
    <x v="0"/>
    <x v="3"/>
    <x v="2"/>
    <x v="9"/>
    <x v="1"/>
  </r>
  <r>
    <s v="TX501654"/>
    <x v="5"/>
    <x v="3"/>
    <n v="38.200000000000003"/>
    <x v="1317"/>
    <d v="2025-03-03T00:00:00"/>
    <d v="2025-03-06T00:00:00"/>
    <s v="F"/>
    <x v="0"/>
    <x v="0"/>
    <x v="0"/>
    <x v="3"/>
    <x v="2"/>
    <x v="9"/>
    <x v="2"/>
  </r>
  <r>
    <s v="TX501655"/>
    <x v="17"/>
    <x v="1"/>
    <n v="37.200000000000003"/>
    <x v="610"/>
    <d v="2025-03-03T00:00:00"/>
    <d v="2025-03-06T00:00:00"/>
    <s v="M"/>
    <x v="4"/>
    <x v="0"/>
    <x v="0"/>
    <x v="3"/>
    <x v="2"/>
    <x v="9"/>
    <x v="1"/>
  </r>
  <r>
    <s v="TX501656"/>
    <x v="2"/>
    <x v="12"/>
    <n v="115.7"/>
    <x v="1318"/>
    <d v="2025-03-03T00:00:00"/>
    <d v="2025-03-06T00:00:00"/>
    <s v="F"/>
    <x v="1"/>
    <x v="0"/>
    <x v="0"/>
    <x v="3"/>
    <x v="2"/>
    <x v="9"/>
    <x v="2"/>
  </r>
  <r>
    <s v="TX501657"/>
    <x v="2"/>
    <x v="13"/>
    <n v="99.4"/>
    <x v="1319"/>
    <d v="2025-03-03T00:00:00"/>
    <d v="2025-03-06T00:00:00"/>
    <s v="M"/>
    <x v="0"/>
    <x v="2"/>
    <x v="0"/>
    <x v="3"/>
    <x v="2"/>
    <x v="9"/>
    <x v="1"/>
  </r>
  <r>
    <s v="TX501658"/>
    <x v="11"/>
    <x v="0"/>
    <n v="38.700000000000003"/>
    <x v="1320"/>
    <d v="2025-03-03T00:00:00"/>
    <d v="2025-03-04T00:00:00"/>
    <s v="F"/>
    <x v="2"/>
    <x v="0"/>
    <x v="0"/>
    <x v="25"/>
    <x v="3"/>
    <x v="9"/>
    <x v="2"/>
  </r>
  <r>
    <s v="TX501659"/>
    <x v="4"/>
    <x v="1"/>
    <n v="35.5"/>
    <x v="1321"/>
    <d v="2025-03-03T00:00:00"/>
    <d v="2025-03-06T00:00:00"/>
    <s v="M"/>
    <x v="0"/>
    <x v="2"/>
    <x v="0"/>
    <x v="25"/>
    <x v="2"/>
    <x v="9"/>
    <x v="1"/>
  </r>
  <r>
    <s v="TX501660"/>
    <x v="2"/>
    <x v="12"/>
    <n v="93.3"/>
    <x v="1322"/>
    <d v="2025-03-03T00:00:00"/>
    <d v="2025-03-06T00:00:00"/>
    <s v="F"/>
    <x v="0"/>
    <x v="2"/>
    <x v="0"/>
    <x v="6"/>
    <x v="2"/>
    <x v="9"/>
    <x v="2"/>
  </r>
  <r>
    <s v="TX501661"/>
    <x v="16"/>
    <x v="0"/>
    <n v="31.4"/>
    <x v="1323"/>
    <d v="2025-03-03T00:00:00"/>
    <d v="2025-03-08T00:00:00"/>
    <s v="F"/>
    <x v="2"/>
    <x v="2"/>
    <x v="0"/>
    <x v="6"/>
    <x v="0"/>
    <x v="9"/>
    <x v="2"/>
  </r>
  <r>
    <s v="TX501662"/>
    <x v="1"/>
    <x v="0"/>
    <n v="85.9"/>
    <x v="1324"/>
    <d v="2025-03-03T00:00:00"/>
    <d v="2025-03-06T00:00:00"/>
    <s v="M"/>
    <x v="1"/>
    <x v="0"/>
    <x v="0"/>
    <x v="6"/>
    <x v="2"/>
    <x v="9"/>
    <x v="1"/>
  </r>
  <r>
    <s v="TX501663"/>
    <x v="6"/>
    <x v="8"/>
    <n v="41.7"/>
    <x v="335"/>
    <d v="2025-03-03T00:00:00"/>
    <d v="2025-03-11T00:00:00"/>
    <s v="M"/>
    <x v="0"/>
    <x v="2"/>
    <x v="0"/>
    <x v="7"/>
    <x v="9"/>
    <x v="9"/>
    <x v="1"/>
  </r>
  <r>
    <s v="TX501664"/>
    <x v="8"/>
    <x v="12"/>
    <n v="31.5"/>
    <x v="624"/>
    <d v="2025-03-03T00:00:00"/>
    <d v="2025-03-04T00:00:00"/>
    <s v="F"/>
    <x v="0"/>
    <x v="0"/>
    <x v="0"/>
    <x v="7"/>
    <x v="3"/>
    <x v="9"/>
    <x v="2"/>
  </r>
  <r>
    <s v="TX501665"/>
    <x v="8"/>
    <x v="1"/>
    <n v="36.299999999999997"/>
    <x v="1325"/>
    <d v="2025-03-03T00:00:00"/>
    <d v="2025-03-04T00:00:00"/>
    <s v="F"/>
    <x v="0"/>
    <x v="4"/>
    <x v="0"/>
    <x v="8"/>
    <x v="3"/>
    <x v="9"/>
    <x v="2"/>
  </r>
  <r>
    <s v="TX501666"/>
    <x v="8"/>
    <x v="2"/>
    <n v="33.4"/>
    <x v="1326"/>
    <d v="2025-03-03T00:00:00"/>
    <d v="2025-03-04T00:00:00"/>
    <s v="F"/>
    <x v="3"/>
    <x v="0"/>
    <x v="0"/>
    <x v="17"/>
    <x v="3"/>
    <x v="9"/>
    <x v="2"/>
  </r>
  <r>
    <s v="TX501667"/>
    <x v="2"/>
    <x v="2"/>
    <n v="65.2"/>
    <x v="1327"/>
    <d v="2025-03-03T00:00:00"/>
    <d v="2025-03-04T00:00:00"/>
    <s v="F"/>
    <x v="2"/>
    <x v="2"/>
    <x v="0"/>
    <x v="26"/>
    <x v="3"/>
    <x v="9"/>
    <x v="2"/>
  </r>
  <r>
    <s v="TX501668"/>
    <x v="8"/>
    <x v="11"/>
    <n v="65.5"/>
    <x v="1328"/>
    <d v="2025-03-03T00:00:00"/>
    <d v="2025-03-06T00:00:00"/>
    <s v="F"/>
    <x v="0"/>
    <x v="2"/>
    <x v="0"/>
    <x v="9"/>
    <x v="2"/>
    <x v="9"/>
    <x v="2"/>
  </r>
  <r>
    <s v="TX501669"/>
    <x v="6"/>
    <x v="2"/>
    <n v="52.8"/>
    <x v="1329"/>
    <d v="2025-03-03T00:00:00"/>
    <d v="2025-03-06T00:00:00"/>
    <s v="M"/>
    <x v="2"/>
    <x v="0"/>
    <x v="0"/>
    <x v="9"/>
    <x v="2"/>
    <x v="9"/>
    <x v="1"/>
  </r>
  <r>
    <s v="TX501670"/>
    <x v="9"/>
    <x v="9"/>
    <n v="24"/>
    <x v="160"/>
    <d v="2025-03-03T00:00:00"/>
    <d v="2025-03-07T00:00:00"/>
    <s v="M"/>
    <x v="0"/>
    <x v="1"/>
    <x v="0"/>
    <x v="11"/>
    <x v="5"/>
    <x v="9"/>
    <x v="1"/>
  </r>
  <r>
    <s v="TX501671"/>
    <x v="3"/>
    <x v="2"/>
    <n v="51.2"/>
    <x v="1330"/>
    <d v="2025-03-03T00:00:00"/>
    <d v="2025-03-04T00:00:00"/>
    <s v="F"/>
    <x v="0"/>
    <x v="0"/>
    <x v="0"/>
    <x v="32"/>
    <x v="3"/>
    <x v="9"/>
    <x v="2"/>
  </r>
  <r>
    <s v="TX501672"/>
    <x v="5"/>
    <x v="2"/>
    <n v="28.3"/>
    <x v="1331"/>
    <d v="2025-03-03T00:00:00"/>
    <d v="2025-03-05T00:00:00"/>
    <s v="M"/>
    <x v="4"/>
    <x v="0"/>
    <x v="0"/>
    <x v="19"/>
    <x v="1"/>
    <x v="9"/>
    <x v="1"/>
  </r>
  <r>
    <s v="TX501673"/>
    <x v="6"/>
    <x v="2"/>
    <n v="42.3"/>
    <x v="1332"/>
    <d v="2025-03-03T00:00:00"/>
    <d v="2025-03-03T00:00:00"/>
    <s v="F"/>
    <x v="2"/>
    <x v="1"/>
    <x v="0"/>
    <x v="19"/>
    <x v="7"/>
    <x v="9"/>
    <x v="2"/>
  </r>
  <r>
    <s v="TX501674"/>
    <x v="2"/>
    <x v="8"/>
    <n v="163.30000000000001"/>
    <x v="1333"/>
    <d v="2025-03-04T00:00:00"/>
    <d v="2025-03-05T00:00:00"/>
    <s v="F"/>
    <x v="1"/>
    <x v="0"/>
    <x v="0"/>
    <x v="13"/>
    <x v="3"/>
    <x v="9"/>
    <x v="2"/>
  </r>
  <r>
    <s v="TX501675"/>
    <x v="6"/>
    <x v="3"/>
    <n v="47.3"/>
    <x v="1334"/>
    <d v="2025-03-04T00:00:00"/>
    <d v="2025-03-07T00:00:00"/>
    <s v="F"/>
    <x v="4"/>
    <x v="1"/>
    <x v="0"/>
    <x v="21"/>
    <x v="2"/>
    <x v="9"/>
    <x v="2"/>
  </r>
  <r>
    <s v="TX501676"/>
    <x v="8"/>
    <x v="27"/>
    <n v="27.3"/>
    <x v="1335"/>
    <d v="2025-03-04T00:00:00"/>
    <d v="2025-03-05T00:00:00"/>
    <s v="F"/>
    <x v="2"/>
    <x v="0"/>
    <x v="0"/>
    <x v="21"/>
    <x v="3"/>
    <x v="9"/>
    <x v="2"/>
  </r>
  <r>
    <s v="TX501677"/>
    <x v="10"/>
    <x v="13"/>
    <n v="34.9"/>
    <x v="1336"/>
    <d v="2025-03-04T00:00:00"/>
    <d v="2025-03-15T00:00:00"/>
    <s v="F"/>
    <x v="0"/>
    <x v="0"/>
    <x v="0"/>
    <x v="21"/>
    <x v="11"/>
    <x v="9"/>
    <x v="2"/>
  </r>
  <r>
    <s v="TX501678"/>
    <x v="6"/>
    <x v="1"/>
    <n v="53.9"/>
    <x v="215"/>
    <d v="2025-03-04T00:00:00"/>
    <d v="2025-03-07T00:00:00"/>
    <s v="O"/>
    <x v="0"/>
    <x v="4"/>
    <x v="0"/>
    <x v="1"/>
    <x v="2"/>
    <x v="9"/>
    <x v="3"/>
  </r>
  <r>
    <s v="TX501679"/>
    <x v="2"/>
    <x v="1"/>
    <n v="87.2"/>
    <x v="1337"/>
    <d v="2025-03-04T00:00:00"/>
    <d v="2025-03-05T00:00:00"/>
    <s v="F"/>
    <x v="0"/>
    <x v="1"/>
    <x v="0"/>
    <x v="1"/>
    <x v="3"/>
    <x v="9"/>
    <x v="2"/>
  </r>
  <r>
    <s v="TX501680"/>
    <x v="15"/>
    <x v="0"/>
    <n v="58.8"/>
    <x v="572"/>
    <d v="2025-03-04T00:00:00"/>
    <d v="2025-03-06T00:00:00"/>
    <s v="F"/>
    <x v="2"/>
    <x v="0"/>
    <x v="0"/>
    <x v="44"/>
    <x v="1"/>
    <x v="9"/>
    <x v="2"/>
  </r>
  <r>
    <s v="TX501681"/>
    <x v="2"/>
    <x v="3"/>
    <n v="125.5"/>
    <x v="1338"/>
    <d v="2025-03-04T00:00:00"/>
    <d v="2025-03-05T00:00:00"/>
    <s v="M"/>
    <x v="2"/>
    <x v="4"/>
    <x v="0"/>
    <x v="22"/>
    <x v="3"/>
    <x v="9"/>
    <x v="1"/>
  </r>
  <r>
    <s v="TX501682"/>
    <x v="1"/>
    <x v="12"/>
    <n v="124.6"/>
    <x v="1339"/>
    <d v="2025-03-04T00:00:00"/>
    <d v="2025-03-06T00:00:00"/>
    <s v="F"/>
    <x v="0"/>
    <x v="1"/>
    <x v="0"/>
    <x v="22"/>
    <x v="1"/>
    <x v="9"/>
    <x v="2"/>
  </r>
  <r>
    <s v="TX501683"/>
    <x v="1"/>
    <x v="3"/>
    <n v="39.9"/>
    <x v="1340"/>
    <d v="2025-03-04T00:00:00"/>
    <d v="2025-03-05T00:00:00"/>
    <s v="M"/>
    <x v="2"/>
    <x v="1"/>
    <x v="0"/>
    <x v="3"/>
    <x v="3"/>
    <x v="9"/>
    <x v="1"/>
  </r>
  <r>
    <s v="TX501684"/>
    <x v="6"/>
    <x v="0"/>
    <n v="94.6"/>
    <x v="422"/>
    <d v="2025-03-04T00:00:00"/>
    <d v="2025-03-18T00:00:00"/>
    <s v="F"/>
    <x v="0"/>
    <x v="1"/>
    <x v="0"/>
    <x v="3"/>
    <x v="12"/>
    <x v="9"/>
    <x v="2"/>
  </r>
  <r>
    <s v="TX501685"/>
    <x v="2"/>
    <x v="1"/>
    <n v="149.6"/>
    <x v="1341"/>
    <d v="2025-03-04T00:00:00"/>
    <d v="2025-03-05T00:00:00"/>
    <s v="F"/>
    <x v="0"/>
    <x v="0"/>
    <x v="0"/>
    <x v="3"/>
    <x v="3"/>
    <x v="9"/>
    <x v="2"/>
  </r>
  <r>
    <s v="TX501686"/>
    <x v="8"/>
    <x v="0"/>
    <n v="52.2"/>
    <x v="1342"/>
    <d v="2025-03-04T00:00:00"/>
    <d v="2025-03-05T00:00:00"/>
    <s v=""/>
    <x v="1"/>
    <x v="0"/>
    <x v="0"/>
    <x v="3"/>
    <x v="3"/>
    <x v="9"/>
    <x v="0"/>
  </r>
  <r>
    <s v="TX501687"/>
    <x v="6"/>
    <x v="1"/>
    <n v="96.5"/>
    <x v="1343"/>
    <d v="2025-03-04T00:00:00"/>
    <d v="2025-03-05T00:00:00"/>
    <s v="F"/>
    <x v="1"/>
    <x v="1"/>
    <x v="0"/>
    <x v="3"/>
    <x v="3"/>
    <x v="9"/>
    <x v="2"/>
  </r>
  <r>
    <s v="TX501688"/>
    <x v="8"/>
    <x v="1"/>
    <n v="79.8"/>
    <x v="1344"/>
    <d v="2025-03-04T00:00:00"/>
    <d v="2025-03-06T00:00:00"/>
    <s v="F"/>
    <x v="0"/>
    <x v="1"/>
    <x v="0"/>
    <x v="3"/>
    <x v="1"/>
    <x v="9"/>
    <x v="2"/>
  </r>
  <r>
    <s v="TX501689"/>
    <x v="8"/>
    <x v="2"/>
    <n v="35.6"/>
    <x v="694"/>
    <d v="2025-03-04T00:00:00"/>
    <d v="2025-03-05T00:00:00"/>
    <s v="F"/>
    <x v="2"/>
    <x v="0"/>
    <x v="0"/>
    <x v="3"/>
    <x v="3"/>
    <x v="9"/>
    <x v="2"/>
  </r>
  <r>
    <s v="TX501690"/>
    <x v="16"/>
    <x v="0"/>
    <n v="50.2"/>
    <x v="486"/>
    <d v="2025-03-04T00:00:00"/>
    <d v="2025-03-05T00:00:00"/>
    <s v="F"/>
    <x v="1"/>
    <x v="2"/>
    <x v="0"/>
    <x v="3"/>
    <x v="3"/>
    <x v="9"/>
    <x v="2"/>
  </r>
  <r>
    <s v="TX501691"/>
    <x v="1"/>
    <x v="2"/>
    <n v="55.3"/>
    <x v="1345"/>
    <d v="2025-03-04T00:00:00"/>
    <d v="2025-03-07T00:00:00"/>
    <s v="F"/>
    <x v="0"/>
    <x v="4"/>
    <x v="0"/>
    <x v="40"/>
    <x v="2"/>
    <x v="9"/>
    <x v="2"/>
  </r>
  <r>
    <s v="TX501692"/>
    <x v="6"/>
    <x v="3"/>
    <n v="104.5"/>
    <x v="1346"/>
    <d v="2025-03-04T00:00:00"/>
    <d v="2025-03-08T00:00:00"/>
    <s v="F"/>
    <x v="1"/>
    <x v="0"/>
    <x v="0"/>
    <x v="7"/>
    <x v="5"/>
    <x v="9"/>
    <x v="2"/>
  </r>
  <r>
    <s v="TX501693"/>
    <x v="6"/>
    <x v="12"/>
    <n v="66.5"/>
    <x v="751"/>
    <d v="2025-03-04T00:00:00"/>
    <d v="2025-03-06T00:00:00"/>
    <s v="M"/>
    <x v="1"/>
    <x v="0"/>
    <x v="0"/>
    <x v="7"/>
    <x v="1"/>
    <x v="9"/>
    <x v="1"/>
  </r>
  <r>
    <s v="TX501694"/>
    <x v="10"/>
    <x v="8"/>
    <n v="38.299999999999997"/>
    <x v="1347"/>
    <d v="2025-03-04T00:00:00"/>
    <d v="2025-03-05T00:00:00"/>
    <s v="F"/>
    <x v="0"/>
    <x v="0"/>
    <x v="0"/>
    <x v="7"/>
    <x v="3"/>
    <x v="9"/>
    <x v="2"/>
  </r>
  <r>
    <s v="TX501695"/>
    <x v="6"/>
    <x v="2"/>
    <n v="63.8"/>
    <x v="1348"/>
    <d v="2025-03-04T00:00:00"/>
    <d v="2025-03-07T00:00:00"/>
    <s v="F"/>
    <x v="1"/>
    <x v="0"/>
    <x v="0"/>
    <x v="8"/>
    <x v="2"/>
    <x v="9"/>
    <x v="2"/>
  </r>
  <r>
    <s v="TX501696"/>
    <x v="15"/>
    <x v="0"/>
    <n v="21.4"/>
    <x v="1349"/>
    <d v="2025-03-04T00:00:00"/>
    <d v="2025-03-04T00:00:00"/>
    <s v="M"/>
    <x v="4"/>
    <x v="0"/>
    <x v="0"/>
    <x v="8"/>
    <x v="7"/>
    <x v="9"/>
    <x v="1"/>
  </r>
  <r>
    <s v="TX501697"/>
    <x v="8"/>
    <x v="12"/>
    <n v="44.1"/>
    <x v="1350"/>
    <d v="2025-03-04T00:00:00"/>
    <d v="2025-03-06T00:00:00"/>
    <s v="F"/>
    <x v="2"/>
    <x v="0"/>
    <x v="0"/>
    <x v="8"/>
    <x v="1"/>
    <x v="9"/>
    <x v="2"/>
  </r>
  <r>
    <s v="TX501698"/>
    <x v="5"/>
    <x v="8"/>
    <n v="57.6"/>
    <x v="1351"/>
    <d v="2025-03-04T00:00:00"/>
    <d v="2025-03-06T00:00:00"/>
    <s v="M"/>
    <x v="1"/>
    <x v="2"/>
    <x v="0"/>
    <x v="8"/>
    <x v="1"/>
    <x v="9"/>
    <x v="1"/>
  </r>
  <r>
    <s v="TX501699"/>
    <x v="9"/>
    <x v="1"/>
    <n v="20.3"/>
    <x v="1352"/>
    <d v="2025-03-04T00:00:00"/>
    <d v="2025-03-10T00:00:00"/>
    <s v="F"/>
    <x v="3"/>
    <x v="0"/>
    <x v="0"/>
    <x v="8"/>
    <x v="4"/>
    <x v="9"/>
    <x v="2"/>
  </r>
  <r>
    <s v="TX501700"/>
    <x v="8"/>
    <x v="0"/>
    <n v="22.9"/>
    <x v="1246"/>
    <d v="2025-03-04T00:00:00"/>
    <d v="2025-03-06T00:00:00"/>
    <s v="F"/>
    <x v="2"/>
    <x v="2"/>
    <x v="0"/>
    <x v="8"/>
    <x v="1"/>
    <x v="9"/>
    <x v="2"/>
  </r>
  <r>
    <s v="TX501701"/>
    <x v="6"/>
    <x v="12"/>
    <n v="105.9"/>
    <x v="1353"/>
    <d v="2025-03-04T00:00:00"/>
    <d v="2025-03-05T00:00:00"/>
    <s v="F"/>
    <x v="1"/>
    <x v="2"/>
    <x v="0"/>
    <x v="17"/>
    <x v="3"/>
    <x v="9"/>
    <x v="2"/>
  </r>
  <r>
    <s v="TX501702"/>
    <x v="1"/>
    <x v="11"/>
    <n v="37.4"/>
    <x v="1354"/>
    <d v="2025-03-04T00:00:00"/>
    <d v="2025-03-08T00:00:00"/>
    <s v="M"/>
    <x v="1"/>
    <x v="0"/>
    <x v="0"/>
    <x v="11"/>
    <x v="5"/>
    <x v="9"/>
    <x v="1"/>
  </r>
  <r>
    <s v="TX501703"/>
    <x v="18"/>
    <x v="1"/>
    <n v="79"/>
    <x v="1355"/>
    <d v="2025-03-04T00:00:00"/>
    <d v="2025-03-05T00:00:00"/>
    <s v="M"/>
    <x v="2"/>
    <x v="0"/>
    <x v="0"/>
    <x v="28"/>
    <x v="3"/>
    <x v="9"/>
    <x v="1"/>
  </r>
  <r>
    <s v="TX501704"/>
    <x v="0"/>
    <x v="2"/>
    <n v="19.3"/>
    <x v="1356"/>
    <d v="2025-03-04T00:00:00"/>
    <d v="2025-03-05T00:00:00"/>
    <s v="F"/>
    <x v="4"/>
    <x v="0"/>
    <x v="0"/>
    <x v="21"/>
    <x v="3"/>
    <x v="9"/>
    <x v="2"/>
  </r>
  <r>
    <s v="TX501705"/>
    <x v="0"/>
    <x v="0"/>
    <n v="24"/>
    <x v="835"/>
    <d v="2025-03-04T00:00:00"/>
    <d v="2025-03-05T00:00:00"/>
    <s v="F"/>
    <x v="1"/>
    <x v="0"/>
    <x v="0"/>
    <x v="1"/>
    <x v="3"/>
    <x v="9"/>
    <x v="2"/>
  </r>
  <r>
    <s v="TX501706"/>
    <x v="6"/>
    <x v="9"/>
    <n v="71.3"/>
    <x v="1357"/>
    <d v="2025-03-04T00:00:00"/>
    <d v="2025-03-07T00:00:00"/>
    <s v="F"/>
    <x v="2"/>
    <x v="0"/>
    <x v="0"/>
    <x v="2"/>
    <x v="2"/>
    <x v="9"/>
    <x v="2"/>
  </r>
  <r>
    <s v="TX501707"/>
    <x v="5"/>
    <x v="1"/>
    <n v="166.2"/>
    <x v="1358"/>
    <d v="2025-03-04T00:00:00"/>
    <d v="2025-03-05T00:00:00"/>
    <s v="M"/>
    <x v="0"/>
    <x v="2"/>
    <x v="0"/>
    <x v="50"/>
    <x v="3"/>
    <x v="9"/>
    <x v="1"/>
  </r>
  <r>
    <s v="TX501708"/>
    <x v="6"/>
    <x v="0"/>
    <n v="81"/>
    <x v="969"/>
    <d v="2025-03-04T00:00:00"/>
    <d v="2025-03-05T00:00:00"/>
    <s v="F"/>
    <x v="2"/>
    <x v="1"/>
    <x v="0"/>
    <x v="3"/>
    <x v="3"/>
    <x v="9"/>
    <x v="2"/>
  </r>
  <r>
    <s v="TX501709"/>
    <x v="10"/>
    <x v="13"/>
    <n v="38.5"/>
    <x v="1359"/>
    <d v="2025-03-04T00:00:00"/>
    <d v="2025-03-08T00:00:00"/>
    <s v="F"/>
    <x v="0"/>
    <x v="0"/>
    <x v="0"/>
    <x v="3"/>
    <x v="5"/>
    <x v="9"/>
    <x v="2"/>
  </r>
  <r>
    <s v="TX501710"/>
    <x v="6"/>
    <x v="0"/>
    <n v="86.1"/>
    <x v="1360"/>
    <d v="2025-03-04T00:00:00"/>
    <d v="2025-03-06T00:00:00"/>
    <s v="F"/>
    <x v="3"/>
    <x v="0"/>
    <x v="0"/>
    <x v="3"/>
    <x v="1"/>
    <x v="9"/>
    <x v="2"/>
  </r>
  <r>
    <s v="TX501711"/>
    <x v="2"/>
    <x v="9"/>
    <n v="51"/>
    <x v="951"/>
    <d v="2025-03-04T00:00:00"/>
    <d v="2025-03-05T00:00:00"/>
    <s v="M"/>
    <x v="0"/>
    <x v="1"/>
    <x v="0"/>
    <x v="3"/>
    <x v="3"/>
    <x v="9"/>
    <x v="1"/>
  </r>
  <r>
    <s v="TX501712"/>
    <x v="3"/>
    <x v="9"/>
    <n v="115.4"/>
    <x v="1361"/>
    <d v="2025-03-04T00:00:00"/>
    <d v="2025-03-05T00:00:00"/>
    <s v="M"/>
    <x v="0"/>
    <x v="0"/>
    <x v="0"/>
    <x v="3"/>
    <x v="3"/>
    <x v="9"/>
    <x v="1"/>
  </r>
  <r>
    <s v="TX501713"/>
    <x v="6"/>
    <x v="12"/>
    <n v="176.5"/>
    <x v="1362"/>
    <d v="2025-03-04T00:00:00"/>
    <d v="2025-03-05T00:00:00"/>
    <s v="F"/>
    <x v="2"/>
    <x v="2"/>
    <x v="0"/>
    <x v="3"/>
    <x v="3"/>
    <x v="9"/>
    <x v="2"/>
  </r>
  <r>
    <s v="TX501714"/>
    <x v="7"/>
    <x v="2"/>
    <n v="48.9"/>
    <x v="1363"/>
    <d v="2025-03-04T00:00:00"/>
    <d v="2025-03-05T00:00:00"/>
    <s v="M"/>
    <x v="4"/>
    <x v="0"/>
    <x v="0"/>
    <x v="3"/>
    <x v="3"/>
    <x v="9"/>
    <x v="1"/>
  </r>
  <r>
    <s v="TX501715"/>
    <x v="8"/>
    <x v="2"/>
    <n v="18.100000000000001"/>
    <x v="1364"/>
    <d v="2025-03-04T00:00:00"/>
    <d v="2025-03-11T00:00:00"/>
    <s v="F"/>
    <x v="1"/>
    <x v="2"/>
    <x v="0"/>
    <x v="29"/>
    <x v="6"/>
    <x v="9"/>
    <x v="2"/>
  </r>
  <r>
    <s v="TX501716"/>
    <x v="2"/>
    <x v="1"/>
    <n v="118.5"/>
    <x v="1365"/>
    <d v="2025-03-04T00:00:00"/>
    <d v="2025-03-07T00:00:00"/>
    <s v="M"/>
    <x v="1"/>
    <x v="2"/>
    <x v="0"/>
    <x v="16"/>
    <x v="2"/>
    <x v="9"/>
    <x v="1"/>
  </r>
  <r>
    <s v="TX501717"/>
    <x v="15"/>
    <x v="3"/>
    <n v="59.1"/>
    <x v="1366"/>
    <d v="2025-03-04T00:00:00"/>
    <d v="2025-03-05T00:00:00"/>
    <s v="F"/>
    <x v="3"/>
    <x v="0"/>
    <x v="0"/>
    <x v="25"/>
    <x v="3"/>
    <x v="9"/>
    <x v="2"/>
  </r>
  <r>
    <s v="TX501718"/>
    <x v="4"/>
    <x v="0"/>
    <n v="21.2"/>
    <x v="333"/>
    <d v="2025-03-04T00:00:00"/>
    <d v="2025-03-05T00:00:00"/>
    <s v="F"/>
    <x v="0"/>
    <x v="1"/>
    <x v="0"/>
    <x v="6"/>
    <x v="3"/>
    <x v="9"/>
    <x v="2"/>
  </r>
  <r>
    <s v="TX501719"/>
    <x v="6"/>
    <x v="1"/>
    <n v="68.8"/>
    <x v="1367"/>
    <d v="2025-03-04T00:00:00"/>
    <d v="2025-03-09T00:00:00"/>
    <s v="F"/>
    <x v="3"/>
    <x v="2"/>
    <x v="0"/>
    <x v="6"/>
    <x v="0"/>
    <x v="9"/>
    <x v="2"/>
  </r>
  <r>
    <s v="TX501720"/>
    <x v="6"/>
    <x v="1"/>
    <n v="65.400000000000006"/>
    <x v="1272"/>
    <d v="2025-03-04T00:00:00"/>
    <d v="2025-03-08T00:00:00"/>
    <s v="F"/>
    <x v="0"/>
    <x v="0"/>
    <x v="0"/>
    <x v="6"/>
    <x v="5"/>
    <x v="9"/>
    <x v="2"/>
  </r>
  <r>
    <s v="TX501721"/>
    <x v="12"/>
    <x v="9"/>
    <n v="66.3"/>
    <x v="1278"/>
    <d v="2025-03-05T00:00:00"/>
    <d v="2025-03-08T00:00:00"/>
    <s v="F"/>
    <x v="4"/>
    <x v="0"/>
    <x v="0"/>
    <x v="6"/>
    <x v="2"/>
    <x v="9"/>
    <x v="2"/>
  </r>
  <r>
    <s v="TX501722"/>
    <x v="6"/>
    <x v="2"/>
    <n v="97.5"/>
    <x v="1368"/>
    <d v="2025-03-05T00:00:00"/>
    <d v="2025-03-05T00:00:00"/>
    <s v="M"/>
    <x v="3"/>
    <x v="0"/>
    <x v="0"/>
    <x v="8"/>
    <x v="7"/>
    <x v="9"/>
    <x v="1"/>
  </r>
  <r>
    <s v="TX501723"/>
    <x v="1"/>
    <x v="1"/>
    <n v="44"/>
    <x v="1155"/>
    <d v="2025-03-05T00:00:00"/>
    <d v="2025-03-08T00:00:00"/>
    <s v="F"/>
    <x v="1"/>
    <x v="2"/>
    <x v="0"/>
    <x v="8"/>
    <x v="2"/>
    <x v="9"/>
    <x v="2"/>
  </r>
  <r>
    <s v="TX501724"/>
    <x v="0"/>
    <x v="0"/>
    <n v="21.9"/>
    <x v="731"/>
    <d v="2025-03-05T00:00:00"/>
    <d v="2025-03-06T00:00:00"/>
    <s v="M"/>
    <x v="0"/>
    <x v="0"/>
    <x v="0"/>
    <x v="8"/>
    <x v="3"/>
    <x v="9"/>
    <x v="1"/>
  </r>
  <r>
    <s v="TX501725"/>
    <x v="4"/>
    <x v="3"/>
    <n v="21.5"/>
    <x v="379"/>
    <d v="2025-03-05T00:00:00"/>
    <d v="2025-03-07T00:00:00"/>
    <s v="F"/>
    <x v="1"/>
    <x v="2"/>
    <x v="0"/>
    <x v="9"/>
    <x v="1"/>
    <x v="9"/>
    <x v="2"/>
  </r>
  <r>
    <s v="TX501726"/>
    <x v="12"/>
    <x v="13"/>
    <n v="133"/>
    <x v="1369"/>
    <d v="2025-03-05T00:00:00"/>
    <d v="2025-03-06T00:00:00"/>
    <s v="O"/>
    <x v="0"/>
    <x v="2"/>
    <x v="0"/>
    <x v="10"/>
    <x v="3"/>
    <x v="9"/>
    <x v="3"/>
  </r>
  <r>
    <s v="TX501727"/>
    <x v="8"/>
    <x v="1"/>
    <n v="47.7"/>
    <x v="233"/>
    <d v="2025-03-05T00:00:00"/>
    <d v="2025-03-09T00:00:00"/>
    <s v="M"/>
    <x v="0"/>
    <x v="2"/>
    <x v="0"/>
    <x v="10"/>
    <x v="5"/>
    <x v="9"/>
    <x v="1"/>
  </r>
  <r>
    <s v="TX501728"/>
    <x v="16"/>
    <x v="2"/>
    <n v="58.1"/>
    <x v="889"/>
    <d v="2025-03-05T00:00:00"/>
    <d v="2025-03-06T00:00:00"/>
    <s v="F"/>
    <x v="0"/>
    <x v="0"/>
    <x v="0"/>
    <x v="11"/>
    <x v="3"/>
    <x v="9"/>
    <x v="2"/>
  </r>
  <r>
    <s v="TX501729"/>
    <x v="12"/>
    <x v="12"/>
    <n v="66.599999999999994"/>
    <x v="1370"/>
    <d v="2025-03-05T00:00:00"/>
    <d v="2025-03-06T00:00:00"/>
    <s v=""/>
    <x v="0"/>
    <x v="0"/>
    <x v="0"/>
    <x v="11"/>
    <x v="3"/>
    <x v="9"/>
    <x v="0"/>
  </r>
  <r>
    <s v="TX501730"/>
    <x v="9"/>
    <x v="0"/>
    <n v="24.1"/>
    <x v="1057"/>
    <d v="2025-03-05T00:00:00"/>
    <d v="2025-03-08T00:00:00"/>
    <s v="M"/>
    <x v="2"/>
    <x v="1"/>
    <x v="0"/>
    <x v="19"/>
    <x v="2"/>
    <x v="9"/>
    <x v="1"/>
  </r>
  <r>
    <s v="TX501731"/>
    <x v="10"/>
    <x v="9"/>
    <n v="51.5"/>
    <x v="1371"/>
    <d v="2025-03-05T00:00:00"/>
    <d v="2025-03-10T00:00:00"/>
    <s v="F"/>
    <x v="0"/>
    <x v="0"/>
    <x v="0"/>
    <x v="13"/>
    <x v="0"/>
    <x v="9"/>
    <x v="2"/>
  </r>
  <r>
    <s v="TX501732"/>
    <x v="0"/>
    <x v="5"/>
    <n v="25.8"/>
    <x v="674"/>
    <d v="2025-03-05T00:00:00"/>
    <d v="2025-03-09T00:00:00"/>
    <s v="F"/>
    <x v="3"/>
    <x v="4"/>
    <x v="0"/>
    <x v="21"/>
    <x v="5"/>
    <x v="9"/>
    <x v="2"/>
  </r>
  <r>
    <s v="TX501733"/>
    <x v="9"/>
    <x v="12"/>
    <n v="47.7"/>
    <x v="1372"/>
    <d v="2025-03-05T00:00:00"/>
    <d v="2025-03-05T00:00:00"/>
    <s v="F"/>
    <x v="0"/>
    <x v="1"/>
    <x v="0"/>
    <x v="21"/>
    <x v="7"/>
    <x v="9"/>
    <x v="2"/>
  </r>
  <r>
    <s v="TX501734"/>
    <x v="7"/>
    <x v="9"/>
    <n v="73.599999999999994"/>
    <x v="1373"/>
    <d v="2025-03-05T00:00:00"/>
    <d v="2025-03-09T00:00:00"/>
    <s v="M"/>
    <x v="1"/>
    <x v="0"/>
    <x v="0"/>
    <x v="21"/>
    <x v="5"/>
    <x v="9"/>
    <x v="1"/>
  </r>
  <r>
    <s v="TX501735"/>
    <x v="5"/>
    <x v="3"/>
    <n v="91.2"/>
    <x v="1374"/>
    <d v="2025-03-05T00:00:00"/>
    <d v="2025-03-06T00:00:00"/>
    <s v="M"/>
    <x v="1"/>
    <x v="2"/>
    <x v="0"/>
    <x v="21"/>
    <x v="3"/>
    <x v="9"/>
    <x v="1"/>
  </r>
  <r>
    <s v="TX501736"/>
    <x v="1"/>
    <x v="8"/>
    <n v="36.200000000000003"/>
    <x v="1375"/>
    <d v="2025-03-05T00:00:00"/>
    <d v="2025-03-05T00:00:00"/>
    <s v="M"/>
    <x v="2"/>
    <x v="2"/>
    <x v="0"/>
    <x v="1"/>
    <x v="7"/>
    <x v="9"/>
    <x v="1"/>
  </r>
  <r>
    <s v="TX501737"/>
    <x v="9"/>
    <x v="8"/>
    <n v="98"/>
    <x v="1376"/>
    <d v="2025-03-05T00:00:00"/>
    <d v="2025-03-09T00:00:00"/>
    <s v="F"/>
    <x v="2"/>
    <x v="0"/>
    <x v="0"/>
    <x v="2"/>
    <x v="5"/>
    <x v="9"/>
    <x v="2"/>
  </r>
  <r>
    <s v="TX501738"/>
    <x v="1"/>
    <x v="8"/>
    <n v="43.6"/>
    <x v="1377"/>
    <d v="2025-03-05T00:00:00"/>
    <d v="2025-03-06T00:00:00"/>
    <s v="F"/>
    <x v="2"/>
    <x v="0"/>
    <x v="0"/>
    <x v="22"/>
    <x v="3"/>
    <x v="9"/>
    <x v="2"/>
  </r>
  <r>
    <s v="TX501739"/>
    <x v="8"/>
    <x v="7"/>
    <n v="37.799999999999997"/>
    <x v="1378"/>
    <d v="2025-03-05T00:00:00"/>
    <d v="2025-03-05T00:00:00"/>
    <s v="O"/>
    <x v="0"/>
    <x v="0"/>
    <x v="0"/>
    <x v="50"/>
    <x v="7"/>
    <x v="9"/>
    <x v="3"/>
  </r>
  <r>
    <s v="TX501740"/>
    <x v="17"/>
    <x v="9"/>
    <n v="63.7"/>
    <x v="46"/>
    <d v="2025-03-05T00:00:00"/>
    <d v="2025-03-08T00:00:00"/>
    <s v="F"/>
    <x v="2"/>
    <x v="1"/>
    <x v="0"/>
    <x v="3"/>
    <x v="2"/>
    <x v="9"/>
    <x v="2"/>
  </r>
  <r>
    <s v="TX501741"/>
    <x v="5"/>
    <x v="11"/>
    <n v="62.9"/>
    <x v="1379"/>
    <d v="2025-03-05T00:00:00"/>
    <d v="2025-03-10T00:00:00"/>
    <s v="M"/>
    <x v="3"/>
    <x v="2"/>
    <x v="0"/>
    <x v="3"/>
    <x v="0"/>
    <x v="9"/>
    <x v="1"/>
  </r>
  <r>
    <s v="TX501742"/>
    <x v="6"/>
    <x v="3"/>
    <n v="61.7"/>
    <x v="245"/>
    <d v="2025-03-05T00:00:00"/>
    <d v="2025-03-08T00:00:00"/>
    <s v="F"/>
    <x v="2"/>
    <x v="2"/>
    <x v="0"/>
    <x v="3"/>
    <x v="2"/>
    <x v="9"/>
    <x v="2"/>
  </r>
  <r>
    <s v="TX501743"/>
    <x v="18"/>
    <x v="21"/>
    <n v="36.5"/>
    <x v="1380"/>
    <d v="2025-03-05T00:00:00"/>
    <d v="2025-03-06T00:00:00"/>
    <s v="M"/>
    <x v="0"/>
    <x v="2"/>
    <x v="0"/>
    <x v="3"/>
    <x v="3"/>
    <x v="9"/>
    <x v="1"/>
  </r>
  <r>
    <s v="TX501744"/>
    <x v="11"/>
    <x v="2"/>
    <n v="98.6"/>
    <x v="1381"/>
    <d v="2025-03-05T00:00:00"/>
    <d v="2025-03-08T00:00:00"/>
    <s v="O"/>
    <x v="0"/>
    <x v="4"/>
    <x v="0"/>
    <x v="3"/>
    <x v="2"/>
    <x v="9"/>
    <x v="3"/>
  </r>
  <r>
    <s v="TX501745"/>
    <x v="8"/>
    <x v="1"/>
    <n v="19.2"/>
    <x v="1139"/>
    <d v="2025-03-05T00:00:00"/>
    <d v="2025-03-15T00:00:00"/>
    <s v="M"/>
    <x v="0"/>
    <x v="0"/>
    <x v="0"/>
    <x v="3"/>
    <x v="14"/>
    <x v="9"/>
    <x v="1"/>
  </r>
  <r>
    <s v="TX501746"/>
    <x v="3"/>
    <x v="13"/>
    <n v="55.6"/>
    <x v="335"/>
    <d v="2025-03-05T00:00:00"/>
    <d v="2025-03-09T00:00:00"/>
    <s v="F"/>
    <x v="0"/>
    <x v="2"/>
    <x v="0"/>
    <x v="3"/>
    <x v="5"/>
    <x v="9"/>
    <x v="2"/>
  </r>
  <r>
    <s v="TX501747"/>
    <x v="5"/>
    <x v="13"/>
    <n v="56.4"/>
    <x v="1382"/>
    <d v="2025-03-05T00:00:00"/>
    <d v="2025-03-06T00:00:00"/>
    <s v="F"/>
    <x v="1"/>
    <x v="0"/>
    <x v="0"/>
    <x v="3"/>
    <x v="3"/>
    <x v="9"/>
    <x v="2"/>
  </r>
  <r>
    <s v="TX501748"/>
    <x v="4"/>
    <x v="8"/>
    <n v="43.1"/>
    <x v="1383"/>
    <d v="2025-03-05T00:00:00"/>
    <d v="2025-03-09T00:00:00"/>
    <s v="F"/>
    <x v="4"/>
    <x v="0"/>
    <x v="0"/>
    <x v="3"/>
    <x v="5"/>
    <x v="9"/>
    <x v="2"/>
  </r>
  <r>
    <s v="TX501749"/>
    <x v="1"/>
    <x v="1"/>
    <n v="77.3"/>
    <x v="1384"/>
    <d v="2025-03-05T00:00:00"/>
    <d v="2025-03-07T00:00:00"/>
    <s v="M"/>
    <x v="0"/>
    <x v="0"/>
    <x v="0"/>
    <x v="6"/>
    <x v="1"/>
    <x v="9"/>
    <x v="1"/>
  </r>
  <r>
    <s v="TX501750"/>
    <x v="9"/>
    <x v="8"/>
    <n v="38.299999999999997"/>
    <x v="1347"/>
    <d v="2025-03-05T00:00:00"/>
    <d v="2025-03-06T00:00:00"/>
    <s v="M"/>
    <x v="0"/>
    <x v="0"/>
    <x v="0"/>
    <x v="7"/>
    <x v="3"/>
    <x v="9"/>
    <x v="1"/>
  </r>
  <r>
    <s v="TX501751"/>
    <x v="0"/>
    <x v="3"/>
    <n v="16.8"/>
    <x v="557"/>
    <d v="2025-03-05T00:00:00"/>
    <d v="2025-03-08T00:00:00"/>
    <s v="M"/>
    <x v="2"/>
    <x v="1"/>
    <x v="0"/>
    <x v="8"/>
    <x v="2"/>
    <x v="9"/>
    <x v="1"/>
  </r>
  <r>
    <s v="TX501752"/>
    <x v="2"/>
    <x v="2"/>
    <n v="63.2"/>
    <x v="1385"/>
    <d v="2025-03-05T00:00:00"/>
    <d v="2025-03-06T00:00:00"/>
    <s v="F"/>
    <x v="0"/>
    <x v="2"/>
    <x v="0"/>
    <x v="8"/>
    <x v="3"/>
    <x v="9"/>
    <x v="2"/>
  </r>
  <r>
    <s v="TX501753"/>
    <x v="14"/>
    <x v="44"/>
    <n v="39.700000000000003"/>
    <x v="1386"/>
    <d v="2025-03-05T00:00:00"/>
    <d v="2025-03-06T00:00:00"/>
    <s v="M"/>
    <x v="0"/>
    <x v="0"/>
    <x v="0"/>
    <x v="8"/>
    <x v="3"/>
    <x v="9"/>
    <x v="1"/>
  </r>
  <r>
    <s v="TX501754"/>
    <x v="10"/>
    <x v="2"/>
    <n v="45.8"/>
    <x v="1387"/>
    <d v="2025-03-05T00:00:00"/>
    <d v="2025-03-06T00:00:00"/>
    <s v="F"/>
    <x v="1"/>
    <x v="2"/>
    <x v="0"/>
    <x v="8"/>
    <x v="3"/>
    <x v="9"/>
    <x v="2"/>
  </r>
  <r>
    <s v="TX501755"/>
    <x v="0"/>
    <x v="13"/>
    <n v="12.4"/>
    <x v="610"/>
    <d v="2025-03-05T00:00:00"/>
    <d v="2025-03-08T00:00:00"/>
    <s v="M"/>
    <x v="0"/>
    <x v="0"/>
    <x v="0"/>
    <x v="8"/>
    <x v="2"/>
    <x v="9"/>
    <x v="1"/>
  </r>
  <r>
    <s v="TX501756"/>
    <x v="14"/>
    <x v="2"/>
    <n v="50.8"/>
    <x v="1388"/>
    <d v="2025-03-06T00:00:00"/>
    <d v="2025-03-06T00:00:00"/>
    <s v="F"/>
    <x v="4"/>
    <x v="0"/>
    <x v="0"/>
    <x v="17"/>
    <x v="7"/>
    <x v="9"/>
    <x v="2"/>
  </r>
  <r>
    <s v="TX501757"/>
    <x v="9"/>
    <x v="0"/>
    <n v="76"/>
    <x v="998"/>
    <d v="2025-03-06T00:00:00"/>
    <d v="2025-03-10T00:00:00"/>
    <s v="O"/>
    <x v="2"/>
    <x v="2"/>
    <x v="0"/>
    <x v="17"/>
    <x v="5"/>
    <x v="9"/>
    <x v="3"/>
  </r>
  <r>
    <s v="TX501758"/>
    <x v="1"/>
    <x v="1"/>
    <n v="51.9"/>
    <x v="1389"/>
    <d v="2025-03-06T00:00:00"/>
    <d v="2025-03-07T00:00:00"/>
    <s v="M"/>
    <x v="1"/>
    <x v="2"/>
    <x v="0"/>
    <x v="26"/>
    <x v="3"/>
    <x v="9"/>
    <x v="1"/>
  </r>
  <r>
    <s v="TX501759"/>
    <x v="2"/>
    <x v="1"/>
    <n v="93.4"/>
    <x v="1390"/>
    <d v="2025-03-06T00:00:00"/>
    <d v="2025-03-13T00:00:00"/>
    <s v="M"/>
    <x v="0"/>
    <x v="3"/>
    <x v="0"/>
    <x v="11"/>
    <x v="6"/>
    <x v="9"/>
    <x v="1"/>
  </r>
  <r>
    <s v="TX501760"/>
    <x v="7"/>
    <x v="13"/>
    <n v="30.8"/>
    <x v="827"/>
    <d v="2025-03-06T00:00:00"/>
    <d v="2025-03-09T00:00:00"/>
    <s v="F"/>
    <x v="1"/>
    <x v="0"/>
    <x v="0"/>
    <x v="11"/>
    <x v="2"/>
    <x v="9"/>
    <x v="2"/>
  </r>
  <r>
    <s v="TX501761"/>
    <x v="2"/>
    <x v="0"/>
    <n v="143.19999999999999"/>
    <x v="1391"/>
    <d v="2025-03-06T00:00:00"/>
    <d v="2025-03-09T00:00:00"/>
    <s v="M"/>
    <x v="2"/>
    <x v="0"/>
    <x v="0"/>
    <x v="11"/>
    <x v="2"/>
    <x v="9"/>
    <x v="1"/>
  </r>
  <r>
    <s v="TX501762"/>
    <x v="6"/>
    <x v="5"/>
    <n v="40.4"/>
    <x v="1392"/>
    <d v="2025-03-06T00:00:00"/>
    <d v="2025-03-08T00:00:00"/>
    <s v="M"/>
    <x v="2"/>
    <x v="2"/>
    <x v="0"/>
    <x v="18"/>
    <x v="1"/>
    <x v="9"/>
    <x v="1"/>
  </r>
  <r>
    <s v="TX501763"/>
    <x v="2"/>
    <x v="10"/>
    <n v="131.5"/>
    <x v="1393"/>
    <d v="2025-03-06T00:00:00"/>
    <d v="2025-03-08T00:00:00"/>
    <s v="M"/>
    <x v="1"/>
    <x v="1"/>
    <x v="0"/>
    <x v="18"/>
    <x v="1"/>
    <x v="9"/>
    <x v="1"/>
  </r>
  <r>
    <s v="TX501764"/>
    <x v="18"/>
    <x v="3"/>
    <n v="61.6"/>
    <x v="348"/>
    <d v="2025-03-06T00:00:00"/>
    <d v="2025-03-07T00:00:00"/>
    <s v="M"/>
    <x v="2"/>
    <x v="0"/>
    <x v="0"/>
    <x v="21"/>
    <x v="3"/>
    <x v="9"/>
    <x v="1"/>
  </r>
  <r>
    <s v="TX501765"/>
    <x v="9"/>
    <x v="9"/>
    <n v="32.700000000000003"/>
    <x v="838"/>
    <d v="2025-03-06T00:00:00"/>
    <d v="2025-03-08T00:00:00"/>
    <s v="M"/>
    <x v="2"/>
    <x v="0"/>
    <x v="0"/>
    <x v="1"/>
    <x v="1"/>
    <x v="9"/>
    <x v="1"/>
  </r>
  <r>
    <s v="TX501766"/>
    <x v="0"/>
    <x v="7"/>
    <n v="13.7"/>
    <x v="383"/>
    <d v="2025-03-06T00:00:00"/>
    <d v="2025-03-07T00:00:00"/>
    <s v="M"/>
    <x v="0"/>
    <x v="2"/>
    <x v="0"/>
    <x v="3"/>
    <x v="3"/>
    <x v="9"/>
    <x v="1"/>
  </r>
  <r>
    <s v="TX501767"/>
    <x v="0"/>
    <x v="12"/>
    <n v="32.1"/>
    <x v="58"/>
    <d v="2025-03-06T00:00:00"/>
    <d v="2025-03-07T00:00:00"/>
    <s v="M"/>
    <x v="4"/>
    <x v="1"/>
    <x v="0"/>
    <x v="3"/>
    <x v="3"/>
    <x v="9"/>
    <x v="1"/>
  </r>
  <r>
    <s v="TX501768"/>
    <x v="14"/>
    <x v="8"/>
    <n v="12"/>
    <x v="854"/>
    <d v="2025-03-06T00:00:00"/>
    <d v="2025-03-07T00:00:00"/>
    <s v="M"/>
    <x v="1"/>
    <x v="0"/>
    <x v="0"/>
    <x v="24"/>
    <x v="3"/>
    <x v="9"/>
    <x v="1"/>
  </r>
  <r>
    <s v="TX501769"/>
    <x v="12"/>
    <x v="0"/>
    <n v="64.3"/>
    <x v="1394"/>
    <d v="2025-03-06T00:00:00"/>
    <d v="2025-03-08T00:00:00"/>
    <s v="F"/>
    <x v="2"/>
    <x v="2"/>
    <x v="0"/>
    <x v="6"/>
    <x v="1"/>
    <x v="9"/>
    <x v="2"/>
  </r>
  <r>
    <s v="TX501770"/>
    <x v="1"/>
    <x v="2"/>
    <n v="58.2"/>
    <x v="1395"/>
    <d v="2025-03-06T00:00:00"/>
    <d v="2025-03-08T00:00:00"/>
    <s v="F"/>
    <x v="1"/>
    <x v="2"/>
    <x v="0"/>
    <x v="6"/>
    <x v="1"/>
    <x v="9"/>
    <x v="2"/>
  </r>
  <r>
    <s v="TX501771"/>
    <x v="6"/>
    <x v="12"/>
    <n v="59.2"/>
    <x v="1396"/>
    <d v="2025-03-06T00:00:00"/>
    <d v="2025-03-06T00:00:00"/>
    <s v="M"/>
    <x v="1"/>
    <x v="2"/>
    <x v="0"/>
    <x v="6"/>
    <x v="7"/>
    <x v="9"/>
    <x v="1"/>
  </r>
  <r>
    <s v="TX501772"/>
    <x v="10"/>
    <x v="5"/>
    <n v="35.6"/>
    <x v="590"/>
    <d v="2025-03-06T00:00:00"/>
    <d v="2025-03-13T00:00:00"/>
    <s v="M"/>
    <x v="0"/>
    <x v="2"/>
    <x v="0"/>
    <x v="8"/>
    <x v="6"/>
    <x v="9"/>
    <x v="1"/>
  </r>
  <r>
    <s v="TX501773"/>
    <x v="16"/>
    <x v="8"/>
    <n v="37"/>
    <x v="1397"/>
    <d v="2025-03-06T00:00:00"/>
    <d v="2025-03-10T00:00:00"/>
    <s v="F"/>
    <x v="2"/>
    <x v="1"/>
    <x v="0"/>
    <x v="8"/>
    <x v="5"/>
    <x v="9"/>
    <x v="2"/>
  </r>
  <r>
    <s v="TX501774"/>
    <x v="1"/>
    <x v="15"/>
    <n v="80.8"/>
    <x v="1398"/>
    <d v="2025-03-06T00:00:00"/>
    <d v="2025-03-08T00:00:00"/>
    <s v="F"/>
    <x v="0"/>
    <x v="0"/>
    <x v="0"/>
    <x v="8"/>
    <x v="1"/>
    <x v="9"/>
    <x v="2"/>
  </r>
  <r>
    <s v="TX501775"/>
    <x v="8"/>
    <x v="1"/>
    <n v="63.2"/>
    <x v="628"/>
    <d v="2025-03-06T00:00:00"/>
    <d v="2025-03-07T00:00:00"/>
    <s v="M"/>
    <x v="0"/>
    <x v="1"/>
    <x v="0"/>
    <x v="8"/>
    <x v="3"/>
    <x v="9"/>
    <x v="1"/>
  </r>
  <r>
    <s v="TX501776"/>
    <x v="3"/>
    <x v="1"/>
    <n v="40.799999999999997"/>
    <x v="330"/>
    <d v="2025-03-06T00:00:00"/>
    <d v="2025-03-08T00:00:00"/>
    <s v="M"/>
    <x v="0"/>
    <x v="1"/>
    <x v="0"/>
    <x v="17"/>
    <x v="1"/>
    <x v="9"/>
    <x v="1"/>
  </r>
  <r>
    <s v="TX501777"/>
    <x v="13"/>
    <x v="13"/>
    <n v="25.7"/>
    <x v="1399"/>
    <d v="2025-03-06T00:00:00"/>
    <d v="2025-03-08T00:00:00"/>
    <s v="M"/>
    <x v="4"/>
    <x v="0"/>
    <x v="0"/>
    <x v="18"/>
    <x v="1"/>
    <x v="9"/>
    <x v="1"/>
  </r>
  <r>
    <s v="TX501778"/>
    <x v="16"/>
    <x v="1"/>
    <n v="49.9"/>
    <x v="350"/>
    <d v="2025-03-06T00:00:00"/>
    <d v="2025-03-09T00:00:00"/>
    <s v="M"/>
    <x v="0"/>
    <x v="0"/>
    <x v="0"/>
    <x v="20"/>
    <x v="2"/>
    <x v="9"/>
    <x v="1"/>
  </r>
  <r>
    <s v="TX501779"/>
    <x v="8"/>
    <x v="1"/>
    <n v="20.2"/>
    <x v="1400"/>
    <d v="2025-03-06T00:00:00"/>
    <d v="2025-03-08T00:00:00"/>
    <s v="F"/>
    <x v="3"/>
    <x v="0"/>
    <x v="0"/>
    <x v="21"/>
    <x v="1"/>
    <x v="9"/>
    <x v="2"/>
  </r>
  <r>
    <s v="TX501780"/>
    <x v="6"/>
    <x v="2"/>
    <n v="48.4"/>
    <x v="1401"/>
    <d v="2025-03-06T00:00:00"/>
    <d v="2025-03-11T00:00:00"/>
    <s v="F"/>
    <x v="0"/>
    <x v="2"/>
    <x v="0"/>
    <x v="21"/>
    <x v="0"/>
    <x v="9"/>
    <x v="2"/>
  </r>
  <r>
    <s v="TX501781"/>
    <x v="6"/>
    <x v="1"/>
    <n v="81"/>
    <x v="915"/>
    <d v="2025-03-06T00:00:00"/>
    <d v="2025-03-07T00:00:00"/>
    <s v="F"/>
    <x v="1"/>
    <x v="2"/>
    <x v="0"/>
    <x v="21"/>
    <x v="3"/>
    <x v="9"/>
    <x v="2"/>
  </r>
  <r>
    <s v="TX501782"/>
    <x v="8"/>
    <x v="13"/>
    <n v="19.899999999999999"/>
    <x v="1402"/>
    <d v="2025-03-06T00:00:00"/>
    <d v="2025-03-09T00:00:00"/>
    <s v="F"/>
    <x v="0"/>
    <x v="1"/>
    <x v="0"/>
    <x v="22"/>
    <x v="2"/>
    <x v="9"/>
    <x v="2"/>
  </r>
  <r>
    <s v="TX501783"/>
    <x v="4"/>
    <x v="12"/>
    <n v="32.200000000000003"/>
    <x v="1403"/>
    <d v="2025-03-06T00:00:00"/>
    <d v="2025-03-16T00:00:00"/>
    <s v="M"/>
    <x v="0"/>
    <x v="0"/>
    <x v="0"/>
    <x v="22"/>
    <x v="14"/>
    <x v="9"/>
    <x v="1"/>
  </r>
  <r>
    <s v="TX501784"/>
    <x v="5"/>
    <x v="2"/>
    <n v="76.8"/>
    <x v="1404"/>
    <d v="2025-03-06T00:00:00"/>
    <d v="2025-03-07T00:00:00"/>
    <s v="F"/>
    <x v="0"/>
    <x v="1"/>
    <x v="0"/>
    <x v="3"/>
    <x v="3"/>
    <x v="9"/>
    <x v="2"/>
  </r>
  <r>
    <s v="TX501785"/>
    <x v="6"/>
    <x v="1"/>
    <n v="41.9"/>
    <x v="1405"/>
    <d v="2025-03-06T00:00:00"/>
    <d v="2025-03-08T00:00:00"/>
    <s v="F"/>
    <x v="0"/>
    <x v="0"/>
    <x v="0"/>
    <x v="3"/>
    <x v="1"/>
    <x v="9"/>
    <x v="2"/>
  </r>
  <r>
    <s v="TX501786"/>
    <x v="0"/>
    <x v="3"/>
    <n v="34"/>
    <x v="1248"/>
    <d v="2025-03-06T00:00:00"/>
    <d v="2025-03-08T00:00:00"/>
    <s v="F"/>
    <x v="1"/>
    <x v="2"/>
    <x v="0"/>
    <x v="3"/>
    <x v="1"/>
    <x v="9"/>
    <x v="2"/>
  </r>
  <r>
    <s v="TX501787"/>
    <x v="7"/>
    <x v="3"/>
    <n v="61.3"/>
    <x v="1406"/>
    <d v="2025-03-06T00:00:00"/>
    <d v="2025-03-06T00:00:00"/>
    <s v="F"/>
    <x v="4"/>
    <x v="2"/>
    <x v="0"/>
    <x v="3"/>
    <x v="7"/>
    <x v="9"/>
    <x v="2"/>
  </r>
  <r>
    <s v="TX501788"/>
    <x v="9"/>
    <x v="0"/>
    <n v="54.7"/>
    <x v="1407"/>
    <d v="2025-03-07T00:00:00"/>
    <d v="2025-03-08T00:00:00"/>
    <s v="M"/>
    <x v="0"/>
    <x v="1"/>
    <x v="0"/>
    <x v="3"/>
    <x v="3"/>
    <x v="9"/>
    <x v="1"/>
  </r>
  <r>
    <s v="TX501789"/>
    <x v="6"/>
    <x v="7"/>
    <n v="84.7"/>
    <x v="1408"/>
    <d v="2025-03-07T00:00:00"/>
    <d v="2025-03-11T00:00:00"/>
    <s v="F"/>
    <x v="0"/>
    <x v="0"/>
    <x v="0"/>
    <x v="3"/>
    <x v="5"/>
    <x v="9"/>
    <x v="2"/>
  </r>
  <r>
    <s v="TX501790"/>
    <x v="1"/>
    <x v="2"/>
    <n v="93.4"/>
    <x v="1409"/>
    <d v="2025-03-07T00:00:00"/>
    <d v="2025-03-11T00:00:00"/>
    <s v="F"/>
    <x v="3"/>
    <x v="0"/>
    <x v="0"/>
    <x v="3"/>
    <x v="5"/>
    <x v="9"/>
    <x v="2"/>
  </r>
  <r>
    <s v="TX501791"/>
    <x v="8"/>
    <x v="9"/>
    <n v="27"/>
    <x v="340"/>
    <d v="2025-03-07T00:00:00"/>
    <d v="2025-03-10T00:00:00"/>
    <s v="M"/>
    <x v="0"/>
    <x v="1"/>
    <x v="0"/>
    <x v="3"/>
    <x v="2"/>
    <x v="9"/>
    <x v="1"/>
  </r>
  <r>
    <s v="TX501792"/>
    <x v="0"/>
    <x v="12"/>
    <n v="10.9"/>
    <x v="1195"/>
    <d v="2025-03-07T00:00:00"/>
    <d v="2025-03-08T00:00:00"/>
    <s v="M"/>
    <x v="2"/>
    <x v="0"/>
    <x v="0"/>
    <x v="3"/>
    <x v="3"/>
    <x v="9"/>
    <x v="1"/>
  </r>
  <r>
    <s v="TX501793"/>
    <x v="16"/>
    <x v="2"/>
    <n v="48"/>
    <x v="1410"/>
    <d v="2025-03-07T00:00:00"/>
    <d v="2025-03-12T00:00:00"/>
    <s v="F"/>
    <x v="4"/>
    <x v="0"/>
    <x v="0"/>
    <x v="3"/>
    <x v="0"/>
    <x v="9"/>
    <x v="2"/>
  </r>
  <r>
    <s v="TX501794"/>
    <x v="5"/>
    <x v="1"/>
    <n v="67.900000000000006"/>
    <x v="1411"/>
    <d v="2025-03-07T00:00:00"/>
    <d v="2025-03-08T00:00:00"/>
    <s v="M"/>
    <x v="0"/>
    <x v="2"/>
    <x v="0"/>
    <x v="23"/>
    <x v="3"/>
    <x v="9"/>
    <x v="1"/>
  </r>
  <r>
    <s v="TX501795"/>
    <x v="4"/>
    <x v="2"/>
    <n v="36"/>
    <x v="807"/>
    <d v="2025-03-07T00:00:00"/>
    <d v="2025-03-08T00:00:00"/>
    <s v="M"/>
    <x v="1"/>
    <x v="0"/>
    <x v="0"/>
    <x v="6"/>
    <x v="3"/>
    <x v="9"/>
    <x v="1"/>
  </r>
  <r>
    <s v="TX501796"/>
    <x v="2"/>
    <x v="0"/>
    <n v="128.80000000000001"/>
    <x v="1403"/>
    <d v="2025-03-07T00:00:00"/>
    <d v="2025-03-08T00:00:00"/>
    <s v="M"/>
    <x v="4"/>
    <x v="2"/>
    <x v="0"/>
    <x v="6"/>
    <x v="3"/>
    <x v="9"/>
    <x v="1"/>
  </r>
  <r>
    <s v="TX501797"/>
    <x v="18"/>
    <x v="3"/>
    <n v="33.299999999999997"/>
    <x v="1412"/>
    <d v="2025-03-07T00:00:00"/>
    <d v="2025-03-08T00:00:00"/>
    <s v="F"/>
    <x v="3"/>
    <x v="0"/>
    <x v="0"/>
    <x v="8"/>
    <x v="3"/>
    <x v="9"/>
    <x v="2"/>
  </r>
  <r>
    <s v="TX501798"/>
    <x v="10"/>
    <x v="2"/>
    <n v="37.799999999999997"/>
    <x v="1413"/>
    <d v="2025-03-07T00:00:00"/>
    <d v="2025-03-09T00:00:00"/>
    <s v="M"/>
    <x v="1"/>
    <x v="2"/>
    <x v="0"/>
    <x v="8"/>
    <x v="1"/>
    <x v="9"/>
    <x v="1"/>
  </r>
  <r>
    <s v="TX501799"/>
    <x v="5"/>
    <x v="2"/>
    <n v="26"/>
    <x v="292"/>
    <d v="2025-03-07T00:00:00"/>
    <d v="2025-03-12T00:00:00"/>
    <s v="F"/>
    <x v="0"/>
    <x v="0"/>
    <x v="0"/>
    <x v="8"/>
    <x v="0"/>
    <x v="9"/>
    <x v="2"/>
  </r>
  <r>
    <s v="TX501800"/>
    <x v="8"/>
    <x v="10"/>
    <n v="28.3"/>
    <x v="1414"/>
    <d v="2025-03-07T00:00:00"/>
    <d v="2025-03-08T00:00:00"/>
    <s v="F"/>
    <x v="3"/>
    <x v="4"/>
    <x v="0"/>
    <x v="8"/>
    <x v="3"/>
    <x v="9"/>
    <x v="2"/>
  </r>
  <r>
    <s v="TX501801"/>
    <x v="8"/>
    <x v="12"/>
    <n v="31.3"/>
    <x v="1415"/>
    <d v="2025-03-07T00:00:00"/>
    <d v="2025-03-07T00:00:00"/>
    <s v="F"/>
    <x v="0"/>
    <x v="0"/>
    <x v="0"/>
    <x v="8"/>
    <x v="7"/>
    <x v="9"/>
    <x v="2"/>
  </r>
  <r>
    <s v="TX501802"/>
    <x v="7"/>
    <x v="2"/>
    <n v="69.5"/>
    <x v="1416"/>
    <d v="2025-03-07T00:00:00"/>
    <d v="2025-03-08T00:00:00"/>
    <s v="F"/>
    <x v="3"/>
    <x v="2"/>
    <x v="0"/>
    <x v="8"/>
    <x v="3"/>
    <x v="9"/>
    <x v="2"/>
  </r>
  <r>
    <s v="TX501803"/>
    <x v="0"/>
    <x v="1"/>
    <n v="16.7"/>
    <x v="1417"/>
    <d v="2025-03-07T00:00:00"/>
    <d v="2025-03-08T00:00:00"/>
    <s v="F"/>
    <x v="3"/>
    <x v="1"/>
    <x v="0"/>
    <x v="8"/>
    <x v="3"/>
    <x v="9"/>
    <x v="2"/>
  </r>
  <r>
    <s v="TX501804"/>
    <x v="9"/>
    <x v="1"/>
    <n v="62.6"/>
    <x v="1415"/>
    <d v="2025-03-07T00:00:00"/>
    <d v="2025-03-08T00:00:00"/>
    <s v="M"/>
    <x v="2"/>
    <x v="2"/>
    <x v="0"/>
    <x v="9"/>
    <x v="3"/>
    <x v="9"/>
    <x v="1"/>
  </r>
  <r>
    <s v="TX501805"/>
    <x v="7"/>
    <x v="0"/>
    <n v="81.2"/>
    <x v="1101"/>
    <d v="2025-03-07T00:00:00"/>
    <d v="2025-03-13T00:00:00"/>
    <s v="M"/>
    <x v="4"/>
    <x v="4"/>
    <x v="0"/>
    <x v="9"/>
    <x v="4"/>
    <x v="9"/>
    <x v="1"/>
  </r>
  <r>
    <s v="TX501806"/>
    <x v="0"/>
    <x v="7"/>
    <n v="12.7"/>
    <x v="520"/>
    <d v="2025-03-07T00:00:00"/>
    <d v="2025-03-08T00:00:00"/>
    <s v="F"/>
    <x v="0"/>
    <x v="2"/>
    <x v="0"/>
    <x v="9"/>
    <x v="3"/>
    <x v="9"/>
    <x v="2"/>
  </r>
  <r>
    <s v="TX501807"/>
    <x v="7"/>
    <x v="12"/>
    <n v="77.7"/>
    <x v="1418"/>
    <d v="2025-03-08T00:00:00"/>
    <d v="2025-03-12T00:00:00"/>
    <s v="M"/>
    <x v="1"/>
    <x v="0"/>
    <x v="0"/>
    <x v="11"/>
    <x v="5"/>
    <x v="9"/>
    <x v="1"/>
  </r>
  <r>
    <s v="TX501808"/>
    <x v="5"/>
    <x v="1"/>
    <n v="37.299999999999997"/>
    <x v="110"/>
    <d v="2025-03-08T00:00:00"/>
    <d v="2025-03-09T00:00:00"/>
    <s v="F"/>
    <x v="0"/>
    <x v="2"/>
    <x v="0"/>
    <x v="18"/>
    <x v="3"/>
    <x v="9"/>
    <x v="2"/>
  </r>
  <r>
    <s v="TX501809"/>
    <x v="10"/>
    <x v="12"/>
    <n v="35.6"/>
    <x v="1419"/>
    <d v="2025-03-08T00:00:00"/>
    <d v="2025-03-10T00:00:00"/>
    <s v="F"/>
    <x v="1"/>
    <x v="1"/>
    <x v="0"/>
    <x v="19"/>
    <x v="1"/>
    <x v="9"/>
    <x v="2"/>
  </r>
  <r>
    <s v="TX501810"/>
    <x v="2"/>
    <x v="2"/>
    <n v="95"/>
    <x v="1420"/>
    <d v="2025-03-08T00:00:00"/>
    <d v="2025-03-12T00:00:00"/>
    <s v="F"/>
    <x v="2"/>
    <x v="2"/>
    <x v="0"/>
    <x v="56"/>
    <x v="5"/>
    <x v="9"/>
    <x v="2"/>
  </r>
  <r>
    <s v="TX501811"/>
    <x v="2"/>
    <x v="12"/>
    <n v="172.1"/>
    <x v="1421"/>
    <d v="2025-03-08T00:00:00"/>
    <d v="2025-03-12T00:00:00"/>
    <s v="O"/>
    <x v="2"/>
    <x v="2"/>
    <x v="0"/>
    <x v="21"/>
    <x v="5"/>
    <x v="9"/>
    <x v="3"/>
  </r>
  <r>
    <s v="TX501812"/>
    <x v="2"/>
    <x v="1"/>
    <n v="233"/>
    <x v="1147"/>
    <d v="2025-03-08T00:00:00"/>
    <d v="2025-03-11T00:00:00"/>
    <s v="F"/>
    <x v="1"/>
    <x v="0"/>
    <x v="0"/>
    <x v="21"/>
    <x v="2"/>
    <x v="9"/>
    <x v="2"/>
  </r>
  <r>
    <s v="TX501813"/>
    <x v="0"/>
    <x v="0"/>
    <n v="43.5"/>
    <x v="1422"/>
    <d v="2025-03-08T00:00:00"/>
    <d v="2025-03-09T00:00:00"/>
    <s v="F"/>
    <x v="2"/>
    <x v="2"/>
    <x v="0"/>
    <x v="21"/>
    <x v="3"/>
    <x v="9"/>
    <x v="2"/>
  </r>
  <r>
    <s v="TX501814"/>
    <x v="9"/>
    <x v="1"/>
    <n v="47.8"/>
    <x v="139"/>
    <d v="2025-03-08T00:00:00"/>
    <d v="2025-03-11T00:00:00"/>
    <s v="M"/>
    <x v="4"/>
    <x v="2"/>
    <x v="0"/>
    <x v="1"/>
    <x v="2"/>
    <x v="9"/>
    <x v="1"/>
  </r>
  <r>
    <s v="TX501815"/>
    <x v="12"/>
    <x v="1"/>
    <n v="65.8"/>
    <x v="1423"/>
    <d v="2025-03-08T00:00:00"/>
    <d v="2025-03-10T00:00:00"/>
    <s v="F"/>
    <x v="0"/>
    <x v="3"/>
    <x v="0"/>
    <x v="33"/>
    <x v="1"/>
    <x v="9"/>
    <x v="2"/>
  </r>
  <r>
    <s v="TX501816"/>
    <x v="15"/>
    <x v="5"/>
    <n v="38.700000000000003"/>
    <x v="1424"/>
    <d v="2025-03-08T00:00:00"/>
    <d v="2025-03-08T00:00:00"/>
    <s v="M"/>
    <x v="0"/>
    <x v="0"/>
    <x v="0"/>
    <x v="22"/>
    <x v="7"/>
    <x v="9"/>
    <x v="1"/>
  </r>
  <r>
    <s v="TX501817"/>
    <x v="3"/>
    <x v="12"/>
    <n v="55.7"/>
    <x v="839"/>
    <d v="2025-03-08T00:00:00"/>
    <d v="2025-03-10T00:00:00"/>
    <s v="O"/>
    <x v="0"/>
    <x v="1"/>
    <x v="0"/>
    <x v="22"/>
    <x v="1"/>
    <x v="9"/>
    <x v="3"/>
  </r>
  <r>
    <s v="TX501818"/>
    <x v="7"/>
    <x v="1"/>
    <n v="102.4"/>
    <x v="403"/>
    <d v="2025-03-08T00:00:00"/>
    <d v="2025-03-08T00:00:00"/>
    <s v="F"/>
    <x v="1"/>
    <x v="0"/>
    <x v="0"/>
    <x v="3"/>
    <x v="7"/>
    <x v="9"/>
    <x v="2"/>
  </r>
  <r>
    <s v="TX501819"/>
    <x v="1"/>
    <x v="0"/>
    <n v="92"/>
    <x v="988"/>
    <d v="2025-03-08T00:00:00"/>
    <d v="2025-03-12T00:00:00"/>
    <s v=""/>
    <x v="2"/>
    <x v="0"/>
    <x v="0"/>
    <x v="3"/>
    <x v="5"/>
    <x v="9"/>
    <x v="0"/>
  </r>
  <r>
    <s v="TX501820"/>
    <x v="6"/>
    <x v="12"/>
    <n v="75.900000000000006"/>
    <x v="80"/>
    <d v="2025-03-08T00:00:00"/>
    <d v="2025-03-10T00:00:00"/>
    <s v="F"/>
    <x v="1"/>
    <x v="0"/>
    <x v="0"/>
    <x v="3"/>
    <x v="1"/>
    <x v="9"/>
    <x v="2"/>
  </r>
  <r>
    <s v="TX501821"/>
    <x v="1"/>
    <x v="12"/>
    <n v="36.200000000000003"/>
    <x v="353"/>
    <d v="2025-03-08T00:00:00"/>
    <d v="2025-03-09T00:00:00"/>
    <s v="F"/>
    <x v="1"/>
    <x v="0"/>
    <x v="0"/>
    <x v="3"/>
    <x v="3"/>
    <x v="9"/>
    <x v="2"/>
  </r>
  <r>
    <s v="TX501822"/>
    <x v="6"/>
    <x v="45"/>
    <n v="83.5"/>
    <x v="1425"/>
    <d v="2025-03-08T00:00:00"/>
    <d v="2025-03-10T00:00:00"/>
    <s v=""/>
    <x v="3"/>
    <x v="0"/>
    <x v="0"/>
    <x v="3"/>
    <x v="1"/>
    <x v="9"/>
    <x v="0"/>
  </r>
  <r>
    <s v="TX501823"/>
    <x v="19"/>
    <x v="4"/>
    <n v="52.4"/>
    <x v="1092"/>
    <d v="2025-03-08T00:00:00"/>
    <d v="2025-03-08T00:00:00"/>
    <s v="M"/>
    <x v="2"/>
    <x v="0"/>
    <x v="0"/>
    <x v="3"/>
    <x v="7"/>
    <x v="9"/>
    <x v="1"/>
  </r>
  <r>
    <s v="TX501824"/>
    <x v="12"/>
    <x v="2"/>
    <n v="69.5"/>
    <x v="1416"/>
    <d v="2025-03-08T00:00:00"/>
    <d v="2025-03-09T00:00:00"/>
    <s v="O"/>
    <x v="4"/>
    <x v="0"/>
    <x v="0"/>
    <x v="3"/>
    <x v="3"/>
    <x v="9"/>
    <x v="3"/>
  </r>
  <r>
    <s v="TX501825"/>
    <x v="0"/>
    <x v="0"/>
    <n v="15.5"/>
    <x v="1426"/>
    <d v="2025-03-08T00:00:00"/>
    <d v="2025-03-10T00:00:00"/>
    <s v="M"/>
    <x v="0"/>
    <x v="0"/>
    <x v="0"/>
    <x v="3"/>
    <x v="1"/>
    <x v="9"/>
    <x v="1"/>
  </r>
  <r>
    <s v="TX501826"/>
    <x v="4"/>
    <x v="12"/>
    <n v="35.200000000000003"/>
    <x v="1427"/>
    <d v="2025-03-08T00:00:00"/>
    <d v="2025-03-09T00:00:00"/>
    <s v="F"/>
    <x v="2"/>
    <x v="2"/>
    <x v="0"/>
    <x v="3"/>
    <x v="3"/>
    <x v="9"/>
    <x v="2"/>
  </r>
  <r>
    <s v="TX501827"/>
    <x v="8"/>
    <x v="13"/>
    <n v="34.6"/>
    <x v="1428"/>
    <d v="2025-03-08T00:00:00"/>
    <d v="2025-03-09T00:00:00"/>
    <s v=""/>
    <x v="0"/>
    <x v="1"/>
    <x v="0"/>
    <x v="3"/>
    <x v="3"/>
    <x v="9"/>
    <x v="0"/>
  </r>
  <r>
    <s v="TX501828"/>
    <x v="4"/>
    <x v="0"/>
    <n v="21.3"/>
    <x v="1429"/>
    <d v="2025-03-09T00:00:00"/>
    <d v="2025-03-10T00:00:00"/>
    <s v="M"/>
    <x v="2"/>
    <x v="1"/>
    <x v="0"/>
    <x v="3"/>
    <x v="3"/>
    <x v="10"/>
    <x v="1"/>
  </r>
  <r>
    <s v="TX501829"/>
    <x v="6"/>
    <x v="1"/>
    <n v="136.5"/>
    <x v="1430"/>
    <d v="2025-03-09T00:00:00"/>
    <d v="2025-03-15T00:00:00"/>
    <s v="F"/>
    <x v="0"/>
    <x v="0"/>
    <x v="0"/>
    <x v="37"/>
    <x v="4"/>
    <x v="10"/>
    <x v="2"/>
  </r>
  <r>
    <s v="TX501830"/>
    <x v="9"/>
    <x v="3"/>
    <n v="30.7"/>
    <x v="1431"/>
    <d v="2025-03-09T00:00:00"/>
    <d v="2025-03-10T00:00:00"/>
    <s v="M"/>
    <x v="2"/>
    <x v="2"/>
    <x v="0"/>
    <x v="25"/>
    <x v="3"/>
    <x v="10"/>
    <x v="1"/>
  </r>
  <r>
    <s v="TX501831"/>
    <x v="1"/>
    <x v="1"/>
    <n v="61.6"/>
    <x v="1432"/>
    <d v="2025-03-09T00:00:00"/>
    <d v="2025-03-10T00:00:00"/>
    <s v="F"/>
    <x v="2"/>
    <x v="2"/>
    <x v="0"/>
    <x v="23"/>
    <x v="3"/>
    <x v="10"/>
    <x v="2"/>
  </r>
  <r>
    <s v="TX501832"/>
    <x v="6"/>
    <x v="12"/>
    <n v="54.3"/>
    <x v="1433"/>
    <d v="2025-03-09T00:00:00"/>
    <d v="2025-03-11T00:00:00"/>
    <s v=""/>
    <x v="4"/>
    <x v="0"/>
    <x v="0"/>
    <x v="7"/>
    <x v="1"/>
    <x v="10"/>
    <x v="0"/>
  </r>
  <r>
    <s v="TX501833"/>
    <x v="1"/>
    <x v="1"/>
    <n v="44.1"/>
    <x v="1047"/>
    <d v="2025-03-09T00:00:00"/>
    <d v="2025-03-21T00:00:00"/>
    <s v="F"/>
    <x v="0"/>
    <x v="2"/>
    <x v="0"/>
    <x v="8"/>
    <x v="13"/>
    <x v="10"/>
    <x v="2"/>
  </r>
  <r>
    <s v="TX501834"/>
    <x v="8"/>
    <x v="12"/>
    <n v="43.5"/>
    <x v="1434"/>
    <d v="2025-03-09T00:00:00"/>
    <d v="2025-03-15T00:00:00"/>
    <s v="M"/>
    <x v="3"/>
    <x v="0"/>
    <x v="0"/>
    <x v="8"/>
    <x v="4"/>
    <x v="10"/>
    <x v="1"/>
  </r>
  <r>
    <s v="TX501835"/>
    <x v="8"/>
    <x v="2"/>
    <n v="48.2"/>
    <x v="1435"/>
    <d v="2025-03-09T00:00:00"/>
    <d v="2025-03-13T00:00:00"/>
    <s v="M"/>
    <x v="3"/>
    <x v="1"/>
    <x v="0"/>
    <x v="8"/>
    <x v="5"/>
    <x v="10"/>
    <x v="1"/>
  </r>
  <r>
    <s v="TX501836"/>
    <x v="19"/>
    <x v="0"/>
    <n v="13.7"/>
    <x v="1436"/>
    <d v="2025-03-09T00:00:00"/>
    <d v="2025-03-10T00:00:00"/>
    <s v="F"/>
    <x v="2"/>
    <x v="2"/>
    <x v="0"/>
    <x v="8"/>
    <x v="3"/>
    <x v="10"/>
    <x v="2"/>
  </r>
  <r>
    <s v="TX501837"/>
    <x v="2"/>
    <x v="1"/>
    <n v="110.5"/>
    <x v="1437"/>
    <d v="2025-03-09T00:00:00"/>
    <d v="2025-03-10T00:00:00"/>
    <s v="F"/>
    <x v="0"/>
    <x v="1"/>
    <x v="0"/>
    <x v="8"/>
    <x v="3"/>
    <x v="10"/>
    <x v="2"/>
  </r>
  <r>
    <s v="TX501838"/>
    <x v="8"/>
    <x v="2"/>
    <n v="26"/>
    <x v="292"/>
    <d v="2025-03-09T00:00:00"/>
    <d v="2025-03-14T00:00:00"/>
    <s v="F"/>
    <x v="1"/>
    <x v="1"/>
    <x v="0"/>
    <x v="8"/>
    <x v="0"/>
    <x v="10"/>
    <x v="2"/>
  </r>
  <r>
    <s v="TX501839"/>
    <x v="2"/>
    <x v="7"/>
    <n v="140.69999999999999"/>
    <x v="1438"/>
    <d v="2025-03-09T00:00:00"/>
    <d v="2025-03-15T00:00:00"/>
    <s v="M"/>
    <x v="3"/>
    <x v="1"/>
    <x v="0"/>
    <x v="8"/>
    <x v="4"/>
    <x v="10"/>
    <x v="1"/>
  </r>
  <r>
    <s v="TX501840"/>
    <x v="17"/>
    <x v="1"/>
    <n v="41.7"/>
    <x v="925"/>
    <d v="2025-03-09T00:00:00"/>
    <d v="2025-03-17T00:00:00"/>
    <s v="F"/>
    <x v="0"/>
    <x v="4"/>
    <x v="0"/>
    <x v="8"/>
    <x v="9"/>
    <x v="10"/>
    <x v="2"/>
  </r>
  <r>
    <s v="TX501841"/>
    <x v="2"/>
    <x v="1"/>
    <n v="135.1"/>
    <x v="1439"/>
    <d v="2025-03-09T00:00:00"/>
    <d v="2025-03-10T00:00:00"/>
    <s v="M"/>
    <x v="0"/>
    <x v="2"/>
    <x v="0"/>
    <x v="17"/>
    <x v="3"/>
    <x v="10"/>
    <x v="1"/>
  </r>
  <r>
    <s v="TX501842"/>
    <x v="12"/>
    <x v="32"/>
    <n v="95.5"/>
    <x v="1440"/>
    <d v="2025-03-09T00:00:00"/>
    <d v="2025-03-10T00:00:00"/>
    <s v="F"/>
    <x v="4"/>
    <x v="4"/>
    <x v="0"/>
    <x v="26"/>
    <x v="3"/>
    <x v="10"/>
    <x v="2"/>
  </r>
  <r>
    <s v="TX501843"/>
    <x v="15"/>
    <x v="0"/>
    <n v="25.5"/>
    <x v="1441"/>
    <d v="2025-03-09T00:00:00"/>
    <d v="2025-03-12T00:00:00"/>
    <s v=""/>
    <x v="2"/>
    <x v="2"/>
    <x v="0"/>
    <x v="11"/>
    <x v="2"/>
    <x v="10"/>
    <x v="0"/>
  </r>
  <r>
    <s v="TX501844"/>
    <x v="1"/>
    <x v="0"/>
    <n v="42.6"/>
    <x v="440"/>
    <d v="2025-03-09T00:00:00"/>
    <d v="2025-03-13T00:00:00"/>
    <s v="F"/>
    <x v="0"/>
    <x v="0"/>
    <x v="0"/>
    <x v="11"/>
    <x v="5"/>
    <x v="10"/>
    <x v="2"/>
  </r>
  <r>
    <s v="TX501845"/>
    <x v="8"/>
    <x v="20"/>
    <n v="32.4"/>
    <x v="1442"/>
    <d v="2025-03-09T00:00:00"/>
    <d v="2025-03-10T00:00:00"/>
    <s v="M"/>
    <x v="1"/>
    <x v="1"/>
    <x v="0"/>
    <x v="11"/>
    <x v="3"/>
    <x v="10"/>
    <x v="1"/>
  </r>
  <r>
    <s v="TX501846"/>
    <x v="4"/>
    <x v="12"/>
    <n v="20.2"/>
    <x v="1443"/>
    <d v="2025-03-09T00:00:00"/>
    <d v="2025-03-10T00:00:00"/>
    <s v="O"/>
    <x v="2"/>
    <x v="0"/>
    <x v="0"/>
    <x v="11"/>
    <x v="3"/>
    <x v="10"/>
    <x v="3"/>
  </r>
  <r>
    <s v="TX501847"/>
    <x v="16"/>
    <x v="2"/>
    <n v="52.5"/>
    <x v="905"/>
    <d v="2025-03-09T00:00:00"/>
    <d v="2025-03-14T00:00:00"/>
    <s v="F"/>
    <x v="4"/>
    <x v="0"/>
    <x v="0"/>
    <x v="18"/>
    <x v="0"/>
    <x v="10"/>
    <x v="2"/>
  </r>
  <r>
    <s v="TX501848"/>
    <x v="2"/>
    <x v="9"/>
    <n v="59.9"/>
    <x v="1444"/>
    <d v="2025-03-09T00:00:00"/>
    <d v="2025-03-11T00:00:00"/>
    <s v="F"/>
    <x v="2"/>
    <x v="0"/>
    <x v="0"/>
    <x v="19"/>
    <x v="1"/>
    <x v="10"/>
    <x v="2"/>
  </r>
  <r>
    <s v="TX501849"/>
    <x v="4"/>
    <x v="1"/>
    <n v="53.2"/>
    <x v="793"/>
    <d v="2025-03-09T00:00:00"/>
    <d v="2025-03-10T00:00:00"/>
    <s v="F"/>
    <x v="1"/>
    <x v="3"/>
    <x v="0"/>
    <x v="20"/>
    <x v="3"/>
    <x v="10"/>
    <x v="2"/>
  </r>
  <r>
    <s v="TX501850"/>
    <x v="2"/>
    <x v="1"/>
    <n v="60"/>
    <x v="160"/>
    <d v="2025-03-09T00:00:00"/>
    <d v="2025-03-15T00:00:00"/>
    <s v="M"/>
    <x v="1"/>
    <x v="2"/>
    <x v="0"/>
    <x v="20"/>
    <x v="4"/>
    <x v="10"/>
    <x v="1"/>
  </r>
  <r>
    <s v="TX501851"/>
    <x v="8"/>
    <x v="2"/>
    <n v="29.3"/>
    <x v="1205"/>
    <d v="2025-03-09T00:00:00"/>
    <d v="2025-03-10T00:00:00"/>
    <s v="F"/>
    <x v="4"/>
    <x v="0"/>
    <x v="0"/>
    <x v="13"/>
    <x v="3"/>
    <x v="10"/>
    <x v="2"/>
  </r>
  <r>
    <s v="TX501852"/>
    <x v="12"/>
    <x v="1"/>
    <n v="55.4"/>
    <x v="806"/>
    <d v="2025-03-09T00:00:00"/>
    <d v="2025-03-10T00:00:00"/>
    <s v="F"/>
    <x v="0"/>
    <x v="2"/>
    <x v="0"/>
    <x v="21"/>
    <x v="3"/>
    <x v="10"/>
    <x v="2"/>
  </r>
  <r>
    <s v="TX501853"/>
    <x v="0"/>
    <x v="9"/>
    <n v="20.100000000000001"/>
    <x v="427"/>
    <d v="2025-03-09T00:00:00"/>
    <d v="2025-03-11T00:00:00"/>
    <s v="F"/>
    <x v="1"/>
    <x v="2"/>
    <x v="0"/>
    <x v="21"/>
    <x v="1"/>
    <x v="10"/>
    <x v="2"/>
  </r>
  <r>
    <s v="TX501854"/>
    <x v="14"/>
    <x v="9"/>
    <n v="24"/>
    <x v="160"/>
    <d v="2025-03-09T00:00:00"/>
    <d v="2025-03-12T00:00:00"/>
    <s v="M"/>
    <x v="2"/>
    <x v="0"/>
    <x v="0"/>
    <x v="1"/>
    <x v="2"/>
    <x v="10"/>
    <x v="1"/>
  </r>
  <r>
    <s v="TX501855"/>
    <x v="8"/>
    <x v="1"/>
    <n v="30.6"/>
    <x v="1"/>
    <d v="2025-03-10T00:00:00"/>
    <d v="2025-03-12T00:00:00"/>
    <s v="F"/>
    <x v="0"/>
    <x v="0"/>
    <x v="0"/>
    <x v="1"/>
    <x v="1"/>
    <x v="10"/>
    <x v="2"/>
  </r>
  <r>
    <s v="TX501856"/>
    <x v="10"/>
    <x v="9"/>
    <n v="33"/>
    <x v="1445"/>
    <d v="2025-03-10T00:00:00"/>
    <d v="2025-03-11T00:00:00"/>
    <s v="M"/>
    <x v="1"/>
    <x v="1"/>
    <x v="0"/>
    <x v="27"/>
    <x v="3"/>
    <x v="10"/>
    <x v="1"/>
  </r>
  <r>
    <s v="TX501857"/>
    <x v="17"/>
    <x v="11"/>
    <n v="42.1"/>
    <x v="1258"/>
    <d v="2025-03-10T00:00:00"/>
    <d v="2025-03-16T00:00:00"/>
    <s v="F"/>
    <x v="2"/>
    <x v="0"/>
    <x v="0"/>
    <x v="44"/>
    <x v="4"/>
    <x v="10"/>
    <x v="2"/>
  </r>
  <r>
    <s v="TX501858"/>
    <x v="6"/>
    <x v="3"/>
    <n v="77.7"/>
    <x v="1446"/>
    <d v="2025-03-10T00:00:00"/>
    <d v="2025-03-15T00:00:00"/>
    <s v="F"/>
    <x v="1"/>
    <x v="2"/>
    <x v="0"/>
    <x v="50"/>
    <x v="0"/>
    <x v="10"/>
    <x v="2"/>
  </r>
  <r>
    <s v="TX501859"/>
    <x v="17"/>
    <x v="13"/>
    <n v="22.7"/>
    <x v="1134"/>
    <d v="2025-03-10T00:00:00"/>
    <d v="2025-03-13T00:00:00"/>
    <s v="F"/>
    <x v="2"/>
    <x v="0"/>
    <x v="0"/>
    <x v="3"/>
    <x v="2"/>
    <x v="10"/>
    <x v="2"/>
  </r>
  <r>
    <s v="TX501860"/>
    <x v="2"/>
    <x v="1"/>
    <n v="133"/>
    <x v="751"/>
    <d v="2025-03-10T00:00:00"/>
    <d v="2025-03-10T00:00:00"/>
    <s v="M"/>
    <x v="2"/>
    <x v="2"/>
    <x v="0"/>
    <x v="3"/>
    <x v="7"/>
    <x v="10"/>
    <x v="1"/>
  </r>
  <r>
    <s v="TX501861"/>
    <x v="0"/>
    <x v="1"/>
    <n v="23.3"/>
    <x v="1447"/>
    <d v="2025-03-10T00:00:00"/>
    <d v="2025-03-11T00:00:00"/>
    <s v="M"/>
    <x v="1"/>
    <x v="2"/>
    <x v="0"/>
    <x v="3"/>
    <x v="3"/>
    <x v="10"/>
    <x v="1"/>
  </r>
  <r>
    <s v="TX501862"/>
    <x v="8"/>
    <x v="2"/>
    <n v="20.7"/>
    <x v="1448"/>
    <d v="2025-03-10T00:00:00"/>
    <d v="2025-03-12T00:00:00"/>
    <s v="O"/>
    <x v="0"/>
    <x v="2"/>
    <x v="0"/>
    <x v="3"/>
    <x v="1"/>
    <x v="10"/>
    <x v="3"/>
  </r>
  <r>
    <s v="TX501863"/>
    <x v="12"/>
    <x v="1"/>
    <n v="47"/>
    <x v="255"/>
    <d v="2025-03-10T00:00:00"/>
    <d v="2025-03-11T00:00:00"/>
    <s v="M"/>
    <x v="1"/>
    <x v="2"/>
    <x v="0"/>
    <x v="3"/>
    <x v="3"/>
    <x v="10"/>
    <x v="1"/>
  </r>
  <r>
    <s v="TX501864"/>
    <x v="12"/>
    <x v="2"/>
    <n v="38.200000000000003"/>
    <x v="1449"/>
    <d v="2025-03-10T00:00:00"/>
    <d v="2025-03-12T00:00:00"/>
    <s v="F"/>
    <x v="2"/>
    <x v="4"/>
    <x v="0"/>
    <x v="3"/>
    <x v="1"/>
    <x v="10"/>
    <x v="2"/>
  </r>
  <r>
    <s v="TX501865"/>
    <x v="9"/>
    <x v="0"/>
    <n v="39.1"/>
    <x v="923"/>
    <d v="2025-03-10T00:00:00"/>
    <d v="2025-03-12T00:00:00"/>
    <s v="F"/>
    <x v="0"/>
    <x v="0"/>
    <x v="0"/>
    <x v="3"/>
    <x v="1"/>
    <x v="10"/>
    <x v="2"/>
  </r>
  <r>
    <s v="TX501866"/>
    <x v="7"/>
    <x v="30"/>
    <n v="55.6"/>
    <x v="1450"/>
    <d v="2025-03-10T00:00:00"/>
    <d v="2025-03-12T00:00:00"/>
    <s v="M"/>
    <x v="0"/>
    <x v="2"/>
    <x v="0"/>
    <x v="3"/>
    <x v="1"/>
    <x v="10"/>
    <x v="1"/>
  </r>
  <r>
    <s v="TX501867"/>
    <x v="15"/>
    <x v="0"/>
    <n v="43.1"/>
    <x v="39"/>
    <d v="2025-03-10T00:00:00"/>
    <d v="2025-03-10T00:00:00"/>
    <s v="O"/>
    <x v="1"/>
    <x v="2"/>
    <x v="0"/>
    <x v="3"/>
    <x v="7"/>
    <x v="10"/>
    <x v="3"/>
  </r>
  <r>
    <s v="TX501868"/>
    <x v="6"/>
    <x v="12"/>
    <n v="48.1"/>
    <x v="1451"/>
    <d v="2025-03-10T00:00:00"/>
    <d v="2025-03-11T00:00:00"/>
    <s v="F"/>
    <x v="4"/>
    <x v="2"/>
    <x v="0"/>
    <x v="3"/>
    <x v="3"/>
    <x v="10"/>
    <x v="2"/>
  </r>
  <r>
    <s v="TX501869"/>
    <x v="4"/>
    <x v="0"/>
    <n v="42"/>
    <x v="337"/>
    <d v="2025-03-10T00:00:00"/>
    <d v="2025-03-11T00:00:00"/>
    <s v="O"/>
    <x v="0"/>
    <x v="0"/>
    <x v="0"/>
    <x v="3"/>
    <x v="3"/>
    <x v="10"/>
    <x v="3"/>
  </r>
  <r>
    <s v="TX501870"/>
    <x v="8"/>
    <x v="9"/>
    <n v="18.3"/>
    <x v="1058"/>
    <d v="2025-03-10T00:00:00"/>
    <d v="2025-03-10T00:00:00"/>
    <s v="F"/>
    <x v="2"/>
    <x v="0"/>
    <x v="0"/>
    <x v="3"/>
    <x v="7"/>
    <x v="10"/>
    <x v="2"/>
  </r>
  <r>
    <s v="TX501871"/>
    <x v="10"/>
    <x v="12"/>
    <n v="45.3"/>
    <x v="1452"/>
    <d v="2025-03-10T00:00:00"/>
    <d v="2025-03-13T00:00:00"/>
    <s v="F"/>
    <x v="0"/>
    <x v="2"/>
    <x v="0"/>
    <x v="3"/>
    <x v="2"/>
    <x v="10"/>
    <x v="2"/>
  </r>
  <r>
    <s v="TX501872"/>
    <x v="0"/>
    <x v="1"/>
    <n v="27.6"/>
    <x v="291"/>
    <d v="2025-03-10T00:00:00"/>
    <d v="2025-03-12T00:00:00"/>
    <s v="M"/>
    <x v="0"/>
    <x v="2"/>
    <x v="0"/>
    <x v="37"/>
    <x v="1"/>
    <x v="10"/>
    <x v="1"/>
  </r>
  <r>
    <s v="TX501873"/>
    <x v="4"/>
    <x v="9"/>
    <n v="26.9"/>
    <x v="531"/>
    <d v="2025-03-10T00:00:00"/>
    <d v="2025-03-11T00:00:00"/>
    <s v="F"/>
    <x v="2"/>
    <x v="0"/>
    <x v="0"/>
    <x v="25"/>
    <x v="3"/>
    <x v="10"/>
    <x v="2"/>
  </r>
  <r>
    <s v="TX501874"/>
    <x v="2"/>
    <x v="11"/>
    <n v="82.4"/>
    <x v="1453"/>
    <d v="2025-03-10T00:00:00"/>
    <d v="2025-03-12T00:00:00"/>
    <s v="O"/>
    <x v="2"/>
    <x v="0"/>
    <x v="0"/>
    <x v="5"/>
    <x v="1"/>
    <x v="10"/>
    <x v="3"/>
  </r>
  <r>
    <s v="TX501875"/>
    <x v="6"/>
    <x v="0"/>
    <n v="103.7"/>
    <x v="1454"/>
    <d v="2025-03-10T00:00:00"/>
    <d v="2025-03-12T00:00:00"/>
    <s v="F"/>
    <x v="1"/>
    <x v="0"/>
    <x v="0"/>
    <x v="5"/>
    <x v="1"/>
    <x v="10"/>
    <x v="2"/>
  </r>
  <r>
    <s v="TX501876"/>
    <x v="2"/>
    <x v="1"/>
    <n v="58.8"/>
    <x v="833"/>
    <d v="2025-03-10T00:00:00"/>
    <d v="2025-03-15T00:00:00"/>
    <s v="F"/>
    <x v="1"/>
    <x v="2"/>
    <x v="0"/>
    <x v="6"/>
    <x v="0"/>
    <x v="10"/>
    <x v="2"/>
  </r>
  <r>
    <s v="TX501877"/>
    <x v="13"/>
    <x v="0"/>
    <n v="31.5"/>
    <x v="1455"/>
    <d v="2025-03-10T00:00:00"/>
    <d v="2025-03-11T00:00:00"/>
    <s v="F"/>
    <x v="1"/>
    <x v="1"/>
    <x v="0"/>
    <x v="6"/>
    <x v="3"/>
    <x v="10"/>
    <x v="2"/>
  </r>
  <r>
    <s v="TX501878"/>
    <x v="7"/>
    <x v="9"/>
    <n v="36.799999999999997"/>
    <x v="79"/>
    <d v="2025-03-10T00:00:00"/>
    <d v="2025-03-12T00:00:00"/>
    <s v="F"/>
    <x v="0"/>
    <x v="0"/>
    <x v="0"/>
    <x v="8"/>
    <x v="1"/>
    <x v="10"/>
    <x v="2"/>
  </r>
  <r>
    <s v="TX501879"/>
    <x v="3"/>
    <x v="0"/>
    <n v="84.4"/>
    <x v="533"/>
    <d v="2025-03-10T00:00:00"/>
    <d v="2025-03-11T00:00:00"/>
    <s v="F"/>
    <x v="0"/>
    <x v="0"/>
    <x v="0"/>
    <x v="8"/>
    <x v="3"/>
    <x v="10"/>
    <x v="2"/>
  </r>
  <r>
    <s v="TX501880"/>
    <x v="14"/>
    <x v="0"/>
    <n v="44.7"/>
    <x v="1456"/>
    <d v="2025-03-10T00:00:00"/>
    <d v="2025-03-11T00:00:00"/>
    <s v="M"/>
    <x v="0"/>
    <x v="1"/>
    <x v="0"/>
    <x v="8"/>
    <x v="3"/>
    <x v="10"/>
    <x v="1"/>
  </r>
  <r>
    <s v="TX501881"/>
    <x v="9"/>
    <x v="8"/>
    <n v="39.4"/>
    <x v="895"/>
    <d v="2025-03-10T00:00:00"/>
    <d v="2025-03-11T00:00:00"/>
    <s v="F"/>
    <x v="1"/>
    <x v="2"/>
    <x v="0"/>
    <x v="8"/>
    <x v="3"/>
    <x v="10"/>
    <x v="2"/>
  </r>
  <r>
    <s v="TX501882"/>
    <x v="11"/>
    <x v="12"/>
    <n v="34.9"/>
    <x v="1457"/>
    <d v="2025-03-10T00:00:00"/>
    <d v="2025-03-12T00:00:00"/>
    <s v="F"/>
    <x v="0"/>
    <x v="2"/>
    <x v="0"/>
    <x v="8"/>
    <x v="1"/>
    <x v="10"/>
    <x v="2"/>
  </r>
  <r>
    <s v="TX501883"/>
    <x v="1"/>
    <x v="2"/>
    <n v="62.3"/>
    <x v="1458"/>
    <d v="2025-03-10T00:00:00"/>
    <d v="2025-03-12T00:00:00"/>
    <s v="M"/>
    <x v="4"/>
    <x v="2"/>
    <x v="0"/>
    <x v="8"/>
    <x v="1"/>
    <x v="10"/>
    <x v="1"/>
  </r>
  <r>
    <s v="TX501884"/>
    <x v="8"/>
    <x v="12"/>
    <n v="21.1"/>
    <x v="533"/>
    <d v="2025-03-10T00:00:00"/>
    <d v="2025-03-13T00:00:00"/>
    <s v="M"/>
    <x v="3"/>
    <x v="0"/>
    <x v="0"/>
    <x v="8"/>
    <x v="2"/>
    <x v="10"/>
    <x v="1"/>
  </r>
  <r>
    <s v="TX501885"/>
    <x v="8"/>
    <x v="2"/>
    <n v="33.200000000000003"/>
    <x v="1459"/>
    <d v="2025-03-10T00:00:00"/>
    <d v="2025-03-24T00:00:00"/>
    <s v=""/>
    <x v="0"/>
    <x v="4"/>
    <x v="0"/>
    <x v="8"/>
    <x v="12"/>
    <x v="10"/>
    <x v="0"/>
  </r>
  <r>
    <s v="TX501886"/>
    <x v="1"/>
    <x v="12"/>
    <n v="74.5"/>
    <x v="1460"/>
    <d v="2025-03-10T00:00:00"/>
    <d v="2025-03-11T00:00:00"/>
    <s v="M"/>
    <x v="4"/>
    <x v="0"/>
    <x v="0"/>
    <x v="8"/>
    <x v="3"/>
    <x v="10"/>
    <x v="1"/>
  </r>
  <r>
    <s v="TX501887"/>
    <x v="10"/>
    <x v="4"/>
    <n v="68.599999999999994"/>
    <x v="1461"/>
    <d v="2025-03-10T00:00:00"/>
    <d v="2025-03-13T00:00:00"/>
    <s v="F"/>
    <x v="0"/>
    <x v="2"/>
    <x v="0"/>
    <x v="8"/>
    <x v="2"/>
    <x v="10"/>
    <x v="2"/>
  </r>
  <r>
    <s v="TX501888"/>
    <x v="5"/>
    <x v="21"/>
    <n v="36.4"/>
    <x v="1462"/>
    <d v="2025-03-10T00:00:00"/>
    <d v="2025-03-12T00:00:00"/>
    <s v="F"/>
    <x v="0"/>
    <x v="1"/>
    <x v="0"/>
    <x v="9"/>
    <x v="1"/>
    <x v="10"/>
    <x v="2"/>
  </r>
  <r>
    <s v="TX501889"/>
    <x v="16"/>
    <x v="9"/>
    <n v="67.599999999999994"/>
    <x v="1463"/>
    <d v="2025-03-11T00:00:00"/>
    <d v="2025-03-14T00:00:00"/>
    <s v="F"/>
    <x v="4"/>
    <x v="1"/>
    <x v="0"/>
    <x v="9"/>
    <x v="2"/>
    <x v="10"/>
    <x v="2"/>
  </r>
  <r>
    <s v="TX501890"/>
    <x v="15"/>
    <x v="0"/>
    <n v="46.3"/>
    <x v="516"/>
    <d v="2025-03-11T00:00:00"/>
    <d v="2025-03-12T00:00:00"/>
    <s v="M"/>
    <x v="2"/>
    <x v="0"/>
    <x v="0"/>
    <x v="9"/>
    <x v="3"/>
    <x v="10"/>
    <x v="1"/>
  </r>
  <r>
    <s v="TX501891"/>
    <x v="1"/>
    <x v="2"/>
    <n v="124.2"/>
    <x v="1464"/>
    <d v="2025-03-11T00:00:00"/>
    <d v="2025-03-13T00:00:00"/>
    <s v="F"/>
    <x v="1"/>
    <x v="2"/>
    <x v="0"/>
    <x v="11"/>
    <x v="1"/>
    <x v="10"/>
    <x v="2"/>
  </r>
  <r>
    <s v="TX501892"/>
    <x v="10"/>
    <x v="1"/>
    <n v="37"/>
    <x v="372"/>
    <d v="2025-03-11T00:00:00"/>
    <d v="2025-03-17T00:00:00"/>
    <s v="M"/>
    <x v="0"/>
    <x v="0"/>
    <x v="0"/>
    <x v="11"/>
    <x v="4"/>
    <x v="10"/>
    <x v="1"/>
  </r>
  <r>
    <s v="TX501893"/>
    <x v="5"/>
    <x v="0"/>
    <n v="41.8"/>
    <x v="1465"/>
    <d v="2025-03-11T00:00:00"/>
    <d v="2025-03-12T00:00:00"/>
    <s v="M"/>
    <x v="2"/>
    <x v="0"/>
    <x v="0"/>
    <x v="31"/>
    <x v="3"/>
    <x v="10"/>
    <x v="1"/>
  </r>
  <r>
    <s v="TX501894"/>
    <x v="9"/>
    <x v="1"/>
    <n v="57.2"/>
    <x v="1466"/>
    <d v="2025-03-11T00:00:00"/>
    <d v="2025-03-13T00:00:00"/>
    <s v="M"/>
    <x v="2"/>
    <x v="1"/>
    <x v="0"/>
    <x v="20"/>
    <x v="1"/>
    <x v="10"/>
    <x v="1"/>
  </r>
  <r>
    <s v="TX501895"/>
    <x v="6"/>
    <x v="1"/>
    <n v="47.1"/>
    <x v="1467"/>
    <d v="2025-03-11T00:00:00"/>
    <d v="2025-03-13T00:00:00"/>
    <s v="F"/>
    <x v="0"/>
    <x v="4"/>
    <x v="0"/>
    <x v="20"/>
    <x v="1"/>
    <x v="10"/>
    <x v="2"/>
  </r>
  <r>
    <s v="TX501896"/>
    <x v="5"/>
    <x v="2"/>
    <n v="86.4"/>
    <x v="1468"/>
    <d v="2025-03-11T00:00:00"/>
    <d v="2025-03-12T00:00:00"/>
    <s v="M"/>
    <x v="2"/>
    <x v="1"/>
    <x v="0"/>
    <x v="52"/>
    <x v="3"/>
    <x v="10"/>
    <x v="1"/>
  </r>
  <r>
    <s v="TX501897"/>
    <x v="6"/>
    <x v="9"/>
    <n v="105"/>
    <x v="1469"/>
    <d v="2025-03-11T00:00:00"/>
    <d v="2025-03-14T00:00:00"/>
    <s v="M"/>
    <x v="0"/>
    <x v="0"/>
    <x v="0"/>
    <x v="13"/>
    <x v="2"/>
    <x v="10"/>
    <x v="1"/>
  </r>
  <r>
    <s v="TX501898"/>
    <x v="18"/>
    <x v="0"/>
    <n v="33"/>
    <x v="940"/>
    <d v="2025-03-11T00:00:00"/>
    <d v="2025-03-14T00:00:00"/>
    <s v="M"/>
    <x v="4"/>
    <x v="0"/>
    <x v="0"/>
    <x v="21"/>
    <x v="2"/>
    <x v="10"/>
    <x v="1"/>
  </r>
  <r>
    <s v="TX501899"/>
    <x v="6"/>
    <x v="9"/>
    <n v="106.6"/>
    <x v="1470"/>
    <d v="2025-03-11T00:00:00"/>
    <d v="2025-03-24T00:00:00"/>
    <s v="F"/>
    <x v="2"/>
    <x v="0"/>
    <x v="0"/>
    <x v="1"/>
    <x v="10"/>
    <x v="10"/>
    <x v="2"/>
  </r>
  <r>
    <s v="TX501900"/>
    <x v="10"/>
    <x v="46"/>
    <n v="26.8"/>
    <x v="1471"/>
    <d v="2025-03-11T00:00:00"/>
    <d v="2025-03-12T00:00:00"/>
    <s v="F"/>
    <x v="2"/>
    <x v="0"/>
    <x v="0"/>
    <x v="1"/>
    <x v="3"/>
    <x v="10"/>
    <x v="2"/>
  </r>
  <r>
    <s v="TX501901"/>
    <x v="17"/>
    <x v="9"/>
    <n v="25.8"/>
    <x v="309"/>
    <d v="2025-03-11T00:00:00"/>
    <d v="2025-03-11T00:00:00"/>
    <s v="F"/>
    <x v="1"/>
    <x v="2"/>
    <x v="0"/>
    <x v="3"/>
    <x v="7"/>
    <x v="10"/>
    <x v="2"/>
  </r>
  <r>
    <s v="TX501902"/>
    <x v="2"/>
    <x v="2"/>
    <n v="217"/>
    <x v="1472"/>
    <d v="2025-03-11T00:00:00"/>
    <d v="2025-03-12T00:00:00"/>
    <s v="F"/>
    <x v="1"/>
    <x v="1"/>
    <x v="0"/>
    <x v="3"/>
    <x v="3"/>
    <x v="10"/>
    <x v="2"/>
  </r>
  <r>
    <s v="TX501903"/>
    <x v="2"/>
    <x v="1"/>
    <n v="97.3"/>
    <x v="1473"/>
    <d v="2025-03-11T00:00:00"/>
    <d v="2025-03-12T00:00:00"/>
    <s v="M"/>
    <x v="2"/>
    <x v="4"/>
    <x v="0"/>
    <x v="3"/>
    <x v="3"/>
    <x v="10"/>
    <x v="1"/>
  </r>
  <r>
    <s v="TX501904"/>
    <x v="1"/>
    <x v="0"/>
    <n v="49.8"/>
    <x v="1474"/>
    <d v="2025-03-11T00:00:00"/>
    <d v="2025-03-12T00:00:00"/>
    <s v="F"/>
    <x v="0"/>
    <x v="0"/>
    <x v="0"/>
    <x v="3"/>
    <x v="3"/>
    <x v="10"/>
    <x v="2"/>
  </r>
  <r>
    <s v="TX501905"/>
    <x v="12"/>
    <x v="9"/>
    <n v="32.6"/>
    <x v="1475"/>
    <d v="2025-03-11T00:00:00"/>
    <d v="2025-03-12T00:00:00"/>
    <s v="F"/>
    <x v="0"/>
    <x v="0"/>
    <x v="0"/>
    <x v="3"/>
    <x v="3"/>
    <x v="10"/>
    <x v="2"/>
  </r>
  <r>
    <s v="TX501906"/>
    <x v="9"/>
    <x v="1"/>
    <n v="40.1"/>
    <x v="556"/>
    <d v="2025-03-11T00:00:00"/>
    <d v="2025-03-14T00:00:00"/>
    <s v="M"/>
    <x v="1"/>
    <x v="2"/>
    <x v="0"/>
    <x v="3"/>
    <x v="2"/>
    <x v="10"/>
    <x v="1"/>
  </r>
  <r>
    <s v="TX501907"/>
    <x v="10"/>
    <x v="1"/>
    <n v="49.4"/>
    <x v="197"/>
    <d v="2025-03-11T00:00:00"/>
    <d v="2025-03-13T00:00:00"/>
    <s v="M"/>
    <x v="1"/>
    <x v="0"/>
    <x v="0"/>
    <x v="3"/>
    <x v="1"/>
    <x v="10"/>
    <x v="1"/>
  </r>
  <r>
    <s v="TX501908"/>
    <x v="2"/>
    <x v="0"/>
    <n v="67.3"/>
    <x v="1476"/>
    <d v="2025-03-11T00:00:00"/>
    <d v="2025-03-12T00:00:00"/>
    <s v="F"/>
    <x v="0"/>
    <x v="2"/>
    <x v="0"/>
    <x v="3"/>
    <x v="3"/>
    <x v="10"/>
    <x v="2"/>
  </r>
  <r>
    <s v="TX501909"/>
    <x v="18"/>
    <x v="12"/>
    <n v="44.5"/>
    <x v="394"/>
    <d v="2025-03-11T00:00:00"/>
    <d v="2025-03-14T00:00:00"/>
    <s v=""/>
    <x v="1"/>
    <x v="0"/>
    <x v="0"/>
    <x v="3"/>
    <x v="2"/>
    <x v="10"/>
    <x v="0"/>
  </r>
  <r>
    <s v="TX501910"/>
    <x v="6"/>
    <x v="5"/>
    <n v="111.1"/>
    <x v="1477"/>
    <d v="2025-03-11T00:00:00"/>
    <d v="2025-03-12T00:00:00"/>
    <s v="F"/>
    <x v="4"/>
    <x v="0"/>
    <x v="0"/>
    <x v="3"/>
    <x v="3"/>
    <x v="10"/>
    <x v="2"/>
  </r>
  <r>
    <s v="TX501911"/>
    <x v="8"/>
    <x v="2"/>
    <n v="19.7"/>
    <x v="1478"/>
    <d v="2025-03-11T00:00:00"/>
    <d v="2025-03-12T00:00:00"/>
    <s v="F"/>
    <x v="4"/>
    <x v="4"/>
    <x v="0"/>
    <x v="3"/>
    <x v="3"/>
    <x v="10"/>
    <x v="2"/>
  </r>
  <r>
    <s v="TX501912"/>
    <x v="1"/>
    <x v="0"/>
    <n v="40.299999999999997"/>
    <x v="518"/>
    <d v="2025-03-11T00:00:00"/>
    <d v="2025-03-12T00:00:00"/>
    <s v="O"/>
    <x v="1"/>
    <x v="0"/>
    <x v="0"/>
    <x v="3"/>
    <x v="3"/>
    <x v="10"/>
    <x v="3"/>
  </r>
  <r>
    <s v="TX501913"/>
    <x v="6"/>
    <x v="1"/>
    <n v="108.8"/>
    <x v="1479"/>
    <d v="2025-03-11T00:00:00"/>
    <d v="2025-03-16T00:00:00"/>
    <s v="M"/>
    <x v="0"/>
    <x v="2"/>
    <x v="0"/>
    <x v="6"/>
    <x v="0"/>
    <x v="10"/>
    <x v="1"/>
  </r>
  <r>
    <s v="TX501914"/>
    <x v="8"/>
    <x v="2"/>
    <n v="48.2"/>
    <x v="1435"/>
    <d v="2025-03-11T00:00:00"/>
    <d v="2025-03-16T00:00:00"/>
    <s v="F"/>
    <x v="4"/>
    <x v="0"/>
    <x v="0"/>
    <x v="7"/>
    <x v="0"/>
    <x v="10"/>
    <x v="2"/>
  </r>
  <r>
    <s v="TX501915"/>
    <x v="2"/>
    <x v="2"/>
    <n v="104.7"/>
    <x v="1480"/>
    <d v="2025-03-11T00:00:00"/>
    <d v="2025-03-13T00:00:00"/>
    <s v="F"/>
    <x v="0"/>
    <x v="1"/>
    <x v="0"/>
    <x v="7"/>
    <x v="1"/>
    <x v="10"/>
    <x v="2"/>
  </r>
  <r>
    <s v="TX501916"/>
    <x v="1"/>
    <x v="1"/>
    <n v="80.599999999999994"/>
    <x v="154"/>
    <d v="2025-03-11T00:00:00"/>
    <d v="2025-03-11T00:00:00"/>
    <s v="F"/>
    <x v="1"/>
    <x v="0"/>
    <x v="0"/>
    <x v="8"/>
    <x v="7"/>
    <x v="10"/>
    <x v="2"/>
  </r>
  <r>
    <s v="TX501917"/>
    <x v="6"/>
    <x v="0"/>
    <n v="65.5"/>
    <x v="1481"/>
    <d v="2025-03-11T00:00:00"/>
    <d v="2025-03-13T00:00:00"/>
    <s v="O"/>
    <x v="1"/>
    <x v="0"/>
    <x v="0"/>
    <x v="8"/>
    <x v="1"/>
    <x v="10"/>
    <x v="3"/>
  </r>
  <r>
    <s v="TX501918"/>
    <x v="9"/>
    <x v="2"/>
    <n v="61.4"/>
    <x v="1173"/>
    <d v="2025-03-11T00:00:00"/>
    <d v="2025-03-13T00:00:00"/>
    <s v="F"/>
    <x v="4"/>
    <x v="2"/>
    <x v="0"/>
    <x v="8"/>
    <x v="1"/>
    <x v="10"/>
    <x v="2"/>
  </r>
  <r>
    <s v="TX501919"/>
    <x v="0"/>
    <x v="0"/>
    <n v="12.5"/>
    <x v="1482"/>
    <d v="2025-03-12T00:00:00"/>
    <d v="2025-03-15T00:00:00"/>
    <s v="F"/>
    <x v="0"/>
    <x v="1"/>
    <x v="0"/>
    <x v="8"/>
    <x v="2"/>
    <x v="10"/>
    <x v="2"/>
  </r>
  <r>
    <s v="TX501920"/>
    <x v="4"/>
    <x v="12"/>
    <n v="35.1"/>
    <x v="381"/>
    <d v="2025-03-12T00:00:00"/>
    <d v="2025-03-13T00:00:00"/>
    <s v="M"/>
    <x v="2"/>
    <x v="1"/>
    <x v="0"/>
    <x v="17"/>
    <x v="3"/>
    <x v="10"/>
    <x v="1"/>
  </r>
  <r>
    <s v="TX501921"/>
    <x v="5"/>
    <x v="1"/>
    <n v="55.7"/>
    <x v="1483"/>
    <d v="2025-03-12T00:00:00"/>
    <d v="2025-03-13T00:00:00"/>
    <s v="M"/>
    <x v="0"/>
    <x v="1"/>
    <x v="0"/>
    <x v="26"/>
    <x v="3"/>
    <x v="10"/>
    <x v="1"/>
  </r>
  <r>
    <s v="TX501922"/>
    <x v="7"/>
    <x v="1"/>
    <n v="57.7"/>
    <x v="1484"/>
    <d v="2025-03-12T00:00:00"/>
    <d v="2025-03-14T00:00:00"/>
    <s v="M"/>
    <x v="4"/>
    <x v="1"/>
    <x v="0"/>
    <x v="9"/>
    <x v="1"/>
    <x v="10"/>
    <x v="1"/>
  </r>
  <r>
    <s v="TX501923"/>
    <x v="2"/>
    <x v="13"/>
    <n v="85.7"/>
    <x v="1485"/>
    <d v="2025-03-12T00:00:00"/>
    <d v="2025-03-13T00:00:00"/>
    <s v="M"/>
    <x v="3"/>
    <x v="2"/>
    <x v="0"/>
    <x v="9"/>
    <x v="3"/>
    <x v="10"/>
    <x v="1"/>
  </r>
  <r>
    <s v="TX501924"/>
    <x v="2"/>
    <x v="2"/>
    <n v="86.9"/>
    <x v="1486"/>
    <d v="2025-03-12T00:00:00"/>
    <d v="2025-03-14T00:00:00"/>
    <s v="F"/>
    <x v="1"/>
    <x v="0"/>
    <x v="0"/>
    <x v="11"/>
    <x v="1"/>
    <x v="10"/>
    <x v="2"/>
  </r>
  <r>
    <s v="TX501925"/>
    <x v="18"/>
    <x v="1"/>
    <n v="46.4"/>
    <x v="1487"/>
    <d v="2025-03-12T00:00:00"/>
    <d v="2025-03-15T00:00:00"/>
    <s v="F"/>
    <x v="4"/>
    <x v="0"/>
    <x v="0"/>
    <x v="11"/>
    <x v="2"/>
    <x v="10"/>
    <x v="2"/>
  </r>
  <r>
    <s v="TX501926"/>
    <x v="5"/>
    <x v="2"/>
    <n v="25.4"/>
    <x v="1488"/>
    <d v="2025-03-12T00:00:00"/>
    <d v="2025-03-12T00:00:00"/>
    <s v="F"/>
    <x v="2"/>
    <x v="2"/>
    <x v="0"/>
    <x v="18"/>
    <x v="7"/>
    <x v="10"/>
    <x v="2"/>
  </r>
  <r>
    <s v="TX501927"/>
    <x v="10"/>
    <x v="2"/>
    <n v="47.8"/>
    <x v="1489"/>
    <d v="2025-03-12T00:00:00"/>
    <d v="2025-03-12T00:00:00"/>
    <s v=""/>
    <x v="2"/>
    <x v="2"/>
    <x v="0"/>
    <x v="19"/>
    <x v="7"/>
    <x v="10"/>
    <x v="0"/>
  </r>
  <r>
    <s v="TX501928"/>
    <x v="8"/>
    <x v="10"/>
    <n v="18.399999999999999"/>
    <x v="1490"/>
    <d v="2025-03-12T00:00:00"/>
    <d v="2025-03-14T00:00:00"/>
    <s v="O"/>
    <x v="2"/>
    <x v="0"/>
    <x v="0"/>
    <x v="20"/>
    <x v="1"/>
    <x v="10"/>
    <x v="3"/>
  </r>
  <r>
    <s v="TX501929"/>
    <x v="12"/>
    <x v="2"/>
    <n v="65.5"/>
    <x v="756"/>
    <d v="2025-03-12T00:00:00"/>
    <d v="2025-03-20T00:00:00"/>
    <s v="F"/>
    <x v="0"/>
    <x v="0"/>
    <x v="0"/>
    <x v="21"/>
    <x v="9"/>
    <x v="10"/>
    <x v="2"/>
  </r>
  <r>
    <s v="TX501930"/>
    <x v="10"/>
    <x v="1"/>
    <n v="50.6"/>
    <x v="855"/>
    <d v="2025-03-12T00:00:00"/>
    <d v="2025-03-15T00:00:00"/>
    <s v="M"/>
    <x v="2"/>
    <x v="4"/>
    <x v="0"/>
    <x v="21"/>
    <x v="2"/>
    <x v="10"/>
    <x v="1"/>
  </r>
  <r>
    <s v="TX501931"/>
    <x v="3"/>
    <x v="9"/>
    <n v="69"/>
    <x v="1491"/>
    <d v="2025-03-12T00:00:00"/>
    <d v="2025-03-16T00:00:00"/>
    <s v="M"/>
    <x v="3"/>
    <x v="0"/>
    <x v="0"/>
    <x v="21"/>
    <x v="5"/>
    <x v="10"/>
    <x v="1"/>
  </r>
  <r>
    <s v="TX501932"/>
    <x v="9"/>
    <x v="8"/>
    <n v="51.1"/>
    <x v="18"/>
    <d v="2025-03-12T00:00:00"/>
    <d v="2025-03-14T00:00:00"/>
    <s v="F"/>
    <x v="0"/>
    <x v="0"/>
    <x v="0"/>
    <x v="1"/>
    <x v="1"/>
    <x v="10"/>
    <x v="2"/>
  </r>
  <r>
    <s v="TX501933"/>
    <x v="9"/>
    <x v="0"/>
    <n v="36.1"/>
    <x v="168"/>
    <d v="2025-03-12T00:00:00"/>
    <d v="2025-03-13T00:00:00"/>
    <s v="F"/>
    <x v="0"/>
    <x v="2"/>
    <x v="0"/>
    <x v="34"/>
    <x v="3"/>
    <x v="10"/>
    <x v="2"/>
  </r>
  <r>
    <s v="TX501934"/>
    <x v="14"/>
    <x v="0"/>
    <n v="18.7"/>
    <x v="1492"/>
    <d v="2025-03-12T00:00:00"/>
    <d v="2025-03-13T00:00:00"/>
    <s v="M"/>
    <x v="0"/>
    <x v="0"/>
    <x v="0"/>
    <x v="3"/>
    <x v="3"/>
    <x v="10"/>
    <x v="1"/>
  </r>
  <r>
    <s v="TX501935"/>
    <x v="17"/>
    <x v="0"/>
    <n v="30.1"/>
    <x v="1493"/>
    <d v="2025-03-12T00:00:00"/>
    <d v="2025-03-15T00:00:00"/>
    <s v="F"/>
    <x v="3"/>
    <x v="1"/>
    <x v="0"/>
    <x v="3"/>
    <x v="2"/>
    <x v="10"/>
    <x v="2"/>
  </r>
  <r>
    <s v="TX501936"/>
    <x v="8"/>
    <x v="0"/>
    <n v="16.3"/>
    <x v="1494"/>
    <d v="2025-03-12T00:00:00"/>
    <d v="2025-03-13T00:00:00"/>
    <s v="M"/>
    <x v="3"/>
    <x v="0"/>
    <x v="0"/>
    <x v="3"/>
    <x v="3"/>
    <x v="10"/>
    <x v="1"/>
  </r>
  <r>
    <s v="TX501937"/>
    <x v="1"/>
    <x v="2"/>
    <n v="63.8"/>
    <x v="1348"/>
    <d v="2025-03-12T00:00:00"/>
    <d v="2025-03-17T00:00:00"/>
    <s v="F"/>
    <x v="2"/>
    <x v="1"/>
    <x v="0"/>
    <x v="3"/>
    <x v="0"/>
    <x v="10"/>
    <x v="2"/>
  </r>
  <r>
    <s v="TX501938"/>
    <x v="1"/>
    <x v="3"/>
    <n v="73.900000000000006"/>
    <x v="1495"/>
    <d v="2025-03-12T00:00:00"/>
    <d v="2025-03-12T00:00:00"/>
    <s v="F"/>
    <x v="0"/>
    <x v="1"/>
    <x v="0"/>
    <x v="3"/>
    <x v="7"/>
    <x v="10"/>
    <x v="2"/>
  </r>
  <r>
    <s v="TX501939"/>
    <x v="0"/>
    <x v="1"/>
    <n v="20.2"/>
    <x v="1400"/>
    <d v="2025-03-12T00:00:00"/>
    <d v="2025-03-13T00:00:00"/>
    <s v="M"/>
    <x v="0"/>
    <x v="1"/>
    <x v="0"/>
    <x v="3"/>
    <x v="3"/>
    <x v="10"/>
    <x v="1"/>
  </r>
  <r>
    <s v="TX501940"/>
    <x v="11"/>
    <x v="5"/>
    <n v="29.5"/>
    <x v="1496"/>
    <d v="2025-03-12T00:00:00"/>
    <d v="2025-03-13T00:00:00"/>
    <s v="M"/>
    <x v="0"/>
    <x v="0"/>
    <x v="0"/>
    <x v="3"/>
    <x v="3"/>
    <x v="10"/>
    <x v="1"/>
  </r>
  <r>
    <s v="TX501941"/>
    <x v="15"/>
    <x v="3"/>
    <n v="37.9"/>
    <x v="1497"/>
    <d v="2025-03-12T00:00:00"/>
    <d v="2025-03-13T00:00:00"/>
    <s v="M"/>
    <x v="1"/>
    <x v="0"/>
    <x v="0"/>
    <x v="3"/>
    <x v="3"/>
    <x v="10"/>
    <x v="1"/>
  </r>
  <r>
    <s v="TX501942"/>
    <x v="2"/>
    <x v="0"/>
    <n v="56.5"/>
    <x v="1498"/>
    <d v="2025-03-12T00:00:00"/>
    <d v="2025-03-13T00:00:00"/>
    <s v="F"/>
    <x v="2"/>
    <x v="1"/>
    <x v="0"/>
    <x v="3"/>
    <x v="3"/>
    <x v="10"/>
    <x v="2"/>
  </r>
  <r>
    <s v="TX501943"/>
    <x v="2"/>
    <x v="1"/>
    <n v="66.900000000000006"/>
    <x v="981"/>
    <d v="2025-03-12T00:00:00"/>
    <d v="2025-03-18T00:00:00"/>
    <s v="M"/>
    <x v="1"/>
    <x v="4"/>
    <x v="0"/>
    <x v="25"/>
    <x v="4"/>
    <x v="10"/>
    <x v="1"/>
  </r>
  <r>
    <s v="TX501944"/>
    <x v="2"/>
    <x v="9"/>
    <n v="51.9"/>
    <x v="1499"/>
    <d v="2025-03-12T00:00:00"/>
    <d v="2025-03-15T00:00:00"/>
    <s v="M"/>
    <x v="1"/>
    <x v="0"/>
    <x v="0"/>
    <x v="7"/>
    <x v="2"/>
    <x v="10"/>
    <x v="1"/>
  </r>
  <r>
    <s v="TX501945"/>
    <x v="2"/>
    <x v="1"/>
    <n v="75.599999999999994"/>
    <x v="277"/>
    <d v="2025-03-12T00:00:00"/>
    <d v="2025-03-15T00:00:00"/>
    <s v="M"/>
    <x v="1"/>
    <x v="0"/>
    <x v="0"/>
    <x v="8"/>
    <x v="2"/>
    <x v="10"/>
    <x v="1"/>
  </r>
  <r>
    <s v="TX501946"/>
    <x v="12"/>
    <x v="13"/>
    <n v="47.3"/>
    <x v="592"/>
    <d v="2025-03-12T00:00:00"/>
    <d v="2025-03-23T00:00:00"/>
    <s v="M"/>
    <x v="0"/>
    <x v="0"/>
    <x v="0"/>
    <x v="8"/>
    <x v="11"/>
    <x v="10"/>
    <x v="1"/>
  </r>
  <r>
    <s v="TX501947"/>
    <x v="4"/>
    <x v="0"/>
    <n v="20.6"/>
    <x v="1500"/>
    <d v="2025-03-12T00:00:00"/>
    <d v="2025-03-13T00:00:00"/>
    <s v=""/>
    <x v="0"/>
    <x v="1"/>
    <x v="0"/>
    <x v="8"/>
    <x v="3"/>
    <x v="10"/>
    <x v="0"/>
  </r>
  <r>
    <s v="TX501948"/>
    <x v="6"/>
    <x v="2"/>
    <n v="49.7"/>
    <x v="1501"/>
    <d v="2025-03-12T00:00:00"/>
    <d v="2025-03-14T00:00:00"/>
    <s v="M"/>
    <x v="0"/>
    <x v="1"/>
    <x v="0"/>
    <x v="8"/>
    <x v="1"/>
    <x v="10"/>
    <x v="1"/>
  </r>
  <r>
    <s v="TX501949"/>
    <x v="3"/>
    <x v="0"/>
    <n v="37.9"/>
    <x v="853"/>
    <d v="2025-03-12T00:00:00"/>
    <d v="2025-03-14T00:00:00"/>
    <s v="F"/>
    <x v="0"/>
    <x v="0"/>
    <x v="0"/>
    <x v="8"/>
    <x v="1"/>
    <x v="10"/>
    <x v="2"/>
  </r>
  <r>
    <s v="TX501950"/>
    <x v="13"/>
    <x v="20"/>
    <n v="32"/>
    <x v="1502"/>
    <d v="2025-03-12T00:00:00"/>
    <d v="2025-03-14T00:00:00"/>
    <s v="F"/>
    <x v="4"/>
    <x v="0"/>
    <x v="0"/>
    <x v="11"/>
    <x v="1"/>
    <x v="10"/>
    <x v="2"/>
  </r>
  <r>
    <s v="TX501951"/>
    <x v="10"/>
    <x v="16"/>
    <n v="38.5"/>
    <x v="1503"/>
    <d v="2025-03-13T00:00:00"/>
    <d v="2025-03-14T00:00:00"/>
    <s v="M"/>
    <x v="0"/>
    <x v="2"/>
    <x v="0"/>
    <x v="11"/>
    <x v="3"/>
    <x v="10"/>
    <x v="1"/>
  </r>
  <r>
    <s v="TX501952"/>
    <x v="0"/>
    <x v="12"/>
    <n v="11.7"/>
    <x v="86"/>
    <d v="2025-03-13T00:00:00"/>
    <d v="2025-03-15T00:00:00"/>
    <s v="F"/>
    <x v="1"/>
    <x v="0"/>
    <x v="0"/>
    <x v="20"/>
    <x v="1"/>
    <x v="10"/>
    <x v="2"/>
  </r>
  <r>
    <s v="TX501953"/>
    <x v="3"/>
    <x v="13"/>
    <n v="83.8"/>
    <x v="1504"/>
    <d v="2025-03-13T00:00:00"/>
    <d v="2025-03-14T00:00:00"/>
    <s v="M"/>
    <x v="0"/>
    <x v="0"/>
    <x v="0"/>
    <x v="21"/>
    <x v="3"/>
    <x v="10"/>
    <x v="1"/>
  </r>
  <r>
    <s v="TX501954"/>
    <x v="0"/>
    <x v="3"/>
    <n v="14"/>
    <x v="11"/>
    <d v="2025-03-13T00:00:00"/>
    <d v="2025-03-16T00:00:00"/>
    <s v="M"/>
    <x v="0"/>
    <x v="1"/>
    <x v="0"/>
    <x v="22"/>
    <x v="2"/>
    <x v="10"/>
    <x v="1"/>
  </r>
  <r>
    <s v="TX501955"/>
    <x v="16"/>
    <x v="12"/>
    <n v="77.3"/>
    <x v="1505"/>
    <d v="2025-03-13T00:00:00"/>
    <d v="2025-03-15T00:00:00"/>
    <s v="F"/>
    <x v="4"/>
    <x v="2"/>
    <x v="0"/>
    <x v="3"/>
    <x v="1"/>
    <x v="10"/>
    <x v="2"/>
  </r>
  <r>
    <s v="TX501956"/>
    <x v="2"/>
    <x v="1"/>
    <n v="76.900000000000006"/>
    <x v="1506"/>
    <d v="2025-03-13T00:00:00"/>
    <d v="2025-03-17T00:00:00"/>
    <s v="F"/>
    <x v="0"/>
    <x v="1"/>
    <x v="0"/>
    <x v="3"/>
    <x v="5"/>
    <x v="10"/>
    <x v="2"/>
  </r>
  <r>
    <s v="TX501957"/>
    <x v="1"/>
    <x v="0"/>
    <n v="48"/>
    <x v="510"/>
    <d v="2025-03-13T00:00:00"/>
    <d v="2025-03-15T00:00:00"/>
    <s v="F"/>
    <x v="1"/>
    <x v="2"/>
    <x v="0"/>
    <x v="3"/>
    <x v="1"/>
    <x v="10"/>
    <x v="2"/>
  </r>
  <r>
    <s v="TX501958"/>
    <x v="2"/>
    <x v="0"/>
    <n v="94.5"/>
    <x v="234"/>
    <d v="2025-03-13T00:00:00"/>
    <d v="2025-03-16T00:00:00"/>
    <s v="M"/>
    <x v="1"/>
    <x v="1"/>
    <x v="0"/>
    <x v="3"/>
    <x v="2"/>
    <x v="10"/>
    <x v="1"/>
  </r>
  <r>
    <s v="TX501959"/>
    <x v="10"/>
    <x v="2"/>
    <n v="58.4"/>
    <x v="122"/>
    <d v="2025-03-13T00:00:00"/>
    <d v="2025-03-15T00:00:00"/>
    <s v="F"/>
    <x v="1"/>
    <x v="2"/>
    <x v="0"/>
    <x v="3"/>
    <x v="1"/>
    <x v="10"/>
    <x v="2"/>
  </r>
  <r>
    <s v="TX501960"/>
    <x v="7"/>
    <x v="15"/>
    <n v="42.2"/>
    <x v="1507"/>
    <d v="2025-03-13T00:00:00"/>
    <d v="2025-03-13T00:00:00"/>
    <s v="M"/>
    <x v="0"/>
    <x v="0"/>
    <x v="0"/>
    <x v="25"/>
    <x v="7"/>
    <x v="10"/>
    <x v="1"/>
  </r>
  <r>
    <s v="TX501961"/>
    <x v="6"/>
    <x v="1"/>
    <n v="152.19999999999999"/>
    <x v="1508"/>
    <d v="2025-03-13T00:00:00"/>
    <d v="2025-03-14T00:00:00"/>
    <s v="M"/>
    <x v="4"/>
    <x v="1"/>
    <x v="0"/>
    <x v="25"/>
    <x v="3"/>
    <x v="10"/>
    <x v="1"/>
  </r>
  <r>
    <s v="TX501962"/>
    <x v="6"/>
    <x v="25"/>
    <n v="72"/>
    <x v="1509"/>
    <d v="2025-03-13T00:00:00"/>
    <d v="2025-03-14T00:00:00"/>
    <s v="M"/>
    <x v="0"/>
    <x v="1"/>
    <x v="0"/>
    <x v="6"/>
    <x v="3"/>
    <x v="10"/>
    <x v="1"/>
  </r>
  <r>
    <s v="TX501963"/>
    <x v="1"/>
    <x v="44"/>
    <n v="70.900000000000006"/>
    <x v="1510"/>
    <d v="2025-03-13T00:00:00"/>
    <d v="2025-03-14T00:00:00"/>
    <s v="F"/>
    <x v="2"/>
    <x v="0"/>
    <x v="0"/>
    <x v="8"/>
    <x v="3"/>
    <x v="10"/>
    <x v="2"/>
  </r>
  <r>
    <s v="TX501964"/>
    <x v="2"/>
    <x v="1"/>
    <n v="53.7"/>
    <x v="1511"/>
    <d v="2025-03-13T00:00:00"/>
    <d v="2025-03-14T00:00:00"/>
    <s v="M"/>
    <x v="2"/>
    <x v="2"/>
    <x v="0"/>
    <x v="8"/>
    <x v="3"/>
    <x v="10"/>
    <x v="1"/>
  </r>
  <r>
    <s v="TX501965"/>
    <x v="9"/>
    <x v="12"/>
    <n v="42.9"/>
    <x v="1512"/>
    <d v="2025-03-13T00:00:00"/>
    <d v="2025-03-14T00:00:00"/>
    <s v="F"/>
    <x v="2"/>
    <x v="4"/>
    <x v="0"/>
    <x v="9"/>
    <x v="3"/>
    <x v="10"/>
    <x v="2"/>
  </r>
  <r>
    <s v="TX501966"/>
    <x v="2"/>
    <x v="3"/>
    <n v="107.5"/>
    <x v="1513"/>
    <d v="2025-03-13T00:00:00"/>
    <d v="2025-03-14T00:00:00"/>
    <s v="M"/>
    <x v="1"/>
    <x v="0"/>
    <x v="0"/>
    <x v="11"/>
    <x v="3"/>
    <x v="10"/>
    <x v="1"/>
  </r>
  <r>
    <s v="TX501967"/>
    <x v="17"/>
    <x v="27"/>
    <n v="21.5"/>
    <x v="1213"/>
    <d v="2025-03-13T00:00:00"/>
    <d v="2025-03-14T00:00:00"/>
    <s v="M"/>
    <x v="1"/>
    <x v="1"/>
    <x v="0"/>
    <x v="32"/>
    <x v="3"/>
    <x v="10"/>
    <x v="1"/>
  </r>
  <r>
    <s v="TX501968"/>
    <x v="3"/>
    <x v="9"/>
    <n v="85.3"/>
    <x v="1514"/>
    <d v="2025-03-13T00:00:00"/>
    <d v="2025-03-15T00:00:00"/>
    <s v="F"/>
    <x v="3"/>
    <x v="0"/>
    <x v="0"/>
    <x v="18"/>
    <x v="1"/>
    <x v="10"/>
    <x v="2"/>
  </r>
  <r>
    <s v="TX501969"/>
    <x v="7"/>
    <x v="9"/>
    <n v="80.8"/>
    <x v="1515"/>
    <d v="2025-03-13T00:00:00"/>
    <d v="2025-03-21T00:00:00"/>
    <s v="O"/>
    <x v="1"/>
    <x v="1"/>
    <x v="0"/>
    <x v="19"/>
    <x v="9"/>
    <x v="10"/>
    <x v="3"/>
  </r>
  <r>
    <s v="TX501970"/>
    <x v="2"/>
    <x v="2"/>
    <n v="123.1"/>
    <x v="1516"/>
    <d v="2025-03-13T00:00:00"/>
    <d v="2025-03-15T00:00:00"/>
    <s v=""/>
    <x v="2"/>
    <x v="0"/>
    <x v="0"/>
    <x v="21"/>
    <x v="1"/>
    <x v="10"/>
    <x v="0"/>
  </r>
  <r>
    <s v="TX501971"/>
    <x v="8"/>
    <x v="1"/>
    <n v="36.9"/>
    <x v="1517"/>
    <d v="2025-03-13T00:00:00"/>
    <d v="2025-03-15T00:00:00"/>
    <s v="F"/>
    <x v="2"/>
    <x v="4"/>
    <x v="0"/>
    <x v="51"/>
    <x v="1"/>
    <x v="10"/>
    <x v="2"/>
  </r>
  <r>
    <s v="TX501972"/>
    <x v="11"/>
    <x v="9"/>
    <n v="40"/>
    <x v="308"/>
    <d v="2025-03-13T00:00:00"/>
    <d v="2025-03-14T00:00:00"/>
    <s v="M"/>
    <x v="0"/>
    <x v="0"/>
    <x v="0"/>
    <x v="1"/>
    <x v="3"/>
    <x v="10"/>
    <x v="1"/>
  </r>
  <r>
    <s v="TX501973"/>
    <x v="6"/>
    <x v="2"/>
    <n v="55.5"/>
    <x v="1256"/>
    <d v="2025-03-13T00:00:00"/>
    <d v="2025-03-14T00:00:00"/>
    <s v="M"/>
    <x v="4"/>
    <x v="2"/>
    <x v="0"/>
    <x v="1"/>
    <x v="3"/>
    <x v="10"/>
    <x v="1"/>
  </r>
  <r>
    <s v="TX501974"/>
    <x v="0"/>
    <x v="12"/>
    <n v="20.5"/>
    <x v="1518"/>
    <d v="2025-03-13T00:00:00"/>
    <d v="2025-03-17T00:00:00"/>
    <s v="F"/>
    <x v="4"/>
    <x v="0"/>
    <x v="0"/>
    <x v="1"/>
    <x v="5"/>
    <x v="10"/>
    <x v="2"/>
  </r>
  <r>
    <s v="TX501975"/>
    <x v="18"/>
    <x v="12"/>
    <n v="50.1"/>
    <x v="1519"/>
    <d v="2025-03-13T00:00:00"/>
    <d v="2025-03-14T00:00:00"/>
    <s v="F"/>
    <x v="4"/>
    <x v="0"/>
    <x v="0"/>
    <x v="1"/>
    <x v="3"/>
    <x v="10"/>
    <x v="2"/>
  </r>
  <r>
    <s v="TX501976"/>
    <x v="9"/>
    <x v="0"/>
    <n v="35.9"/>
    <x v="1520"/>
    <d v="2025-03-13T00:00:00"/>
    <d v="2025-03-15T00:00:00"/>
    <s v="M"/>
    <x v="1"/>
    <x v="2"/>
    <x v="0"/>
    <x v="1"/>
    <x v="1"/>
    <x v="10"/>
    <x v="1"/>
  </r>
  <r>
    <s v="TX501977"/>
    <x v="13"/>
    <x v="12"/>
    <n v="29.4"/>
    <x v="833"/>
    <d v="2025-03-14T00:00:00"/>
    <d v="2025-03-15T00:00:00"/>
    <s v="M"/>
    <x v="2"/>
    <x v="2"/>
    <x v="0"/>
    <x v="33"/>
    <x v="3"/>
    <x v="10"/>
    <x v="1"/>
  </r>
  <r>
    <s v="TX501978"/>
    <x v="8"/>
    <x v="9"/>
    <n v="29.1"/>
    <x v="973"/>
    <d v="2025-03-14T00:00:00"/>
    <d v="2025-03-22T00:00:00"/>
    <s v="O"/>
    <x v="2"/>
    <x v="1"/>
    <x v="0"/>
    <x v="33"/>
    <x v="9"/>
    <x v="10"/>
    <x v="3"/>
  </r>
  <r>
    <s v="TX501979"/>
    <x v="8"/>
    <x v="2"/>
    <n v="33.5"/>
    <x v="427"/>
    <d v="2025-03-14T00:00:00"/>
    <d v="2025-03-26T00:00:00"/>
    <s v="M"/>
    <x v="0"/>
    <x v="2"/>
    <x v="0"/>
    <x v="22"/>
    <x v="13"/>
    <x v="10"/>
    <x v="1"/>
  </r>
  <r>
    <s v="TX501980"/>
    <x v="4"/>
    <x v="7"/>
    <n v="36"/>
    <x v="1521"/>
    <d v="2025-03-14T00:00:00"/>
    <d v="2025-03-14T00:00:00"/>
    <s v="M"/>
    <x v="3"/>
    <x v="2"/>
    <x v="0"/>
    <x v="3"/>
    <x v="7"/>
    <x v="10"/>
    <x v="1"/>
  </r>
  <r>
    <s v="TX501981"/>
    <x v="16"/>
    <x v="2"/>
    <n v="57.3"/>
    <x v="1522"/>
    <d v="2025-03-14T00:00:00"/>
    <d v="2025-03-18T00:00:00"/>
    <s v="F"/>
    <x v="0"/>
    <x v="2"/>
    <x v="0"/>
    <x v="3"/>
    <x v="5"/>
    <x v="10"/>
    <x v="2"/>
  </r>
  <r>
    <s v="TX501982"/>
    <x v="1"/>
    <x v="0"/>
    <n v="81.400000000000006"/>
    <x v="1523"/>
    <d v="2025-03-14T00:00:00"/>
    <d v="2025-03-15T00:00:00"/>
    <s v="F"/>
    <x v="2"/>
    <x v="2"/>
    <x v="0"/>
    <x v="3"/>
    <x v="3"/>
    <x v="10"/>
    <x v="2"/>
  </r>
  <r>
    <s v="TX501983"/>
    <x v="10"/>
    <x v="1"/>
    <n v="35.299999999999997"/>
    <x v="527"/>
    <d v="2025-03-14T00:00:00"/>
    <d v="2025-03-18T00:00:00"/>
    <s v="M"/>
    <x v="0"/>
    <x v="2"/>
    <x v="0"/>
    <x v="3"/>
    <x v="5"/>
    <x v="10"/>
    <x v="1"/>
  </r>
  <r>
    <s v="TX501984"/>
    <x v="3"/>
    <x v="0"/>
    <n v="36.1"/>
    <x v="168"/>
    <d v="2025-03-14T00:00:00"/>
    <d v="2025-03-15T00:00:00"/>
    <s v="F"/>
    <x v="4"/>
    <x v="0"/>
    <x v="0"/>
    <x v="3"/>
    <x v="3"/>
    <x v="10"/>
    <x v="2"/>
  </r>
  <r>
    <s v="TX501985"/>
    <x v="1"/>
    <x v="1"/>
    <n v="36.700000000000003"/>
    <x v="1524"/>
    <d v="2025-03-14T00:00:00"/>
    <d v="2025-03-16T00:00:00"/>
    <s v="F"/>
    <x v="0"/>
    <x v="2"/>
    <x v="0"/>
    <x v="3"/>
    <x v="1"/>
    <x v="10"/>
    <x v="2"/>
  </r>
  <r>
    <s v="TX501986"/>
    <x v="10"/>
    <x v="0"/>
    <n v="20.9"/>
    <x v="798"/>
    <d v="2025-03-14T00:00:00"/>
    <d v="2025-03-16T00:00:00"/>
    <s v="F"/>
    <x v="0"/>
    <x v="4"/>
    <x v="0"/>
    <x v="3"/>
    <x v="1"/>
    <x v="10"/>
    <x v="2"/>
  </r>
  <r>
    <s v="TX501987"/>
    <x v="12"/>
    <x v="2"/>
    <n v="58.8"/>
    <x v="1525"/>
    <d v="2025-03-14T00:00:00"/>
    <d v="2025-03-18T00:00:00"/>
    <s v="M"/>
    <x v="0"/>
    <x v="2"/>
    <x v="0"/>
    <x v="25"/>
    <x v="5"/>
    <x v="10"/>
    <x v="1"/>
  </r>
  <r>
    <s v="TX501988"/>
    <x v="2"/>
    <x v="2"/>
    <n v="97.6"/>
    <x v="1526"/>
    <d v="2025-03-15T00:00:00"/>
    <d v="2025-03-17T00:00:00"/>
    <s v=""/>
    <x v="0"/>
    <x v="0"/>
    <x v="0"/>
    <x v="6"/>
    <x v="1"/>
    <x v="10"/>
    <x v="0"/>
  </r>
  <r>
    <s v="TX501989"/>
    <x v="1"/>
    <x v="1"/>
    <n v="58.7"/>
    <x v="1527"/>
    <d v="2025-03-15T00:00:00"/>
    <d v="2025-03-18T00:00:00"/>
    <s v="F"/>
    <x v="0"/>
    <x v="1"/>
    <x v="0"/>
    <x v="6"/>
    <x v="2"/>
    <x v="10"/>
    <x v="2"/>
  </r>
  <r>
    <s v="TX501990"/>
    <x v="6"/>
    <x v="9"/>
    <n v="71.900000000000006"/>
    <x v="1528"/>
    <d v="2025-03-15T00:00:00"/>
    <d v="2025-03-16T00:00:00"/>
    <s v=""/>
    <x v="0"/>
    <x v="1"/>
    <x v="0"/>
    <x v="6"/>
    <x v="3"/>
    <x v="10"/>
    <x v="0"/>
  </r>
  <r>
    <s v="TX501991"/>
    <x v="1"/>
    <x v="1"/>
    <n v="62.4"/>
    <x v="1109"/>
    <d v="2025-03-15T00:00:00"/>
    <d v="2025-03-17T00:00:00"/>
    <s v=""/>
    <x v="0"/>
    <x v="1"/>
    <x v="0"/>
    <x v="8"/>
    <x v="1"/>
    <x v="10"/>
    <x v="0"/>
  </r>
  <r>
    <s v="TX501992"/>
    <x v="6"/>
    <x v="27"/>
    <n v="53.8"/>
    <x v="1529"/>
    <d v="2025-03-15T00:00:00"/>
    <d v="2025-03-16T00:00:00"/>
    <s v="F"/>
    <x v="1"/>
    <x v="0"/>
    <x v="0"/>
    <x v="8"/>
    <x v="3"/>
    <x v="10"/>
    <x v="2"/>
  </r>
  <r>
    <s v="TX501993"/>
    <x v="9"/>
    <x v="0"/>
    <n v="43.8"/>
    <x v="328"/>
    <d v="2025-03-15T00:00:00"/>
    <d v="2025-03-22T00:00:00"/>
    <s v="F"/>
    <x v="0"/>
    <x v="2"/>
    <x v="0"/>
    <x v="8"/>
    <x v="6"/>
    <x v="10"/>
    <x v="2"/>
  </r>
  <r>
    <s v="TX501994"/>
    <x v="5"/>
    <x v="2"/>
    <n v="53.6"/>
    <x v="1530"/>
    <d v="2025-03-15T00:00:00"/>
    <d v="2025-03-16T00:00:00"/>
    <s v="M"/>
    <x v="3"/>
    <x v="0"/>
    <x v="0"/>
    <x v="8"/>
    <x v="3"/>
    <x v="10"/>
    <x v="1"/>
  </r>
  <r>
    <s v="TX501995"/>
    <x v="12"/>
    <x v="1"/>
    <n v="84.3"/>
    <x v="1531"/>
    <d v="2025-03-15T00:00:00"/>
    <d v="2025-03-18T00:00:00"/>
    <s v="M"/>
    <x v="4"/>
    <x v="1"/>
    <x v="0"/>
    <x v="8"/>
    <x v="2"/>
    <x v="10"/>
    <x v="1"/>
  </r>
  <r>
    <s v="TX501996"/>
    <x v="6"/>
    <x v="11"/>
    <n v="117.9"/>
    <x v="1532"/>
    <d v="2025-03-15T00:00:00"/>
    <d v="2025-03-16T00:00:00"/>
    <s v="F"/>
    <x v="1"/>
    <x v="2"/>
    <x v="0"/>
    <x v="8"/>
    <x v="3"/>
    <x v="10"/>
    <x v="2"/>
  </r>
  <r>
    <s v="TX501997"/>
    <x v="4"/>
    <x v="8"/>
    <n v="30"/>
    <x v="1533"/>
    <d v="2025-03-15T00:00:00"/>
    <d v="2025-03-16T00:00:00"/>
    <s v="F"/>
    <x v="1"/>
    <x v="0"/>
    <x v="0"/>
    <x v="26"/>
    <x v="3"/>
    <x v="10"/>
    <x v="2"/>
  </r>
  <r>
    <s v="TX501998"/>
    <x v="14"/>
    <x v="2"/>
    <n v="37.299999999999997"/>
    <x v="1534"/>
    <d v="2025-03-15T00:00:00"/>
    <d v="2025-03-16T00:00:00"/>
    <s v="M"/>
    <x v="2"/>
    <x v="0"/>
    <x v="0"/>
    <x v="9"/>
    <x v="3"/>
    <x v="10"/>
    <x v="1"/>
  </r>
  <r>
    <s v="TX501999"/>
    <x v="4"/>
    <x v="11"/>
    <n v="25.1"/>
    <x v="1535"/>
    <d v="2025-03-15T00:00:00"/>
    <d v="2025-03-17T00:00:00"/>
    <s v="M"/>
    <x v="1"/>
    <x v="2"/>
    <x v="0"/>
    <x v="11"/>
    <x v="1"/>
    <x v="10"/>
    <x v="1"/>
  </r>
  <r>
    <s v="TX502000"/>
    <x v="8"/>
    <x v="5"/>
    <n v="36"/>
    <x v="501"/>
    <d v="2025-03-15T00:00:00"/>
    <d v="2025-03-25T00:00:00"/>
    <s v="M"/>
    <x v="1"/>
    <x v="0"/>
    <x v="0"/>
    <x v="18"/>
    <x v="14"/>
    <x v="10"/>
    <x v="1"/>
  </r>
  <r>
    <s v="TX502001"/>
    <x v="16"/>
    <x v="2"/>
    <n v="48.5"/>
    <x v="973"/>
    <d v="2025-03-15T00:00:00"/>
    <d v="2025-03-19T00:00:00"/>
    <s v="F"/>
    <x v="1"/>
    <x v="0"/>
    <x v="0"/>
    <x v="19"/>
    <x v="5"/>
    <x v="10"/>
    <x v="2"/>
  </r>
  <r>
    <s v="TX502002"/>
    <x v="17"/>
    <x v="13"/>
    <n v="21.1"/>
    <x v="1077"/>
    <d v="2025-03-15T00:00:00"/>
    <d v="2025-03-16T00:00:00"/>
    <s v="M"/>
    <x v="1"/>
    <x v="2"/>
    <x v="0"/>
    <x v="21"/>
    <x v="3"/>
    <x v="10"/>
    <x v="1"/>
  </r>
  <r>
    <s v="TX502003"/>
    <x v="15"/>
    <x v="21"/>
    <n v="43.2"/>
    <x v="1536"/>
    <d v="2025-03-15T00:00:00"/>
    <d v="2025-03-16T00:00:00"/>
    <s v="O"/>
    <x v="0"/>
    <x v="1"/>
    <x v="0"/>
    <x v="21"/>
    <x v="3"/>
    <x v="10"/>
    <x v="3"/>
  </r>
  <r>
    <s v="TX502004"/>
    <x v="9"/>
    <x v="1"/>
    <n v="21.1"/>
    <x v="1283"/>
    <d v="2025-03-15T00:00:00"/>
    <d v="2025-03-16T00:00:00"/>
    <s v=""/>
    <x v="3"/>
    <x v="1"/>
    <x v="0"/>
    <x v="21"/>
    <x v="3"/>
    <x v="10"/>
    <x v="0"/>
  </r>
  <r>
    <s v="TX502005"/>
    <x v="6"/>
    <x v="12"/>
    <n v="41.3"/>
    <x v="1537"/>
    <d v="2025-03-15T00:00:00"/>
    <d v="2025-03-17T00:00:00"/>
    <s v="F"/>
    <x v="3"/>
    <x v="2"/>
    <x v="0"/>
    <x v="1"/>
    <x v="1"/>
    <x v="10"/>
    <x v="2"/>
  </r>
  <r>
    <s v="TX502006"/>
    <x v="8"/>
    <x v="1"/>
    <n v="15.3"/>
    <x v="1538"/>
    <d v="2025-03-15T00:00:00"/>
    <d v="2025-03-18T00:00:00"/>
    <s v=""/>
    <x v="2"/>
    <x v="2"/>
    <x v="0"/>
    <x v="1"/>
    <x v="2"/>
    <x v="10"/>
    <x v="0"/>
  </r>
  <r>
    <s v="TX502007"/>
    <x v="1"/>
    <x v="0"/>
    <n v="54.6"/>
    <x v="1539"/>
    <d v="2025-03-15T00:00:00"/>
    <d v="2025-03-17T00:00:00"/>
    <s v="M"/>
    <x v="1"/>
    <x v="1"/>
    <x v="0"/>
    <x v="2"/>
    <x v="1"/>
    <x v="10"/>
    <x v="1"/>
  </r>
  <r>
    <s v="TX502008"/>
    <x v="8"/>
    <x v="0"/>
    <n v="15.9"/>
    <x v="1021"/>
    <d v="2025-03-15T00:00:00"/>
    <d v="2025-03-16T00:00:00"/>
    <s v="M"/>
    <x v="0"/>
    <x v="1"/>
    <x v="0"/>
    <x v="22"/>
    <x v="3"/>
    <x v="10"/>
    <x v="1"/>
  </r>
  <r>
    <s v="TX502009"/>
    <x v="9"/>
    <x v="0"/>
    <n v="50.2"/>
    <x v="486"/>
    <d v="2025-03-15T00:00:00"/>
    <d v="2025-03-17T00:00:00"/>
    <s v="F"/>
    <x v="3"/>
    <x v="2"/>
    <x v="0"/>
    <x v="34"/>
    <x v="1"/>
    <x v="10"/>
    <x v="2"/>
  </r>
  <r>
    <s v="TX502010"/>
    <x v="11"/>
    <x v="12"/>
    <n v="85.1"/>
    <x v="1540"/>
    <d v="2025-03-15T00:00:00"/>
    <d v="2025-03-16T00:00:00"/>
    <s v="F"/>
    <x v="3"/>
    <x v="4"/>
    <x v="0"/>
    <x v="34"/>
    <x v="3"/>
    <x v="10"/>
    <x v="2"/>
  </r>
  <r>
    <s v="TX502011"/>
    <x v="11"/>
    <x v="1"/>
    <n v="41.4"/>
    <x v="1182"/>
    <d v="2025-03-15T00:00:00"/>
    <d v="2025-03-16T00:00:00"/>
    <s v="F"/>
    <x v="0"/>
    <x v="2"/>
    <x v="0"/>
    <x v="3"/>
    <x v="3"/>
    <x v="10"/>
    <x v="2"/>
  </r>
  <r>
    <s v="TX502012"/>
    <x v="4"/>
    <x v="3"/>
    <n v="32.700000000000003"/>
    <x v="1541"/>
    <d v="2025-03-15T00:00:00"/>
    <d v="2025-03-16T00:00:00"/>
    <s v="F"/>
    <x v="2"/>
    <x v="1"/>
    <x v="0"/>
    <x v="3"/>
    <x v="3"/>
    <x v="10"/>
    <x v="2"/>
  </r>
  <r>
    <s v="TX502013"/>
    <x v="4"/>
    <x v="1"/>
    <n v="41.6"/>
    <x v="707"/>
    <d v="2025-03-15T00:00:00"/>
    <d v="2025-03-17T00:00:00"/>
    <s v="M"/>
    <x v="4"/>
    <x v="1"/>
    <x v="0"/>
    <x v="3"/>
    <x v="1"/>
    <x v="10"/>
    <x v="1"/>
  </r>
  <r>
    <s v="TX502014"/>
    <x v="5"/>
    <x v="12"/>
    <n v="64.8"/>
    <x v="629"/>
    <d v="2025-03-15T00:00:00"/>
    <d v="2025-03-16T00:00:00"/>
    <s v=""/>
    <x v="2"/>
    <x v="0"/>
    <x v="0"/>
    <x v="3"/>
    <x v="3"/>
    <x v="10"/>
    <x v="0"/>
  </r>
  <r>
    <s v="TX502015"/>
    <x v="15"/>
    <x v="1"/>
    <n v="33.6"/>
    <x v="863"/>
    <d v="2025-03-15T00:00:00"/>
    <d v="2025-03-16T00:00:00"/>
    <s v="M"/>
    <x v="0"/>
    <x v="2"/>
    <x v="0"/>
    <x v="3"/>
    <x v="3"/>
    <x v="10"/>
    <x v="1"/>
  </r>
  <r>
    <s v="TX502016"/>
    <x v="6"/>
    <x v="2"/>
    <n v="100.7"/>
    <x v="1542"/>
    <d v="2025-03-15T00:00:00"/>
    <d v="2025-03-16T00:00:00"/>
    <s v=""/>
    <x v="1"/>
    <x v="0"/>
    <x v="0"/>
    <x v="3"/>
    <x v="3"/>
    <x v="10"/>
    <x v="0"/>
  </r>
  <r>
    <s v="TX502017"/>
    <x v="4"/>
    <x v="1"/>
    <n v="49.3"/>
    <x v="1543"/>
    <d v="2025-03-16T00:00:00"/>
    <d v="2025-03-18T00:00:00"/>
    <s v="F"/>
    <x v="4"/>
    <x v="2"/>
    <x v="0"/>
    <x v="3"/>
    <x v="1"/>
    <x v="11"/>
    <x v="2"/>
  </r>
  <r>
    <s v="TX502018"/>
    <x v="2"/>
    <x v="13"/>
    <n v="97"/>
    <x v="1544"/>
    <d v="2025-03-16T00:00:00"/>
    <d v="2025-03-19T00:00:00"/>
    <s v="M"/>
    <x v="2"/>
    <x v="2"/>
    <x v="0"/>
    <x v="3"/>
    <x v="2"/>
    <x v="11"/>
    <x v="1"/>
  </r>
  <r>
    <s v="TX502019"/>
    <x v="0"/>
    <x v="13"/>
    <n v="25.2"/>
    <x v="277"/>
    <d v="2025-03-16T00:00:00"/>
    <d v="2025-03-19T00:00:00"/>
    <s v="F"/>
    <x v="4"/>
    <x v="2"/>
    <x v="0"/>
    <x v="3"/>
    <x v="2"/>
    <x v="11"/>
    <x v="2"/>
  </r>
  <r>
    <s v="TX502020"/>
    <x v="0"/>
    <x v="5"/>
    <n v="12.2"/>
    <x v="1545"/>
    <d v="2025-03-16T00:00:00"/>
    <d v="2025-03-17T00:00:00"/>
    <s v=""/>
    <x v="0"/>
    <x v="1"/>
    <x v="0"/>
    <x v="3"/>
    <x v="3"/>
    <x v="11"/>
    <x v="0"/>
  </r>
  <r>
    <s v="TX502021"/>
    <x v="8"/>
    <x v="3"/>
    <n v="38.799999999999997"/>
    <x v="1546"/>
    <d v="2025-03-16T00:00:00"/>
    <d v="2025-03-18T00:00:00"/>
    <s v="F"/>
    <x v="1"/>
    <x v="1"/>
    <x v="0"/>
    <x v="23"/>
    <x v="1"/>
    <x v="11"/>
    <x v="2"/>
  </r>
  <r>
    <s v="TX502022"/>
    <x v="2"/>
    <x v="12"/>
    <n v="53.2"/>
    <x v="1547"/>
    <d v="2025-03-16T00:00:00"/>
    <d v="2025-03-17T00:00:00"/>
    <s v="M"/>
    <x v="0"/>
    <x v="2"/>
    <x v="0"/>
    <x v="8"/>
    <x v="3"/>
    <x v="11"/>
    <x v="1"/>
  </r>
  <r>
    <s v="TX502023"/>
    <x v="6"/>
    <x v="3"/>
    <n v="151"/>
    <x v="1548"/>
    <d v="2025-03-16T00:00:00"/>
    <d v="2025-03-17T00:00:00"/>
    <s v="O"/>
    <x v="1"/>
    <x v="1"/>
    <x v="0"/>
    <x v="8"/>
    <x v="3"/>
    <x v="11"/>
    <x v="3"/>
  </r>
  <r>
    <s v="TX502024"/>
    <x v="1"/>
    <x v="1"/>
    <n v="37.1"/>
    <x v="1314"/>
    <d v="2025-03-16T00:00:00"/>
    <d v="2025-03-17T00:00:00"/>
    <s v="F"/>
    <x v="4"/>
    <x v="0"/>
    <x v="0"/>
    <x v="8"/>
    <x v="3"/>
    <x v="11"/>
    <x v="2"/>
  </r>
  <r>
    <s v="TX502025"/>
    <x v="5"/>
    <x v="1"/>
    <n v="38.9"/>
    <x v="482"/>
    <d v="2025-03-16T00:00:00"/>
    <d v="2025-03-17T00:00:00"/>
    <s v="M"/>
    <x v="4"/>
    <x v="0"/>
    <x v="0"/>
    <x v="8"/>
    <x v="3"/>
    <x v="11"/>
    <x v="1"/>
  </r>
  <r>
    <s v="TX502026"/>
    <x v="10"/>
    <x v="1"/>
    <n v="35.200000000000003"/>
    <x v="1549"/>
    <d v="2025-03-16T00:00:00"/>
    <d v="2025-03-17T00:00:00"/>
    <s v="M"/>
    <x v="0"/>
    <x v="2"/>
    <x v="0"/>
    <x v="17"/>
    <x v="3"/>
    <x v="11"/>
    <x v="1"/>
  </r>
  <r>
    <s v="TX502027"/>
    <x v="0"/>
    <x v="1"/>
    <n v="22.3"/>
    <x v="225"/>
    <d v="2025-03-16T00:00:00"/>
    <d v="2025-03-18T00:00:00"/>
    <s v="F"/>
    <x v="1"/>
    <x v="0"/>
    <x v="0"/>
    <x v="9"/>
    <x v="1"/>
    <x v="11"/>
    <x v="2"/>
  </r>
  <r>
    <s v="TX502028"/>
    <x v="9"/>
    <x v="0"/>
    <n v="43.3"/>
    <x v="1286"/>
    <d v="2025-03-16T00:00:00"/>
    <d v="2025-03-19T00:00:00"/>
    <s v="F"/>
    <x v="0"/>
    <x v="2"/>
    <x v="0"/>
    <x v="11"/>
    <x v="2"/>
    <x v="11"/>
    <x v="2"/>
  </r>
  <r>
    <s v="TX502029"/>
    <x v="6"/>
    <x v="13"/>
    <n v="75.900000000000006"/>
    <x v="1550"/>
    <d v="2025-03-16T00:00:00"/>
    <d v="2025-03-22T00:00:00"/>
    <s v="M"/>
    <x v="0"/>
    <x v="0"/>
    <x v="0"/>
    <x v="11"/>
    <x v="4"/>
    <x v="11"/>
    <x v="1"/>
  </r>
  <r>
    <s v="TX502030"/>
    <x v="6"/>
    <x v="2"/>
    <n v="78.7"/>
    <x v="1551"/>
    <d v="2025-03-16T00:00:00"/>
    <d v="2025-03-20T00:00:00"/>
    <s v="F"/>
    <x v="2"/>
    <x v="1"/>
    <x v="0"/>
    <x v="11"/>
    <x v="5"/>
    <x v="11"/>
    <x v="2"/>
  </r>
  <r>
    <s v="TX502031"/>
    <x v="1"/>
    <x v="0"/>
    <n v="66.3"/>
    <x v="1124"/>
    <d v="2025-03-16T00:00:00"/>
    <d v="2025-03-20T00:00:00"/>
    <s v="F"/>
    <x v="0"/>
    <x v="2"/>
    <x v="0"/>
    <x v="19"/>
    <x v="5"/>
    <x v="11"/>
    <x v="2"/>
  </r>
  <r>
    <s v="TX502032"/>
    <x v="8"/>
    <x v="1"/>
    <n v="33.6"/>
    <x v="863"/>
    <d v="2025-03-16T00:00:00"/>
    <d v="2025-03-16T00:00:00"/>
    <s v="M"/>
    <x v="0"/>
    <x v="1"/>
    <x v="0"/>
    <x v="19"/>
    <x v="7"/>
    <x v="11"/>
    <x v="1"/>
  </r>
  <r>
    <s v="TX502033"/>
    <x v="2"/>
    <x v="3"/>
    <n v="61.4"/>
    <x v="1552"/>
    <d v="2025-03-16T00:00:00"/>
    <d v="2025-03-17T00:00:00"/>
    <s v="M"/>
    <x v="4"/>
    <x v="0"/>
    <x v="0"/>
    <x v="19"/>
    <x v="3"/>
    <x v="11"/>
    <x v="1"/>
  </r>
  <r>
    <s v="TX502034"/>
    <x v="8"/>
    <x v="1"/>
    <n v="17.5"/>
    <x v="1553"/>
    <d v="2025-03-16T00:00:00"/>
    <d v="2025-03-19T00:00:00"/>
    <s v="F"/>
    <x v="0"/>
    <x v="0"/>
    <x v="0"/>
    <x v="21"/>
    <x v="2"/>
    <x v="11"/>
    <x v="2"/>
  </r>
  <r>
    <s v="TX502035"/>
    <x v="8"/>
    <x v="1"/>
    <n v="32.5"/>
    <x v="891"/>
    <d v="2025-03-16T00:00:00"/>
    <d v="2025-03-19T00:00:00"/>
    <s v="F"/>
    <x v="1"/>
    <x v="0"/>
    <x v="0"/>
    <x v="21"/>
    <x v="2"/>
    <x v="11"/>
    <x v="2"/>
  </r>
  <r>
    <s v="TX502036"/>
    <x v="4"/>
    <x v="0"/>
    <n v="34.6"/>
    <x v="169"/>
    <d v="2025-03-16T00:00:00"/>
    <d v="2025-03-17T00:00:00"/>
    <s v="F"/>
    <x v="4"/>
    <x v="0"/>
    <x v="0"/>
    <x v="21"/>
    <x v="3"/>
    <x v="11"/>
    <x v="2"/>
  </r>
  <r>
    <s v="TX502037"/>
    <x v="2"/>
    <x v="0"/>
    <n v="75.900000000000006"/>
    <x v="1554"/>
    <d v="2025-03-16T00:00:00"/>
    <d v="2025-03-16T00:00:00"/>
    <s v="M"/>
    <x v="1"/>
    <x v="2"/>
    <x v="0"/>
    <x v="21"/>
    <x v="7"/>
    <x v="11"/>
    <x v="1"/>
  </r>
  <r>
    <s v="TX502038"/>
    <x v="1"/>
    <x v="2"/>
    <n v="42.1"/>
    <x v="1555"/>
    <d v="2025-03-16T00:00:00"/>
    <d v="2025-03-19T00:00:00"/>
    <s v="M"/>
    <x v="1"/>
    <x v="1"/>
    <x v="0"/>
    <x v="21"/>
    <x v="2"/>
    <x v="11"/>
    <x v="1"/>
  </r>
  <r>
    <s v="TX502039"/>
    <x v="7"/>
    <x v="2"/>
    <n v="65.3"/>
    <x v="243"/>
    <d v="2025-03-16T00:00:00"/>
    <d v="2025-03-23T00:00:00"/>
    <s v="M"/>
    <x v="0"/>
    <x v="0"/>
    <x v="0"/>
    <x v="1"/>
    <x v="6"/>
    <x v="11"/>
    <x v="1"/>
  </r>
  <r>
    <s v="TX502040"/>
    <x v="15"/>
    <x v="0"/>
    <n v="20.6"/>
    <x v="1500"/>
    <d v="2025-03-16T00:00:00"/>
    <d v="2025-03-19T00:00:00"/>
    <s v="M"/>
    <x v="3"/>
    <x v="0"/>
    <x v="0"/>
    <x v="42"/>
    <x v="2"/>
    <x v="11"/>
    <x v="1"/>
  </r>
  <r>
    <s v="TX502041"/>
    <x v="8"/>
    <x v="3"/>
    <n v="16.5"/>
    <x v="100"/>
    <d v="2025-03-16T00:00:00"/>
    <d v="2025-03-17T00:00:00"/>
    <s v="M"/>
    <x v="1"/>
    <x v="1"/>
    <x v="0"/>
    <x v="2"/>
    <x v="3"/>
    <x v="11"/>
    <x v="1"/>
  </r>
  <r>
    <s v="TX502042"/>
    <x v="16"/>
    <x v="7"/>
    <n v="36.200000000000003"/>
    <x v="1556"/>
    <d v="2025-03-16T00:00:00"/>
    <d v="2025-03-18T00:00:00"/>
    <s v="M"/>
    <x v="0"/>
    <x v="2"/>
    <x v="0"/>
    <x v="2"/>
    <x v="1"/>
    <x v="11"/>
    <x v="1"/>
  </r>
  <r>
    <s v="TX502043"/>
    <x v="6"/>
    <x v="0"/>
    <n v="53.2"/>
    <x v="1557"/>
    <d v="2025-03-16T00:00:00"/>
    <d v="2025-03-17T00:00:00"/>
    <s v="F"/>
    <x v="0"/>
    <x v="1"/>
    <x v="0"/>
    <x v="22"/>
    <x v="3"/>
    <x v="11"/>
    <x v="2"/>
  </r>
  <r>
    <s v="TX502044"/>
    <x v="2"/>
    <x v="21"/>
    <n v="176"/>
    <x v="1558"/>
    <d v="2025-03-16T00:00:00"/>
    <d v="2025-03-17T00:00:00"/>
    <s v="F"/>
    <x v="0"/>
    <x v="1"/>
    <x v="0"/>
    <x v="3"/>
    <x v="3"/>
    <x v="11"/>
    <x v="2"/>
  </r>
  <r>
    <s v="TX502045"/>
    <x v="1"/>
    <x v="0"/>
    <n v="52.4"/>
    <x v="1559"/>
    <d v="2025-03-16T00:00:00"/>
    <d v="2025-03-17T00:00:00"/>
    <s v="M"/>
    <x v="1"/>
    <x v="0"/>
    <x v="0"/>
    <x v="3"/>
    <x v="3"/>
    <x v="11"/>
    <x v="1"/>
  </r>
  <r>
    <s v="TX502046"/>
    <x v="10"/>
    <x v="2"/>
    <n v="48.2"/>
    <x v="1435"/>
    <d v="2025-03-16T00:00:00"/>
    <d v="2025-03-17T00:00:00"/>
    <s v="F"/>
    <x v="1"/>
    <x v="2"/>
    <x v="0"/>
    <x v="3"/>
    <x v="3"/>
    <x v="11"/>
    <x v="2"/>
  </r>
  <r>
    <s v="TX502047"/>
    <x v="15"/>
    <x v="0"/>
    <n v="51.6"/>
    <x v="937"/>
    <d v="2025-03-16T00:00:00"/>
    <d v="2025-03-20T00:00:00"/>
    <s v="F"/>
    <x v="2"/>
    <x v="1"/>
    <x v="0"/>
    <x v="3"/>
    <x v="5"/>
    <x v="11"/>
    <x v="2"/>
  </r>
  <r>
    <s v="TX502048"/>
    <x v="0"/>
    <x v="12"/>
    <n v="33.700000000000003"/>
    <x v="1093"/>
    <d v="2025-03-17T00:00:00"/>
    <d v="2025-03-18T00:00:00"/>
    <s v="M"/>
    <x v="0"/>
    <x v="0"/>
    <x v="0"/>
    <x v="3"/>
    <x v="3"/>
    <x v="11"/>
    <x v="1"/>
  </r>
  <r>
    <s v="TX502049"/>
    <x v="4"/>
    <x v="7"/>
    <n v="36.299999999999997"/>
    <x v="1560"/>
    <d v="2025-03-17T00:00:00"/>
    <d v="2025-03-19T00:00:00"/>
    <s v="F"/>
    <x v="4"/>
    <x v="1"/>
    <x v="0"/>
    <x v="3"/>
    <x v="1"/>
    <x v="11"/>
    <x v="2"/>
  </r>
  <r>
    <s v="TX502050"/>
    <x v="8"/>
    <x v="0"/>
    <n v="23.4"/>
    <x v="1561"/>
    <d v="2025-03-17T00:00:00"/>
    <d v="2025-03-22T00:00:00"/>
    <s v="F"/>
    <x v="1"/>
    <x v="2"/>
    <x v="0"/>
    <x v="3"/>
    <x v="0"/>
    <x v="11"/>
    <x v="2"/>
  </r>
  <r>
    <s v="TX502051"/>
    <x v="15"/>
    <x v="8"/>
    <n v="56.6"/>
    <x v="1562"/>
    <d v="2025-03-17T00:00:00"/>
    <d v="2025-03-19T00:00:00"/>
    <s v="F"/>
    <x v="1"/>
    <x v="0"/>
    <x v="0"/>
    <x v="3"/>
    <x v="1"/>
    <x v="11"/>
    <x v="2"/>
  </r>
  <r>
    <s v="TX502052"/>
    <x v="15"/>
    <x v="1"/>
    <n v="26.8"/>
    <x v="1563"/>
    <d v="2025-03-17T00:00:00"/>
    <d v="2025-03-18T00:00:00"/>
    <s v="M"/>
    <x v="0"/>
    <x v="0"/>
    <x v="0"/>
    <x v="4"/>
    <x v="3"/>
    <x v="11"/>
    <x v="1"/>
  </r>
  <r>
    <s v="TX502053"/>
    <x v="0"/>
    <x v="2"/>
    <n v="11.3"/>
    <x v="1564"/>
    <d v="2025-03-17T00:00:00"/>
    <d v="2025-03-19T00:00:00"/>
    <s v="M"/>
    <x v="2"/>
    <x v="0"/>
    <x v="0"/>
    <x v="25"/>
    <x v="1"/>
    <x v="11"/>
    <x v="1"/>
  </r>
  <r>
    <s v="TX502054"/>
    <x v="6"/>
    <x v="2"/>
    <n v="60.1"/>
    <x v="1565"/>
    <d v="2025-03-17T00:00:00"/>
    <d v="2025-03-20T00:00:00"/>
    <s v="F"/>
    <x v="0"/>
    <x v="0"/>
    <x v="0"/>
    <x v="7"/>
    <x v="2"/>
    <x v="11"/>
    <x v="2"/>
  </r>
  <r>
    <s v="TX502055"/>
    <x v="0"/>
    <x v="5"/>
    <n v="27.7"/>
    <x v="1566"/>
    <d v="2025-03-17T00:00:00"/>
    <d v="2025-03-22T00:00:00"/>
    <s v="F"/>
    <x v="0"/>
    <x v="0"/>
    <x v="0"/>
    <x v="8"/>
    <x v="0"/>
    <x v="11"/>
    <x v="2"/>
  </r>
  <r>
    <s v="TX502056"/>
    <x v="15"/>
    <x v="0"/>
    <n v="71.400000000000006"/>
    <x v="660"/>
    <d v="2025-03-17T00:00:00"/>
    <d v="2025-03-20T00:00:00"/>
    <s v="M"/>
    <x v="0"/>
    <x v="2"/>
    <x v="0"/>
    <x v="8"/>
    <x v="2"/>
    <x v="11"/>
    <x v="1"/>
  </r>
  <r>
    <s v="TX502057"/>
    <x v="2"/>
    <x v="1"/>
    <n v="66.7"/>
    <x v="1567"/>
    <d v="2025-03-17T00:00:00"/>
    <d v="2025-03-18T00:00:00"/>
    <s v="F"/>
    <x v="0"/>
    <x v="2"/>
    <x v="0"/>
    <x v="8"/>
    <x v="3"/>
    <x v="11"/>
    <x v="2"/>
  </r>
  <r>
    <s v="TX502058"/>
    <x v="13"/>
    <x v="9"/>
    <n v="39.1"/>
    <x v="1568"/>
    <d v="2025-03-17T00:00:00"/>
    <d v="2025-03-18T00:00:00"/>
    <s v="F"/>
    <x v="0"/>
    <x v="0"/>
    <x v="0"/>
    <x v="8"/>
    <x v="3"/>
    <x v="11"/>
    <x v="2"/>
  </r>
  <r>
    <s v="TX502059"/>
    <x v="8"/>
    <x v="12"/>
    <n v="24.9"/>
    <x v="1569"/>
    <d v="2025-03-17T00:00:00"/>
    <d v="2025-03-22T00:00:00"/>
    <s v="M"/>
    <x v="1"/>
    <x v="2"/>
    <x v="0"/>
    <x v="8"/>
    <x v="0"/>
    <x v="11"/>
    <x v="1"/>
  </r>
  <r>
    <s v="TX502060"/>
    <x v="5"/>
    <x v="9"/>
    <n v="29.2"/>
    <x v="1570"/>
    <d v="2025-03-17T00:00:00"/>
    <d v="2025-03-18T00:00:00"/>
    <s v="M"/>
    <x v="0"/>
    <x v="2"/>
    <x v="0"/>
    <x v="17"/>
    <x v="3"/>
    <x v="11"/>
    <x v="1"/>
  </r>
  <r>
    <s v="TX502061"/>
    <x v="13"/>
    <x v="21"/>
    <n v="28.3"/>
    <x v="1571"/>
    <d v="2025-03-17T00:00:00"/>
    <d v="2025-03-19T00:00:00"/>
    <s v="F"/>
    <x v="1"/>
    <x v="0"/>
    <x v="0"/>
    <x v="11"/>
    <x v="1"/>
    <x v="11"/>
    <x v="2"/>
  </r>
  <r>
    <s v="TX502062"/>
    <x v="9"/>
    <x v="2"/>
    <n v="37.799999999999997"/>
    <x v="1413"/>
    <d v="2025-03-17T00:00:00"/>
    <d v="2025-03-18T00:00:00"/>
    <s v="F"/>
    <x v="0"/>
    <x v="1"/>
    <x v="0"/>
    <x v="11"/>
    <x v="3"/>
    <x v="11"/>
    <x v="2"/>
  </r>
  <r>
    <s v="TX502063"/>
    <x v="14"/>
    <x v="3"/>
    <n v="28.1"/>
    <x v="1572"/>
    <d v="2025-03-17T00:00:00"/>
    <d v="2025-03-23T00:00:00"/>
    <s v="F"/>
    <x v="2"/>
    <x v="0"/>
    <x v="0"/>
    <x v="11"/>
    <x v="4"/>
    <x v="11"/>
    <x v="2"/>
  </r>
  <r>
    <s v="TX502064"/>
    <x v="1"/>
    <x v="2"/>
    <n v="59.7"/>
    <x v="1573"/>
    <d v="2025-03-17T00:00:00"/>
    <d v="2025-03-19T00:00:00"/>
    <s v="F"/>
    <x v="2"/>
    <x v="0"/>
    <x v="0"/>
    <x v="11"/>
    <x v="1"/>
    <x v="11"/>
    <x v="2"/>
  </r>
  <r>
    <s v="TX502065"/>
    <x v="16"/>
    <x v="0"/>
    <n v="71.900000000000006"/>
    <x v="1574"/>
    <d v="2025-03-17T00:00:00"/>
    <d v="2025-03-18T00:00:00"/>
    <s v="M"/>
    <x v="1"/>
    <x v="1"/>
    <x v="0"/>
    <x v="11"/>
    <x v="3"/>
    <x v="11"/>
    <x v="1"/>
  </r>
  <r>
    <s v="TX502066"/>
    <x v="1"/>
    <x v="1"/>
    <n v="56.9"/>
    <x v="1575"/>
    <d v="2025-03-17T00:00:00"/>
    <d v="2025-03-18T00:00:00"/>
    <s v="M"/>
    <x v="2"/>
    <x v="0"/>
    <x v="0"/>
    <x v="13"/>
    <x v="3"/>
    <x v="11"/>
    <x v="1"/>
  </r>
  <r>
    <s v="TX502067"/>
    <x v="8"/>
    <x v="1"/>
    <n v="15.8"/>
    <x v="35"/>
    <d v="2025-03-17T00:00:00"/>
    <d v="2025-03-20T00:00:00"/>
    <s v="F"/>
    <x v="2"/>
    <x v="1"/>
    <x v="0"/>
    <x v="1"/>
    <x v="2"/>
    <x v="11"/>
    <x v="2"/>
  </r>
  <r>
    <s v="TX502068"/>
    <x v="11"/>
    <x v="12"/>
    <n v="61.7"/>
    <x v="1576"/>
    <d v="2025-03-17T00:00:00"/>
    <d v="2025-03-19T00:00:00"/>
    <s v="F"/>
    <x v="2"/>
    <x v="0"/>
    <x v="0"/>
    <x v="22"/>
    <x v="1"/>
    <x v="11"/>
    <x v="2"/>
  </r>
  <r>
    <s v="TX502069"/>
    <x v="2"/>
    <x v="7"/>
    <n v="105.2"/>
    <x v="1577"/>
    <d v="2025-03-17T00:00:00"/>
    <d v="2025-03-19T00:00:00"/>
    <s v="M"/>
    <x v="1"/>
    <x v="4"/>
    <x v="0"/>
    <x v="3"/>
    <x v="1"/>
    <x v="11"/>
    <x v="1"/>
  </r>
  <r>
    <s v="TX502070"/>
    <x v="0"/>
    <x v="1"/>
    <n v="17"/>
    <x v="1222"/>
    <d v="2025-03-17T00:00:00"/>
    <d v="2025-03-19T00:00:00"/>
    <s v="F"/>
    <x v="2"/>
    <x v="0"/>
    <x v="0"/>
    <x v="3"/>
    <x v="1"/>
    <x v="11"/>
    <x v="2"/>
  </r>
  <r>
    <s v="TX502071"/>
    <x v="6"/>
    <x v="2"/>
    <n v="84.1"/>
    <x v="1578"/>
    <d v="2025-03-17T00:00:00"/>
    <d v="2025-03-18T00:00:00"/>
    <s v="M"/>
    <x v="2"/>
    <x v="0"/>
    <x v="0"/>
    <x v="3"/>
    <x v="3"/>
    <x v="11"/>
    <x v="1"/>
  </r>
  <r>
    <s v="TX502072"/>
    <x v="3"/>
    <x v="12"/>
    <n v="59.5"/>
    <x v="1248"/>
    <d v="2025-03-17T00:00:00"/>
    <d v="2025-03-22T00:00:00"/>
    <s v="M"/>
    <x v="0"/>
    <x v="2"/>
    <x v="0"/>
    <x v="3"/>
    <x v="0"/>
    <x v="11"/>
    <x v="1"/>
  </r>
  <r>
    <s v="TX502073"/>
    <x v="8"/>
    <x v="1"/>
    <n v="57.5"/>
    <x v="1579"/>
    <d v="2025-03-17T00:00:00"/>
    <d v="2025-03-19T00:00:00"/>
    <s v="M"/>
    <x v="1"/>
    <x v="2"/>
    <x v="0"/>
    <x v="3"/>
    <x v="1"/>
    <x v="11"/>
    <x v="1"/>
  </r>
  <r>
    <s v="TX502074"/>
    <x v="8"/>
    <x v="0"/>
    <n v="34.299999999999997"/>
    <x v="1580"/>
    <d v="2025-03-17T00:00:00"/>
    <d v="2025-03-18T00:00:00"/>
    <s v="F"/>
    <x v="4"/>
    <x v="2"/>
    <x v="0"/>
    <x v="3"/>
    <x v="3"/>
    <x v="11"/>
    <x v="2"/>
  </r>
  <r>
    <s v="TX502075"/>
    <x v="5"/>
    <x v="1"/>
    <n v="27.8"/>
    <x v="1581"/>
    <d v="2025-03-18T00:00:00"/>
    <d v="2025-03-20T00:00:00"/>
    <s v="F"/>
    <x v="0"/>
    <x v="0"/>
    <x v="0"/>
    <x v="3"/>
    <x v="1"/>
    <x v="11"/>
    <x v="2"/>
  </r>
  <r>
    <s v="TX502076"/>
    <x v="12"/>
    <x v="1"/>
    <n v="85"/>
    <x v="393"/>
    <d v="2025-03-18T00:00:00"/>
    <d v="2025-03-18T00:00:00"/>
    <s v="M"/>
    <x v="2"/>
    <x v="2"/>
    <x v="0"/>
    <x v="3"/>
    <x v="7"/>
    <x v="11"/>
    <x v="1"/>
  </r>
  <r>
    <s v="TX502077"/>
    <x v="6"/>
    <x v="1"/>
    <n v="95"/>
    <x v="1582"/>
    <d v="2025-03-18T00:00:00"/>
    <d v="2025-03-20T00:00:00"/>
    <s v="F"/>
    <x v="0"/>
    <x v="0"/>
    <x v="0"/>
    <x v="3"/>
    <x v="1"/>
    <x v="11"/>
    <x v="2"/>
  </r>
  <r>
    <s v="TX502078"/>
    <x v="16"/>
    <x v="1"/>
    <n v="32"/>
    <x v="34"/>
    <d v="2025-03-18T00:00:00"/>
    <d v="2025-03-20T00:00:00"/>
    <s v="M"/>
    <x v="0"/>
    <x v="1"/>
    <x v="0"/>
    <x v="3"/>
    <x v="1"/>
    <x v="11"/>
    <x v="1"/>
  </r>
  <r>
    <s v="TX502079"/>
    <x v="2"/>
    <x v="1"/>
    <n v="65.2"/>
    <x v="1583"/>
    <d v="2025-03-18T00:00:00"/>
    <d v="2025-03-19T00:00:00"/>
    <s v="F"/>
    <x v="1"/>
    <x v="0"/>
    <x v="0"/>
    <x v="3"/>
    <x v="3"/>
    <x v="11"/>
    <x v="2"/>
  </r>
  <r>
    <s v="TX502080"/>
    <x v="17"/>
    <x v="12"/>
    <n v="22"/>
    <x v="1155"/>
    <d v="2025-03-18T00:00:00"/>
    <d v="2025-03-19T00:00:00"/>
    <s v="M"/>
    <x v="1"/>
    <x v="2"/>
    <x v="0"/>
    <x v="3"/>
    <x v="3"/>
    <x v="11"/>
    <x v="1"/>
  </r>
  <r>
    <s v="TX502081"/>
    <x v="15"/>
    <x v="2"/>
    <n v="69.400000000000006"/>
    <x v="140"/>
    <d v="2025-03-18T00:00:00"/>
    <d v="2025-03-21T00:00:00"/>
    <s v="M"/>
    <x v="1"/>
    <x v="2"/>
    <x v="0"/>
    <x v="3"/>
    <x v="2"/>
    <x v="11"/>
    <x v="1"/>
  </r>
  <r>
    <s v="TX502082"/>
    <x v="10"/>
    <x v="13"/>
    <n v="31.5"/>
    <x v="620"/>
    <d v="2025-03-18T00:00:00"/>
    <d v="2025-03-20T00:00:00"/>
    <s v="F"/>
    <x v="0"/>
    <x v="2"/>
    <x v="0"/>
    <x v="3"/>
    <x v="1"/>
    <x v="11"/>
    <x v="2"/>
  </r>
  <r>
    <s v="TX502083"/>
    <x v="6"/>
    <x v="0"/>
    <n v="45.8"/>
    <x v="494"/>
    <d v="2025-03-18T00:00:00"/>
    <d v="2025-03-22T00:00:00"/>
    <s v="O"/>
    <x v="0"/>
    <x v="0"/>
    <x v="0"/>
    <x v="3"/>
    <x v="5"/>
    <x v="11"/>
    <x v="3"/>
  </r>
  <r>
    <s v="TX502084"/>
    <x v="19"/>
    <x v="12"/>
    <n v="12.8"/>
    <x v="180"/>
    <d v="2025-03-18T00:00:00"/>
    <d v="2025-03-25T00:00:00"/>
    <s v="F"/>
    <x v="1"/>
    <x v="1"/>
    <x v="0"/>
    <x v="5"/>
    <x v="6"/>
    <x v="11"/>
    <x v="2"/>
  </r>
  <r>
    <s v="TX502085"/>
    <x v="5"/>
    <x v="2"/>
    <n v="115.3"/>
    <x v="1584"/>
    <d v="2025-03-18T00:00:00"/>
    <d v="2025-03-19T00:00:00"/>
    <s v="F"/>
    <x v="2"/>
    <x v="2"/>
    <x v="0"/>
    <x v="6"/>
    <x v="3"/>
    <x v="11"/>
    <x v="2"/>
  </r>
  <r>
    <s v="TX502086"/>
    <x v="5"/>
    <x v="1"/>
    <n v="85"/>
    <x v="393"/>
    <d v="2025-03-18T00:00:00"/>
    <d v="2025-03-20T00:00:00"/>
    <s v="F"/>
    <x v="1"/>
    <x v="0"/>
    <x v="0"/>
    <x v="7"/>
    <x v="1"/>
    <x v="11"/>
    <x v="2"/>
  </r>
  <r>
    <s v="TX502087"/>
    <x v="8"/>
    <x v="2"/>
    <n v="56.6"/>
    <x v="1026"/>
    <d v="2025-03-18T00:00:00"/>
    <d v="2025-03-19T00:00:00"/>
    <s v="F"/>
    <x v="1"/>
    <x v="2"/>
    <x v="0"/>
    <x v="7"/>
    <x v="3"/>
    <x v="11"/>
    <x v="2"/>
  </r>
  <r>
    <s v="TX502088"/>
    <x v="15"/>
    <x v="6"/>
    <n v="46.3"/>
    <x v="1585"/>
    <d v="2025-03-18T00:00:00"/>
    <d v="2025-03-21T00:00:00"/>
    <s v="M"/>
    <x v="0"/>
    <x v="0"/>
    <x v="0"/>
    <x v="7"/>
    <x v="2"/>
    <x v="11"/>
    <x v="1"/>
  </r>
  <r>
    <s v="TX502089"/>
    <x v="14"/>
    <x v="12"/>
    <n v="23"/>
    <x v="988"/>
    <d v="2025-03-18T00:00:00"/>
    <d v="2025-03-22T00:00:00"/>
    <s v="M"/>
    <x v="3"/>
    <x v="2"/>
    <x v="0"/>
    <x v="7"/>
    <x v="5"/>
    <x v="11"/>
    <x v="1"/>
  </r>
  <r>
    <s v="TX502090"/>
    <x v="8"/>
    <x v="13"/>
    <n v="42.1"/>
    <x v="1586"/>
    <d v="2025-03-18T00:00:00"/>
    <d v="2025-03-20T00:00:00"/>
    <s v="M"/>
    <x v="4"/>
    <x v="0"/>
    <x v="0"/>
    <x v="8"/>
    <x v="1"/>
    <x v="11"/>
    <x v="1"/>
  </r>
  <r>
    <s v="TX502091"/>
    <x v="5"/>
    <x v="3"/>
    <n v="57.4"/>
    <x v="1587"/>
    <d v="2025-03-18T00:00:00"/>
    <d v="2025-03-22T00:00:00"/>
    <s v="F"/>
    <x v="1"/>
    <x v="4"/>
    <x v="0"/>
    <x v="8"/>
    <x v="5"/>
    <x v="11"/>
    <x v="2"/>
  </r>
  <r>
    <s v="TX502092"/>
    <x v="0"/>
    <x v="13"/>
    <n v="13.2"/>
    <x v="1113"/>
    <d v="2025-03-18T00:00:00"/>
    <d v="2025-03-22T00:00:00"/>
    <s v="M"/>
    <x v="2"/>
    <x v="0"/>
    <x v="0"/>
    <x v="8"/>
    <x v="5"/>
    <x v="11"/>
    <x v="1"/>
  </r>
  <r>
    <s v="TX502093"/>
    <x v="6"/>
    <x v="2"/>
    <n v="52.3"/>
    <x v="1588"/>
    <d v="2025-03-18T00:00:00"/>
    <d v="2025-03-19T00:00:00"/>
    <s v="M"/>
    <x v="1"/>
    <x v="0"/>
    <x v="0"/>
    <x v="8"/>
    <x v="3"/>
    <x v="11"/>
    <x v="1"/>
  </r>
  <r>
    <s v="TX502094"/>
    <x v="8"/>
    <x v="1"/>
    <n v="15.7"/>
    <x v="1323"/>
    <d v="2025-03-18T00:00:00"/>
    <d v="2025-03-21T00:00:00"/>
    <s v="M"/>
    <x v="1"/>
    <x v="2"/>
    <x v="0"/>
    <x v="8"/>
    <x v="2"/>
    <x v="11"/>
    <x v="1"/>
  </r>
  <r>
    <s v="TX502095"/>
    <x v="7"/>
    <x v="2"/>
    <n v="35"/>
    <x v="211"/>
    <d v="2025-03-18T00:00:00"/>
    <d v="2025-03-21T00:00:00"/>
    <s v="F"/>
    <x v="1"/>
    <x v="2"/>
    <x v="0"/>
    <x v="9"/>
    <x v="2"/>
    <x v="11"/>
    <x v="2"/>
  </r>
  <r>
    <s v="TX502096"/>
    <x v="4"/>
    <x v="2"/>
    <n v="26.6"/>
    <x v="1589"/>
    <d v="2025-03-18T00:00:00"/>
    <d v="2025-03-18T00:00:00"/>
    <s v="M"/>
    <x v="1"/>
    <x v="2"/>
    <x v="0"/>
    <x v="11"/>
    <x v="7"/>
    <x v="11"/>
    <x v="1"/>
  </r>
  <r>
    <s v="TX502097"/>
    <x v="4"/>
    <x v="8"/>
    <n v="47.9"/>
    <x v="1590"/>
    <d v="2025-03-19T00:00:00"/>
    <d v="2025-03-20T00:00:00"/>
    <s v="F"/>
    <x v="3"/>
    <x v="2"/>
    <x v="0"/>
    <x v="20"/>
    <x v="3"/>
    <x v="11"/>
    <x v="2"/>
  </r>
  <r>
    <s v="TX502098"/>
    <x v="5"/>
    <x v="0"/>
    <n v="80.099999999999994"/>
    <x v="1133"/>
    <d v="2025-03-19T00:00:00"/>
    <d v="2025-03-20T00:00:00"/>
    <s v="M"/>
    <x v="2"/>
    <x v="0"/>
    <x v="0"/>
    <x v="21"/>
    <x v="3"/>
    <x v="11"/>
    <x v="1"/>
  </r>
  <r>
    <s v="TX502099"/>
    <x v="6"/>
    <x v="9"/>
    <n v="50.4"/>
    <x v="816"/>
    <d v="2025-03-19T00:00:00"/>
    <d v="2025-03-20T00:00:00"/>
    <s v="M"/>
    <x v="1"/>
    <x v="2"/>
    <x v="0"/>
    <x v="21"/>
    <x v="3"/>
    <x v="11"/>
    <x v="1"/>
  </r>
  <r>
    <s v="TX502100"/>
    <x v="10"/>
    <x v="3"/>
    <n v="43.3"/>
    <x v="1591"/>
    <d v="2025-03-19T00:00:00"/>
    <d v="2025-03-20T00:00:00"/>
    <s v="M"/>
    <x v="2"/>
    <x v="0"/>
    <x v="0"/>
    <x v="21"/>
    <x v="3"/>
    <x v="11"/>
    <x v="1"/>
  </r>
  <r>
    <s v="TX502101"/>
    <x v="10"/>
    <x v="12"/>
    <n v="57.5"/>
    <x v="984"/>
    <d v="2025-03-19T00:00:00"/>
    <d v="2025-03-20T00:00:00"/>
    <s v="F"/>
    <x v="1"/>
    <x v="2"/>
    <x v="0"/>
    <x v="1"/>
    <x v="3"/>
    <x v="11"/>
    <x v="2"/>
  </r>
  <r>
    <s v="TX502102"/>
    <x v="9"/>
    <x v="15"/>
    <n v="24.8"/>
    <x v="1592"/>
    <d v="2025-03-19T00:00:00"/>
    <d v="2025-03-20T00:00:00"/>
    <s v="M"/>
    <x v="0"/>
    <x v="0"/>
    <x v="0"/>
    <x v="57"/>
    <x v="3"/>
    <x v="11"/>
    <x v="1"/>
  </r>
  <r>
    <s v="TX502103"/>
    <x v="2"/>
    <x v="11"/>
    <n v="85.7"/>
    <x v="1593"/>
    <d v="2025-03-19T00:00:00"/>
    <d v="2025-03-20T00:00:00"/>
    <s v="F"/>
    <x v="0"/>
    <x v="0"/>
    <x v="0"/>
    <x v="42"/>
    <x v="3"/>
    <x v="11"/>
    <x v="2"/>
  </r>
  <r>
    <s v="TX502104"/>
    <x v="7"/>
    <x v="0"/>
    <n v="47.1"/>
    <x v="392"/>
    <d v="2025-03-19T00:00:00"/>
    <d v="2025-03-21T00:00:00"/>
    <s v="F"/>
    <x v="0"/>
    <x v="0"/>
    <x v="0"/>
    <x v="2"/>
    <x v="1"/>
    <x v="11"/>
    <x v="2"/>
  </r>
  <r>
    <s v="TX502105"/>
    <x v="5"/>
    <x v="7"/>
    <n v="83.2"/>
    <x v="1594"/>
    <d v="2025-03-19T00:00:00"/>
    <d v="2025-03-23T00:00:00"/>
    <s v="F"/>
    <x v="0"/>
    <x v="0"/>
    <x v="0"/>
    <x v="33"/>
    <x v="5"/>
    <x v="11"/>
    <x v="2"/>
  </r>
  <r>
    <s v="TX502106"/>
    <x v="2"/>
    <x v="2"/>
    <n v="157"/>
    <x v="1595"/>
    <d v="2025-03-19T00:00:00"/>
    <d v="2025-03-21T00:00:00"/>
    <s v="F"/>
    <x v="0"/>
    <x v="2"/>
    <x v="0"/>
    <x v="22"/>
    <x v="1"/>
    <x v="11"/>
    <x v="2"/>
  </r>
  <r>
    <s v="TX502107"/>
    <x v="16"/>
    <x v="12"/>
    <n v="33.700000000000003"/>
    <x v="1093"/>
    <d v="2025-03-19T00:00:00"/>
    <d v="2025-03-20T00:00:00"/>
    <s v="M"/>
    <x v="2"/>
    <x v="2"/>
    <x v="0"/>
    <x v="22"/>
    <x v="3"/>
    <x v="11"/>
    <x v="1"/>
  </r>
  <r>
    <s v="TX502108"/>
    <x v="2"/>
    <x v="2"/>
    <n v="60.8"/>
    <x v="1596"/>
    <d v="2025-03-19T00:00:00"/>
    <d v="2025-03-23T00:00:00"/>
    <s v="F"/>
    <x v="1"/>
    <x v="1"/>
    <x v="0"/>
    <x v="3"/>
    <x v="5"/>
    <x v="11"/>
    <x v="2"/>
  </r>
  <r>
    <s v="TX502109"/>
    <x v="7"/>
    <x v="0"/>
    <n v="57.6"/>
    <x v="636"/>
    <d v="2025-03-19T00:00:00"/>
    <d v="2025-03-20T00:00:00"/>
    <s v="M"/>
    <x v="1"/>
    <x v="4"/>
    <x v="0"/>
    <x v="3"/>
    <x v="3"/>
    <x v="11"/>
    <x v="1"/>
  </r>
  <r>
    <s v="TX502110"/>
    <x v="10"/>
    <x v="0"/>
    <n v="32"/>
    <x v="109"/>
    <d v="2025-03-19T00:00:00"/>
    <d v="2025-03-21T00:00:00"/>
    <s v="M"/>
    <x v="0"/>
    <x v="0"/>
    <x v="0"/>
    <x v="3"/>
    <x v="1"/>
    <x v="11"/>
    <x v="1"/>
  </r>
  <r>
    <s v="TX502111"/>
    <x v="10"/>
    <x v="12"/>
    <n v="23.5"/>
    <x v="255"/>
    <d v="2025-03-19T00:00:00"/>
    <d v="2025-03-20T00:00:00"/>
    <s v="F"/>
    <x v="0"/>
    <x v="2"/>
    <x v="0"/>
    <x v="3"/>
    <x v="3"/>
    <x v="11"/>
    <x v="2"/>
  </r>
  <r>
    <s v="TX502112"/>
    <x v="12"/>
    <x v="2"/>
    <n v="44.8"/>
    <x v="1597"/>
    <d v="2025-03-19T00:00:00"/>
    <d v="2025-03-20T00:00:00"/>
    <s v="O"/>
    <x v="4"/>
    <x v="0"/>
    <x v="0"/>
    <x v="3"/>
    <x v="3"/>
    <x v="11"/>
    <x v="3"/>
  </r>
  <r>
    <s v="TX502113"/>
    <x v="0"/>
    <x v="8"/>
    <n v="11.7"/>
    <x v="64"/>
    <d v="2025-03-19T00:00:00"/>
    <d v="2025-03-20T00:00:00"/>
    <s v="M"/>
    <x v="2"/>
    <x v="2"/>
    <x v="0"/>
    <x v="3"/>
    <x v="3"/>
    <x v="11"/>
    <x v="1"/>
  </r>
  <r>
    <s v="TX502114"/>
    <x v="7"/>
    <x v="1"/>
    <n v="38.799999999999997"/>
    <x v="1598"/>
    <d v="2025-03-19T00:00:00"/>
    <d v="2025-03-22T00:00:00"/>
    <s v="F"/>
    <x v="2"/>
    <x v="0"/>
    <x v="0"/>
    <x v="3"/>
    <x v="2"/>
    <x v="11"/>
    <x v="2"/>
  </r>
  <r>
    <s v="TX502115"/>
    <x v="5"/>
    <x v="21"/>
    <n v="86.9"/>
    <x v="1599"/>
    <d v="2025-03-19T00:00:00"/>
    <d v="2025-03-24T00:00:00"/>
    <s v="F"/>
    <x v="1"/>
    <x v="0"/>
    <x v="0"/>
    <x v="3"/>
    <x v="0"/>
    <x v="11"/>
    <x v="2"/>
  </r>
  <r>
    <s v="TX502116"/>
    <x v="8"/>
    <x v="0"/>
    <n v="18.3"/>
    <x v="1600"/>
    <d v="2025-03-19T00:00:00"/>
    <d v="2025-03-20T00:00:00"/>
    <s v="F"/>
    <x v="0"/>
    <x v="0"/>
    <x v="0"/>
    <x v="3"/>
    <x v="3"/>
    <x v="11"/>
    <x v="2"/>
  </r>
  <r>
    <s v="TX502117"/>
    <x v="5"/>
    <x v="0"/>
    <n v="47.5"/>
    <x v="1601"/>
    <d v="2025-03-19T00:00:00"/>
    <d v="2025-03-23T00:00:00"/>
    <s v="M"/>
    <x v="4"/>
    <x v="2"/>
    <x v="0"/>
    <x v="3"/>
    <x v="5"/>
    <x v="11"/>
    <x v="1"/>
  </r>
  <r>
    <s v="TX502118"/>
    <x v="1"/>
    <x v="1"/>
    <n v="78.599999999999994"/>
    <x v="507"/>
    <d v="2025-03-19T00:00:00"/>
    <d v="2025-03-20T00:00:00"/>
    <s v="M"/>
    <x v="2"/>
    <x v="2"/>
    <x v="0"/>
    <x v="3"/>
    <x v="3"/>
    <x v="11"/>
    <x v="1"/>
  </r>
  <r>
    <s v="TX502119"/>
    <x v="6"/>
    <x v="12"/>
    <n v="87.3"/>
    <x v="1602"/>
    <d v="2025-03-19T00:00:00"/>
    <d v="2025-03-20T00:00:00"/>
    <s v="M"/>
    <x v="0"/>
    <x v="0"/>
    <x v="0"/>
    <x v="3"/>
    <x v="3"/>
    <x v="11"/>
    <x v="1"/>
  </r>
  <r>
    <s v="TX502120"/>
    <x v="9"/>
    <x v="1"/>
    <n v="63.2"/>
    <x v="628"/>
    <d v="2025-03-19T00:00:00"/>
    <d v="2025-03-19T00:00:00"/>
    <s v="M"/>
    <x v="4"/>
    <x v="1"/>
    <x v="0"/>
    <x v="3"/>
    <x v="7"/>
    <x v="11"/>
    <x v="1"/>
  </r>
  <r>
    <s v="TX502121"/>
    <x v="5"/>
    <x v="9"/>
    <n v="33.700000000000003"/>
    <x v="1603"/>
    <d v="2025-03-19T00:00:00"/>
    <d v="2025-03-20T00:00:00"/>
    <s v="F"/>
    <x v="0"/>
    <x v="0"/>
    <x v="0"/>
    <x v="3"/>
    <x v="3"/>
    <x v="11"/>
    <x v="2"/>
  </r>
  <r>
    <s v="TX502122"/>
    <x v="2"/>
    <x v="2"/>
    <n v="107.4"/>
    <x v="1604"/>
    <d v="2025-03-19T00:00:00"/>
    <d v="2025-04-01T00:00:00"/>
    <s v="F"/>
    <x v="1"/>
    <x v="2"/>
    <x v="0"/>
    <x v="3"/>
    <x v="10"/>
    <x v="11"/>
    <x v="2"/>
  </r>
  <r>
    <s v="TX502123"/>
    <x v="4"/>
    <x v="12"/>
    <n v="22.2"/>
    <x v="1605"/>
    <d v="2025-03-19T00:00:00"/>
    <d v="2025-03-20T00:00:00"/>
    <s v=""/>
    <x v="1"/>
    <x v="2"/>
    <x v="0"/>
    <x v="24"/>
    <x v="3"/>
    <x v="11"/>
    <x v="0"/>
  </r>
  <r>
    <s v="TX502124"/>
    <x v="18"/>
    <x v="2"/>
    <n v="52.8"/>
    <x v="1329"/>
    <d v="2025-03-19T00:00:00"/>
    <d v="2025-03-20T00:00:00"/>
    <s v="M"/>
    <x v="3"/>
    <x v="2"/>
    <x v="0"/>
    <x v="24"/>
    <x v="3"/>
    <x v="11"/>
    <x v="1"/>
  </r>
  <r>
    <s v="TX502125"/>
    <x v="8"/>
    <x v="2"/>
    <n v="41.5"/>
    <x v="376"/>
    <d v="2025-03-19T00:00:00"/>
    <d v="2025-03-22T00:00:00"/>
    <s v="F"/>
    <x v="0"/>
    <x v="0"/>
    <x v="0"/>
    <x v="25"/>
    <x v="2"/>
    <x v="11"/>
    <x v="2"/>
  </r>
  <r>
    <s v="TX502126"/>
    <x v="12"/>
    <x v="8"/>
    <n v="103.5"/>
    <x v="1606"/>
    <d v="2025-03-19T00:00:00"/>
    <d v="2025-03-22T00:00:00"/>
    <s v="F"/>
    <x v="0"/>
    <x v="2"/>
    <x v="0"/>
    <x v="23"/>
    <x v="2"/>
    <x v="11"/>
    <x v="2"/>
  </r>
  <r>
    <s v="TX502127"/>
    <x v="4"/>
    <x v="21"/>
    <n v="37.5"/>
    <x v="1469"/>
    <d v="2025-03-19T00:00:00"/>
    <d v="2025-03-19T00:00:00"/>
    <s v="F"/>
    <x v="1"/>
    <x v="2"/>
    <x v="0"/>
    <x v="6"/>
    <x v="7"/>
    <x v="11"/>
    <x v="2"/>
  </r>
  <r>
    <s v="TX502128"/>
    <x v="15"/>
    <x v="8"/>
    <n v="44.4"/>
    <x v="1607"/>
    <d v="2025-03-19T00:00:00"/>
    <d v="2025-03-25T00:00:00"/>
    <s v="F"/>
    <x v="3"/>
    <x v="2"/>
    <x v="0"/>
    <x v="7"/>
    <x v="4"/>
    <x v="11"/>
    <x v="2"/>
  </r>
  <r>
    <s v="TX502129"/>
    <x v="8"/>
    <x v="2"/>
    <n v="26.2"/>
    <x v="1608"/>
    <d v="2025-03-19T00:00:00"/>
    <d v="2025-03-20T00:00:00"/>
    <s v="M"/>
    <x v="0"/>
    <x v="0"/>
    <x v="0"/>
    <x v="8"/>
    <x v="3"/>
    <x v="11"/>
    <x v="1"/>
  </r>
  <r>
    <s v="TX502130"/>
    <x v="1"/>
    <x v="3"/>
    <n v="32.200000000000003"/>
    <x v="1009"/>
    <d v="2025-03-19T00:00:00"/>
    <d v="2025-03-20T00:00:00"/>
    <s v="F"/>
    <x v="1"/>
    <x v="2"/>
    <x v="0"/>
    <x v="8"/>
    <x v="3"/>
    <x v="11"/>
    <x v="2"/>
  </r>
  <r>
    <s v="TX502131"/>
    <x v="8"/>
    <x v="0"/>
    <n v="17.399999999999999"/>
    <x v="1609"/>
    <d v="2025-03-19T00:00:00"/>
    <d v="2025-03-23T00:00:00"/>
    <s v=""/>
    <x v="2"/>
    <x v="1"/>
    <x v="0"/>
    <x v="8"/>
    <x v="5"/>
    <x v="11"/>
    <x v="0"/>
  </r>
  <r>
    <s v="TX502132"/>
    <x v="8"/>
    <x v="13"/>
    <n v="72.3"/>
    <x v="1610"/>
    <d v="2025-03-19T00:00:00"/>
    <d v="2025-03-22T00:00:00"/>
    <s v="F"/>
    <x v="0"/>
    <x v="0"/>
    <x v="0"/>
    <x v="8"/>
    <x v="2"/>
    <x v="11"/>
    <x v="2"/>
  </r>
  <r>
    <s v="TX502133"/>
    <x v="8"/>
    <x v="5"/>
    <n v="24.3"/>
    <x v="1611"/>
    <d v="2025-03-19T00:00:00"/>
    <d v="2025-03-20T00:00:00"/>
    <s v="M"/>
    <x v="0"/>
    <x v="0"/>
    <x v="0"/>
    <x v="8"/>
    <x v="3"/>
    <x v="11"/>
    <x v="1"/>
  </r>
  <r>
    <s v="TX502134"/>
    <x v="13"/>
    <x v="2"/>
    <n v="49.1"/>
    <x v="824"/>
    <d v="2025-03-19T00:00:00"/>
    <d v="2025-03-25T00:00:00"/>
    <s v="M"/>
    <x v="2"/>
    <x v="4"/>
    <x v="0"/>
    <x v="8"/>
    <x v="4"/>
    <x v="11"/>
    <x v="1"/>
  </r>
  <r>
    <s v="TX502135"/>
    <x v="2"/>
    <x v="7"/>
    <n v="234.7"/>
    <x v="1612"/>
    <d v="2025-03-19T00:00:00"/>
    <d v="2025-03-20T00:00:00"/>
    <s v="M"/>
    <x v="3"/>
    <x v="1"/>
    <x v="0"/>
    <x v="8"/>
    <x v="3"/>
    <x v="11"/>
    <x v="1"/>
  </r>
  <r>
    <s v="TX502136"/>
    <x v="3"/>
    <x v="9"/>
    <n v="76.099999999999994"/>
    <x v="1613"/>
    <d v="2025-03-19T00:00:00"/>
    <d v="2025-03-21T00:00:00"/>
    <s v="M"/>
    <x v="1"/>
    <x v="1"/>
    <x v="0"/>
    <x v="17"/>
    <x v="1"/>
    <x v="11"/>
    <x v="1"/>
  </r>
  <r>
    <s v="TX502137"/>
    <x v="1"/>
    <x v="2"/>
    <n v="93.9"/>
    <x v="1614"/>
    <d v="2025-03-19T00:00:00"/>
    <d v="2025-03-20T00:00:00"/>
    <s v="M"/>
    <x v="1"/>
    <x v="4"/>
    <x v="0"/>
    <x v="11"/>
    <x v="3"/>
    <x v="11"/>
    <x v="1"/>
  </r>
  <r>
    <s v="TX502138"/>
    <x v="2"/>
    <x v="12"/>
    <n v="187"/>
    <x v="1615"/>
    <d v="2025-03-20T00:00:00"/>
    <d v="2025-03-23T00:00:00"/>
    <s v="M"/>
    <x v="0"/>
    <x v="0"/>
    <x v="0"/>
    <x v="11"/>
    <x v="2"/>
    <x v="11"/>
    <x v="1"/>
  </r>
  <r>
    <s v="TX502139"/>
    <x v="8"/>
    <x v="1"/>
    <n v="18"/>
    <x v="53"/>
    <d v="2025-03-20T00:00:00"/>
    <d v="2025-03-21T00:00:00"/>
    <s v="F"/>
    <x v="1"/>
    <x v="2"/>
    <x v="0"/>
    <x v="53"/>
    <x v="3"/>
    <x v="11"/>
    <x v="2"/>
  </r>
  <r>
    <s v="TX502140"/>
    <x v="4"/>
    <x v="0"/>
    <n v="24.4"/>
    <x v="1616"/>
    <d v="2025-03-20T00:00:00"/>
    <d v="2025-03-21T00:00:00"/>
    <s v="F"/>
    <x v="4"/>
    <x v="2"/>
    <x v="0"/>
    <x v="21"/>
    <x v="3"/>
    <x v="11"/>
    <x v="2"/>
  </r>
  <r>
    <s v="TX502141"/>
    <x v="10"/>
    <x v="1"/>
    <n v="38.799999999999997"/>
    <x v="1598"/>
    <d v="2025-03-20T00:00:00"/>
    <d v="2025-03-21T00:00:00"/>
    <s v="M"/>
    <x v="4"/>
    <x v="1"/>
    <x v="0"/>
    <x v="3"/>
    <x v="3"/>
    <x v="11"/>
    <x v="1"/>
  </r>
  <r>
    <s v="TX502142"/>
    <x v="3"/>
    <x v="0"/>
    <n v="59.7"/>
    <x v="1201"/>
    <d v="2025-03-20T00:00:00"/>
    <d v="2025-03-23T00:00:00"/>
    <s v="M"/>
    <x v="3"/>
    <x v="0"/>
    <x v="0"/>
    <x v="3"/>
    <x v="2"/>
    <x v="11"/>
    <x v="1"/>
  </r>
  <r>
    <s v="TX502143"/>
    <x v="7"/>
    <x v="0"/>
    <n v="31.2"/>
    <x v="406"/>
    <d v="2025-03-20T00:00:00"/>
    <d v="2025-03-21T00:00:00"/>
    <s v="M"/>
    <x v="1"/>
    <x v="2"/>
    <x v="0"/>
    <x v="3"/>
    <x v="3"/>
    <x v="11"/>
    <x v="1"/>
  </r>
  <r>
    <s v="TX502144"/>
    <x v="0"/>
    <x v="0"/>
    <n v="16.8"/>
    <x v="749"/>
    <d v="2025-03-20T00:00:00"/>
    <d v="2025-03-21T00:00:00"/>
    <s v="F"/>
    <x v="2"/>
    <x v="1"/>
    <x v="0"/>
    <x v="3"/>
    <x v="3"/>
    <x v="11"/>
    <x v="2"/>
  </r>
  <r>
    <s v="TX502145"/>
    <x v="8"/>
    <x v="0"/>
    <n v="46"/>
    <x v="716"/>
    <d v="2025-03-20T00:00:00"/>
    <d v="2025-03-21T00:00:00"/>
    <s v="M"/>
    <x v="0"/>
    <x v="0"/>
    <x v="0"/>
    <x v="3"/>
    <x v="3"/>
    <x v="11"/>
    <x v="1"/>
  </r>
  <r>
    <s v="TX502146"/>
    <x v="9"/>
    <x v="8"/>
    <n v="42.2"/>
    <x v="1617"/>
    <d v="2025-03-20T00:00:00"/>
    <d v="2025-03-23T00:00:00"/>
    <s v="F"/>
    <x v="3"/>
    <x v="2"/>
    <x v="0"/>
    <x v="3"/>
    <x v="2"/>
    <x v="11"/>
    <x v="2"/>
  </r>
  <r>
    <s v="TX502147"/>
    <x v="1"/>
    <x v="2"/>
    <n v="71.5"/>
    <x v="523"/>
    <d v="2025-03-20T00:00:00"/>
    <d v="2025-04-03T00:00:00"/>
    <s v="F"/>
    <x v="0"/>
    <x v="0"/>
    <x v="0"/>
    <x v="3"/>
    <x v="12"/>
    <x v="11"/>
    <x v="2"/>
  </r>
  <r>
    <s v="TX502148"/>
    <x v="1"/>
    <x v="1"/>
    <n v="76.599999999999994"/>
    <x v="1618"/>
    <d v="2025-03-20T00:00:00"/>
    <d v="2025-03-20T00:00:00"/>
    <s v="M"/>
    <x v="0"/>
    <x v="2"/>
    <x v="0"/>
    <x v="3"/>
    <x v="7"/>
    <x v="11"/>
    <x v="1"/>
  </r>
  <r>
    <s v="TX502149"/>
    <x v="12"/>
    <x v="1"/>
    <n v="87.3"/>
    <x v="1619"/>
    <d v="2025-03-20T00:00:00"/>
    <d v="2025-03-28T00:00:00"/>
    <s v="F"/>
    <x v="3"/>
    <x v="2"/>
    <x v="0"/>
    <x v="3"/>
    <x v="9"/>
    <x v="11"/>
    <x v="2"/>
  </r>
  <r>
    <s v="TX502150"/>
    <x v="1"/>
    <x v="0"/>
    <n v="63"/>
    <x v="1620"/>
    <d v="2025-03-20T00:00:00"/>
    <d v="2025-03-23T00:00:00"/>
    <s v="M"/>
    <x v="3"/>
    <x v="0"/>
    <x v="0"/>
    <x v="3"/>
    <x v="2"/>
    <x v="11"/>
    <x v="1"/>
  </r>
  <r>
    <s v="TX502151"/>
    <x v="8"/>
    <x v="1"/>
    <n v="41.7"/>
    <x v="925"/>
    <d v="2025-03-20T00:00:00"/>
    <d v="2025-03-21T00:00:00"/>
    <s v="F"/>
    <x v="4"/>
    <x v="1"/>
    <x v="0"/>
    <x v="43"/>
    <x v="3"/>
    <x v="11"/>
    <x v="2"/>
  </r>
  <r>
    <s v="TX502152"/>
    <x v="6"/>
    <x v="1"/>
    <n v="76.099999999999994"/>
    <x v="1621"/>
    <d v="2025-03-20T00:00:00"/>
    <d v="2025-03-20T00:00:00"/>
    <s v="F"/>
    <x v="4"/>
    <x v="2"/>
    <x v="0"/>
    <x v="16"/>
    <x v="7"/>
    <x v="11"/>
    <x v="2"/>
  </r>
  <r>
    <s v="TX502153"/>
    <x v="13"/>
    <x v="1"/>
    <n v="28.5"/>
    <x v="933"/>
    <d v="2025-03-20T00:00:00"/>
    <d v="2025-03-21T00:00:00"/>
    <s v="F"/>
    <x v="0"/>
    <x v="2"/>
    <x v="0"/>
    <x v="4"/>
    <x v="3"/>
    <x v="11"/>
    <x v="2"/>
  </r>
  <r>
    <s v="TX502154"/>
    <x v="0"/>
    <x v="12"/>
    <n v="32.1"/>
    <x v="58"/>
    <d v="2025-03-20T00:00:00"/>
    <d v="2025-03-21T00:00:00"/>
    <s v="F"/>
    <x v="1"/>
    <x v="2"/>
    <x v="0"/>
    <x v="25"/>
    <x v="3"/>
    <x v="11"/>
    <x v="2"/>
  </r>
  <r>
    <s v="TX502155"/>
    <x v="4"/>
    <x v="2"/>
    <n v="39"/>
    <x v="1622"/>
    <d v="2025-03-20T00:00:00"/>
    <d v="2025-03-23T00:00:00"/>
    <s v="M"/>
    <x v="1"/>
    <x v="2"/>
    <x v="0"/>
    <x v="25"/>
    <x v="2"/>
    <x v="11"/>
    <x v="1"/>
  </r>
  <r>
    <s v="TX502156"/>
    <x v="6"/>
    <x v="0"/>
    <n v="78.5"/>
    <x v="1623"/>
    <d v="2025-03-20T00:00:00"/>
    <d v="2025-03-21T00:00:00"/>
    <s v="M"/>
    <x v="1"/>
    <x v="0"/>
    <x v="0"/>
    <x v="6"/>
    <x v="3"/>
    <x v="11"/>
    <x v="1"/>
  </r>
  <r>
    <s v="TX502157"/>
    <x v="4"/>
    <x v="9"/>
    <n v="49.7"/>
    <x v="1624"/>
    <d v="2025-03-20T00:00:00"/>
    <d v="2025-03-22T00:00:00"/>
    <s v="F"/>
    <x v="0"/>
    <x v="0"/>
    <x v="0"/>
    <x v="6"/>
    <x v="1"/>
    <x v="11"/>
    <x v="2"/>
  </r>
  <r>
    <s v="TX502158"/>
    <x v="1"/>
    <x v="12"/>
    <n v="68.400000000000006"/>
    <x v="1625"/>
    <d v="2025-03-20T00:00:00"/>
    <d v="2025-03-21T00:00:00"/>
    <s v="F"/>
    <x v="2"/>
    <x v="2"/>
    <x v="0"/>
    <x v="7"/>
    <x v="3"/>
    <x v="11"/>
    <x v="2"/>
  </r>
  <r>
    <s v="TX502159"/>
    <x v="3"/>
    <x v="1"/>
    <n v="72.900000000000006"/>
    <x v="1626"/>
    <d v="2025-03-20T00:00:00"/>
    <d v="2025-03-23T00:00:00"/>
    <s v=""/>
    <x v="0"/>
    <x v="2"/>
    <x v="0"/>
    <x v="7"/>
    <x v="2"/>
    <x v="11"/>
    <x v="0"/>
  </r>
  <r>
    <s v="TX502160"/>
    <x v="5"/>
    <x v="15"/>
    <n v="30.3"/>
    <x v="1627"/>
    <d v="2025-03-20T00:00:00"/>
    <d v="2025-03-21T00:00:00"/>
    <s v="M"/>
    <x v="4"/>
    <x v="0"/>
    <x v="0"/>
    <x v="7"/>
    <x v="3"/>
    <x v="11"/>
    <x v="1"/>
  </r>
  <r>
    <s v="TX502161"/>
    <x v="6"/>
    <x v="5"/>
    <n v="57.9"/>
    <x v="1628"/>
    <d v="2025-03-20T00:00:00"/>
    <d v="2025-03-21T00:00:00"/>
    <s v="F"/>
    <x v="0"/>
    <x v="0"/>
    <x v="0"/>
    <x v="8"/>
    <x v="3"/>
    <x v="11"/>
    <x v="2"/>
  </r>
  <r>
    <s v="TX502162"/>
    <x v="1"/>
    <x v="0"/>
    <n v="96.7"/>
    <x v="1629"/>
    <d v="2025-03-20T00:00:00"/>
    <d v="2025-03-21T00:00:00"/>
    <s v="M"/>
    <x v="0"/>
    <x v="0"/>
    <x v="0"/>
    <x v="8"/>
    <x v="3"/>
    <x v="11"/>
    <x v="1"/>
  </r>
  <r>
    <s v="TX502163"/>
    <x v="8"/>
    <x v="4"/>
    <n v="27.6"/>
    <x v="1630"/>
    <d v="2025-03-20T00:00:00"/>
    <d v="2025-03-22T00:00:00"/>
    <s v="M"/>
    <x v="2"/>
    <x v="2"/>
    <x v="0"/>
    <x v="8"/>
    <x v="1"/>
    <x v="11"/>
    <x v="1"/>
  </r>
  <r>
    <s v="TX502164"/>
    <x v="6"/>
    <x v="12"/>
    <n v="64.7"/>
    <x v="536"/>
    <d v="2025-03-20T00:00:00"/>
    <d v="2025-03-20T00:00:00"/>
    <s v="M"/>
    <x v="3"/>
    <x v="2"/>
    <x v="0"/>
    <x v="8"/>
    <x v="7"/>
    <x v="11"/>
    <x v="1"/>
  </r>
  <r>
    <s v="TX502165"/>
    <x v="10"/>
    <x v="13"/>
    <n v="30.5"/>
    <x v="1143"/>
    <d v="2025-03-20T00:00:00"/>
    <d v="2025-03-21T00:00:00"/>
    <s v="M"/>
    <x v="4"/>
    <x v="0"/>
    <x v="0"/>
    <x v="8"/>
    <x v="3"/>
    <x v="11"/>
    <x v="1"/>
  </r>
  <r>
    <s v="TX502166"/>
    <x v="6"/>
    <x v="47"/>
    <n v="106"/>
    <x v="1631"/>
    <d v="2025-03-21T00:00:00"/>
    <d v="2025-03-23T00:00:00"/>
    <s v="M"/>
    <x v="4"/>
    <x v="2"/>
    <x v="0"/>
    <x v="8"/>
    <x v="1"/>
    <x v="11"/>
    <x v="1"/>
  </r>
  <r>
    <s v="TX502167"/>
    <x v="12"/>
    <x v="9"/>
    <n v="76.8"/>
    <x v="1632"/>
    <d v="2025-03-21T00:00:00"/>
    <d v="2025-03-27T00:00:00"/>
    <s v=""/>
    <x v="1"/>
    <x v="1"/>
    <x v="0"/>
    <x v="18"/>
    <x v="4"/>
    <x v="11"/>
    <x v="0"/>
  </r>
  <r>
    <s v="TX502168"/>
    <x v="6"/>
    <x v="1"/>
    <n v="80.400000000000006"/>
    <x v="1530"/>
    <d v="2025-03-21T00:00:00"/>
    <d v="2025-03-22T00:00:00"/>
    <s v="F"/>
    <x v="2"/>
    <x v="0"/>
    <x v="0"/>
    <x v="13"/>
    <x v="3"/>
    <x v="11"/>
    <x v="2"/>
  </r>
  <r>
    <s v="TX502169"/>
    <x v="6"/>
    <x v="12"/>
    <n v="69.099999999999994"/>
    <x v="1633"/>
    <d v="2025-03-21T00:00:00"/>
    <d v="2025-03-22T00:00:00"/>
    <s v="M"/>
    <x v="1"/>
    <x v="2"/>
    <x v="0"/>
    <x v="21"/>
    <x v="3"/>
    <x v="11"/>
    <x v="1"/>
  </r>
  <r>
    <s v="TX502170"/>
    <x v="18"/>
    <x v="1"/>
    <n v="76.400000000000006"/>
    <x v="1634"/>
    <d v="2025-03-21T00:00:00"/>
    <d v="2025-03-21T00:00:00"/>
    <s v="M"/>
    <x v="3"/>
    <x v="0"/>
    <x v="0"/>
    <x v="21"/>
    <x v="7"/>
    <x v="11"/>
    <x v="1"/>
  </r>
  <r>
    <s v="TX502171"/>
    <x v="2"/>
    <x v="1"/>
    <n v="61.3"/>
    <x v="384"/>
    <d v="2025-03-21T00:00:00"/>
    <d v="2025-03-22T00:00:00"/>
    <s v="F"/>
    <x v="1"/>
    <x v="1"/>
    <x v="0"/>
    <x v="21"/>
    <x v="3"/>
    <x v="11"/>
    <x v="2"/>
  </r>
  <r>
    <s v="TX502172"/>
    <x v="7"/>
    <x v="0"/>
    <n v="58"/>
    <x v="1635"/>
    <d v="2025-03-21T00:00:00"/>
    <d v="2025-03-22T00:00:00"/>
    <s v="M"/>
    <x v="3"/>
    <x v="1"/>
    <x v="0"/>
    <x v="1"/>
    <x v="3"/>
    <x v="11"/>
    <x v="1"/>
  </r>
  <r>
    <s v="TX502173"/>
    <x v="2"/>
    <x v="8"/>
    <n v="102.3"/>
    <x v="1636"/>
    <d v="2025-03-21T00:00:00"/>
    <d v="2025-03-23T00:00:00"/>
    <s v="M"/>
    <x v="2"/>
    <x v="0"/>
    <x v="0"/>
    <x v="42"/>
    <x v="1"/>
    <x v="11"/>
    <x v="1"/>
  </r>
  <r>
    <s v="TX502174"/>
    <x v="19"/>
    <x v="1"/>
    <n v="13.8"/>
    <x v="1637"/>
    <d v="2025-03-21T00:00:00"/>
    <d v="2025-03-22T00:00:00"/>
    <s v="F"/>
    <x v="4"/>
    <x v="2"/>
    <x v="0"/>
    <x v="2"/>
    <x v="3"/>
    <x v="11"/>
    <x v="2"/>
  </r>
  <r>
    <s v="TX502175"/>
    <x v="8"/>
    <x v="2"/>
    <n v="33.299999999999997"/>
    <x v="1638"/>
    <d v="2025-03-21T00:00:00"/>
    <d v="2025-03-24T00:00:00"/>
    <s v="F"/>
    <x v="2"/>
    <x v="0"/>
    <x v="0"/>
    <x v="22"/>
    <x v="2"/>
    <x v="11"/>
    <x v="2"/>
  </r>
  <r>
    <s v="TX502176"/>
    <x v="10"/>
    <x v="0"/>
    <n v="27.4"/>
    <x v="1639"/>
    <d v="2025-03-21T00:00:00"/>
    <d v="2025-03-24T00:00:00"/>
    <s v="M"/>
    <x v="0"/>
    <x v="2"/>
    <x v="0"/>
    <x v="22"/>
    <x v="2"/>
    <x v="11"/>
    <x v="1"/>
  </r>
  <r>
    <s v="TX502177"/>
    <x v="14"/>
    <x v="1"/>
    <n v="25.6"/>
    <x v="180"/>
    <d v="2025-03-21T00:00:00"/>
    <d v="2025-03-22T00:00:00"/>
    <s v="F"/>
    <x v="1"/>
    <x v="1"/>
    <x v="0"/>
    <x v="3"/>
    <x v="3"/>
    <x v="11"/>
    <x v="2"/>
  </r>
  <r>
    <s v="TX502178"/>
    <x v="13"/>
    <x v="0"/>
    <n v="58.4"/>
    <x v="305"/>
    <d v="2025-03-21T00:00:00"/>
    <d v="2025-03-22T00:00:00"/>
    <s v="F"/>
    <x v="2"/>
    <x v="2"/>
    <x v="0"/>
    <x v="3"/>
    <x v="3"/>
    <x v="11"/>
    <x v="2"/>
  </r>
  <r>
    <s v="TX502179"/>
    <x v="11"/>
    <x v="17"/>
    <n v="27"/>
    <x v="906"/>
    <d v="2025-03-21T00:00:00"/>
    <d v="2025-03-22T00:00:00"/>
    <s v="F"/>
    <x v="4"/>
    <x v="0"/>
    <x v="0"/>
    <x v="3"/>
    <x v="3"/>
    <x v="11"/>
    <x v="2"/>
  </r>
  <r>
    <s v="TX502180"/>
    <x v="0"/>
    <x v="12"/>
    <n v="14.2"/>
    <x v="1640"/>
    <d v="2025-03-21T00:00:00"/>
    <d v="2025-03-22T00:00:00"/>
    <s v="M"/>
    <x v="0"/>
    <x v="2"/>
    <x v="0"/>
    <x v="3"/>
    <x v="3"/>
    <x v="11"/>
    <x v="1"/>
  </r>
  <r>
    <s v="TX502181"/>
    <x v="7"/>
    <x v="1"/>
    <n v="68"/>
    <x v="1641"/>
    <d v="2025-03-21T00:00:00"/>
    <d v="2025-03-31T00:00:00"/>
    <s v="M"/>
    <x v="2"/>
    <x v="1"/>
    <x v="0"/>
    <x v="3"/>
    <x v="14"/>
    <x v="11"/>
    <x v="1"/>
  </r>
  <r>
    <s v="TX502182"/>
    <x v="8"/>
    <x v="0"/>
    <n v="30.7"/>
    <x v="1642"/>
    <d v="2025-03-21T00:00:00"/>
    <d v="2025-03-22T00:00:00"/>
    <s v="M"/>
    <x v="0"/>
    <x v="0"/>
    <x v="0"/>
    <x v="3"/>
    <x v="3"/>
    <x v="11"/>
    <x v="1"/>
  </r>
  <r>
    <s v="TX502183"/>
    <x v="17"/>
    <x v="15"/>
    <n v="51.6"/>
    <x v="1643"/>
    <d v="2025-03-21T00:00:00"/>
    <d v="2025-03-24T00:00:00"/>
    <s v="O"/>
    <x v="1"/>
    <x v="2"/>
    <x v="0"/>
    <x v="3"/>
    <x v="2"/>
    <x v="11"/>
    <x v="3"/>
  </r>
  <r>
    <s v="TX502184"/>
    <x v="8"/>
    <x v="2"/>
    <n v="20.6"/>
    <x v="957"/>
    <d v="2025-03-21T00:00:00"/>
    <d v="2025-03-25T00:00:00"/>
    <s v="F"/>
    <x v="4"/>
    <x v="2"/>
    <x v="0"/>
    <x v="3"/>
    <x v="5"/>
    <x v="11"/>
    <x v="2"/>
  </r>
  <r>
    <s v="TX502185"/>
    <x v="8"/>
    <x v="0"/>
    <n v="24.8"/>
    <x v="1644"/>
    <d v="2025-03-21T00:00:00"/>
    <d v="2025-03-22T00:00:00"/>
    <s v="M"/>
    <x v="4"/>
    <x v="0"/>
    <x v="0"/>
    <x v="3"/>
    <x v="3"/>
    <x v="11"/>
    <x v="1"/>
  </r>
  <r>
    <s v="TX502186"/>
    <x v="0"/>
    <x v="3"/>
    <n v="11.2"/>
    <x v="1645"/>
    <d v="2025-03-21T00:00:00"/>
    <d v="2025-03-24T00:00:00"/>
    <s v="M"/>
    <x v="1"/>
    <x v="0"/>
    <x v="0"/>
    <x v="3"/>
    <x v="2"/>
    <x v="11"/>
    <x v="1"/>
  </r>
  <r>
    <s v="TX502187"/>
    <x v="11"/>
    <x v="1"/>
    <n v="51.2"/>
    <x v="298"/>
    <d v="2025-03-21T00:00:00"/>
    <d v="2025-03-22T00:00:00"/>
    <s v="F"/>
    <x v="1"/>
    <x v="2"/>
    <x v="0"/>
    <x v="3"/>
    <x v="3"/>
    <x v="11"/>
    <x v="2"/>
  </r>
  <r>
    <s v="TX502188"/>
    <x v="7"/>
    <x v="13"/>
    <n v="90.5"/>
    <x v="1646"/>
    <d v="2025-03-21T00:00:00"/>
    <d v="2025-03-22T00:00:00"/>
    <s v="F"/>
    <x v="1"/>
    <x v="4"/>
    <x v="0"/>
    <x v="3"/>
    <x v="3"/>
    <x v="11"/>
    <x v="2"/>
  </r>
  <r>
    <s v="TX502189"/>
    <x v="1"/>
    <x v="1"/>
    <n v="42.4"/>
    <x v="1647"/>
    <d v="2025-03-21T00:00:00"/>
    <d v="2025-03-22T00:00:00"/>
    <s v="M"/>
    <x v="1"/>
    <x v="2"/>
    <x v="0"/>
    <x v="4"/>
    <x v="3"/>
    <x v="11"/>
    <x v="1"/>
  </r>
  <r>
    <s v="TX502190"/>
    <x v="1"/>
    <x v="1"/>
    <n v="38.200000000000003"/>
    <x v="1648"/>
    <d v="2025-03-21T00:00:00"/>
    <d v="2025-03-22T00:00:00"/>
    <s v="M"/>
    <x v="0"/>
    <x v="0"/>
    <x v="0"/>
    <x v="5"/>
    <x v="3"/>
    <x v="11"/>
    <x v="1"/>
  </r>
  <r>
    <s v="TX502191"/>
    <x v="2"/>
    <x v="11"/>
    <n v="121.3"/>
    <x v="1649"/>
    <d v="2025-03-21T00:00:00"/>
    <d v="2025-03-26T00:00:00"/>
    <s v="M"/>
    <x v="0"/>
    <x v="0"/>
    <x v="0"/>
    <x v="6"/>
    <x v="0"/>
    <x v="11"/>
    <x v="1"/>
  </r>
  <r>
    <s v="TX502192"/>
    <x v="6"/>
    <x v="1"/>
    <n v="46.9"/>
    <x v="1650"/>
    <d v="2025-03-21T00:00:00"/>
    <d v="2025-03-28T00:00:00"/>
    <s v="M"/>
    <x v="0"/>
    <x v="0"/>
    <x v="0"/>
    <x v="8"/>
    <x v="6"/>
    <x v="11"/>
    <x v="1"/>
  </r>
  <r>
    <s v="TX502193"/>
    <x v="10"/>
    <x v="0"/>
    <n v="55.3"/>
    <x v="6"/>
    <d v="2025-03-21T00:00:00"/>
    <d v="2025-03-23T00:00:00"/>
    <s v="M"/>
    <x v="0"/>
    <x v="0"/>
    <x v="0"/>
    <x v="8"/>
    <x v="1"/>
    <x v="11"/>
    <x v="1"/>
  </r>
  <r>
    <s v="TX502194"/>
    <x v="2"/>
    <x v="2"/>
    <n v="70.599999999999994"/>
    <x v="1651"/>
    <d v="2025-03-22T00:00:00"/>
    <d v="2025-03-22T00:00:00"/>
    <s v="F"/>
    <x v="0"/>
    <x v="1"/>
    <x v="0"/>
    <x v="8"/>
    <x v="7"/>
    <x v="11"/>
    <x v="2"/>
  </r>
  <r>
    <s v="TX502195"/>
    <x v="14"/>
    <x v="12"/>
    <n v="26.1"/>
    <x v="1652"/>
    <d v="2025-03-22T00:00:00"/>
    <d v="2025-03-24T00:00:00"/>
    <s v="M"/>
    <x v="0"/>
    <x v="0"/>
    <x v="0"/>
    <x v="8"/>
    <x v="1"/>
    <x v="11"/>
    <x v="1"/>
  </r>
  <r>
    <s v="TX502196"/>
    <x v="9"/>
    <x v="5"/>
    <n v="34.5"/>
    <x v="1653"/>
    <d v="2025-03-22T00:00:00"/>
    <d v="2025-03-26T00:00:00"/>
    <s v="M"/>
    <x v="2"/>
    <x v="0"/>
    <x v="0"/>
    <x v="17"/>
    <x v="5"/>
    <x v="11"/>
    <x v="1"/>
  </r>
  <r>
    <s v="TX502197"/>
    <x v="1"/>
    <x v="1"/>
    <n v="64.2"/>
    <x v="58"/>
    <d v="2025-03-22T00:00:00"/>
    <d v="2025-03-23T00:00:00"/>
    <s v="F"/>
    <x v="0"/>
    <x v="1"/>
    <x v="0"/>
    <x v="17"/>
    <x v="3"/>
    <x v="11"/>
    <x v="2"/>
  </r>
  <r>
    <s v="TX502198"/>
    <x v="2"/>
    <x v="12"/>
    <n v="145.69999999999999"/>
    <x v="1654"/>
    <d v="2025-03-22T00:00:00"/>
    <d v="2025-03-23T00:00:00"/>
    <s v="F"/>
    <x v="0"/>
    <x v="4"/>
    <x v="0"/>
    <x v="17"/>
    <x v="3"/>
    <x v="11"/>
    <x v="2"/>
  </r>
  <r>
    <s v="TX502199"/>
    <x v="12"/>
    <x v="1"/>
    <n v="78.5"/>
    <x v="1655"/>
    <d v="2025-03-22T00:00:00"/>
    <d v="2025-03-23T00:00:00"/>
    <s v="M"/>
    <x v="2"/>
    <x v="0"/>
    <x v="0"/>
    <x v="26"/>
    <x v="3"/>
    <x v="11"/>
    <x v="1"/>
  </r>
  <r>
    <s v="TX502200"/>
    <x v="1"/>
    <x v="0"/>
    <n v="34.200000000000003"/>
    <x v="1656"/>
    <d v="2025-03-22T00:00:00"/>
    <d v="2025-03-24T00:00:00"/>
    <s v="M"/>
    <x v="0"/>
    <x v="0"/>
    <x v="0"/>
    <x v="9"/>
    <x v="1"/>
    <x v="11"/>
    <x v="1"/>
  </r>
  <r>
    <s v="TX502201"/>
    <x v="19"/>
    <x v="0"/>
    <n v="26.2"/>
    <x v="1102"/>
    <d v="2025-03-22T00:00:00"/>
    <d v="2025-03-23T00:00:00"/>
    <s v="M"/>
    <x v="2"/>
    <x v="0"/>
    <x v="0"/>
    <x v="9"/>
    <x v="3"/>
    <x v="11"/>
    <x v="1"/>
  </r>
  <r>
    <s v="TX502202"/>
    <x v="6"/>
    <x v="12"/>
    <n v="53.2"/>
    <x v="1547"/>
    <d v="2025-03-22T00:00:00"/>
    <d v="2025-03-23T00:00:00"/>
    <s v="M"/>
    <x v="1"/>
    <x v="1"/>
    <x v="0"/>
    <x v="11"/>
    <x v="3"/>
    <x v="11"/>
    <x v="1"/>
  </r>
  <r>
    <s v="TX502203"/>
    <x v="1"/>
    <x v="0"/>
    <n v="35.4"/>
    <x v="1657"/>
    <d v="2025-03-22T00:00:00"/>
    <d v="2025-03-26T00:00:00"/>
    <s v="M"/>
    <x v="1"/>
    <x v="4"/>
    <x v="0"/>
    <x v="18"/>
    <x v="5"/>
    <x v="11"/>
    <x v="1"/>
  </r>
  <r>
    <s v="TX502204"/>
    <x v="14"/>
    <x v="1"/>
    <n v="21.3"/>
    <x v="440"/>
    <d v="2025-03-22T00:00:00"/>
    <d v="2025-03-23T00:00:00"/>
    <s v="M"/>
    <x v="2"/>
    <x v="0"/>
    <x v="0"/>
    <x v="20"/>
    <x v="3"/>
    <x v="11"/>
    <x v="1"/>
  </r>
  <r>
    <s v="TX502205"/>
    <x v="8"/>
    <x v="12"/>
    <n v="32.9"/>
    <x v="1423"/>
    <d v="2025-03-22T00:00:00"/>
    <d v="2025-03-25T00:00:00"/>
    <s v="F"/>
    <x v="4"/>
    <x v="2"/>
    <x v="0"/>
    <x v="21"/>
    <x v="2"/>
    <x v="11"/>
    <x v="2"/>
  </r>
  <r>
    <s v="TX502206"/>
    <x v="5"/>
    <x v="20"/>
    <n v="85.5"/>
    <x v="1658"/>
    <d v="2025-03-22T00:00:00"/>
    <d v="2025-03-24T00:00:00"/>
    <s v="F"/>
    <x v="3"/>
    <x v="1"/>
    <x v="0"/>
    <x v="21"/>
    <x v="1"/>
    <x v="11"/>
    <x v="2"/>
  </r>
  <r>
    <s v="TX502207"/>
    <x v="4"/>
    <x v="0"/>
    <n v="26.8"/>
    <x v="63"/>
    <d v="2025-03-22T00:00:00"/>
    <d v="2025-03-23T00:00:00"/>
    <s v="F"/>
    <x v="0"/>
    <x v="1"/>
    <x v="0"/>
    <x v="2"/>
    <x v="3"/>
    <x v="11"/>
    <x v="2"/>
  </r>
  <r>
    <s v="TX502208"/>
    <x v="9"/>
    <x v="18"/>
    <n v="31.7"/>
    <x v="1659"/>
    <d v="2025-03-22T00:00:00"/>
    <d v="2025-03-22T00:00:00"/>
    <s v="F"/>
    <x v="3"/>
    <x v="0"/>
    <x v="0"/>
    <x v="2"/>
    <x v="7"/>
    <x v="11"/>
    <x v="2"/>
  </r>
  <r>
    <s v="TX502209"/>
    <x v="1"/>
    <x v="1"/>
    <n v="78.3"/>
    <x v="1660"/>
    <d v="2025-03-22T00:00:00"/>
    <d v="2025-03-24T00:00:00"/>
    <s v="F"/>
    <x v="1"/>
    <x v="1"/>
    <x v="0"/>
    <x v="3"/>
    <x v="1"/>
    <x v="11"/>
    <x v="2"/>
  </r>
  <r>
    <s v="TX502210"/>
    <x v="6"/>
    <x v="0"/>
    <n v="43.9"/>
    <x v="1661"/>
    <d v="2025-03-22T00:00:00"/>
    <d v="2025-03-23T00:00:00"/>
    <s v="M"/>
    <x v="0"/>
    <x v="0"/>
    <x v="0"/>
    <x v="3"/>
    <x v="3"/>
    <x v="11"/>
    <x v="1"/>
  </r>
  <r>
    <s v="TX502211"/>
    <x v="18"/>
    <x v="2"/>
    <n v="84"/>
    <x v="816"/>
    <d v="2025-03-22T00:00:00"/>
    <d v="2025-03-24T00:00:00"/>
    <s v=""/>
    <x v="3"/>
    <x v="2"/>
    <x v="0"/>
    <x v="3"/>
    <x v="1"/>
    <x v="11"/>
    <x v="0"/>
  </r>
  <r>
    <s v="TX502212"/>
    <x v="0"/>
    <x v="2"/>
    <n v="11.4"/>
    <x v="1656"/>
    <d v="2025-03-22T00:00:00"/>
    <d v="2025-03-23T00:00:00"/>
    <s v="M"/>
    <x v="4"/>
    <x v="0"/>
    <x v="0"/>
    <x v="3"/>
    <x v="3"/>
    <x v="11"/>
    <x v="1"/>
  </r>
  <r>
    <s v="TX502213"/>
    <x v="12"/>
    <x v="8"/>
    <n v="47.5"/>
    <x v="1662"/>
    <d v="2025-03-22T00:00:00"/>
    <d v="2025-03-30T00:00:00"/>
    <s v="F"/>
    <x v="0"/>
    <x v="0"/>
    <x v="0"/>
    <x v="3"/>
    <x v="9"/>
    <x v="11"/>
    <x v="2"/>
  </r>
  <r>
    <s v="TX502214"/>
    <x v="9"/>
    <x v="5"/>
    <n v="50.5"/>
    <x v="1663"/>
    <d v="2025-03-22T00:00:00"/>
    <d v="2025-03-24T00:00:00"/>
    <s v="M"/>
    <x v="2"/>
    <x v="0"/>
    <x v="0"/>
    <x v="3"/>
    <x v="1"/>
    <x v="11"/>
    <x v="1"/>
  </r>
  <r>
    <s v="TX502215"/>
    <x v="15"/>
    <x v="0"/>
    <n v="36.299999999999997"/>
    <x v="1277"/>
    <d v="2025-03-22T00:00:00"/>
    <d v="2025-03-25T00:00:00"/>
    <s v="O"/>
    <x v="0"/>
    <x v="1"/>
    <x v="0"/>
    <x v="8"/>
    <x v="2"/>
    <x v="11"/>
    <x v="3"/>
  </r>
  <r>
    <s v="TX502216"/>
    <x v="8"/>
    <x v="1"/>
    <n v="35.4"/>
    <x v="1664"/>
    <d v="2025-03-22T00:00:00"/>
    <d v="2025-03-23T00:00:00"/>
    <s v="F"/>
    <x v="0"/>
    <x v="0"/>
    <x v="0"/>
    <x v="17"/>
    <x v="3"/>
    <x v="11"/>
    <x v="2"/>
  </r>
  <r>
    <s v="TX502217"/>
    <x v="1"/>
    <x v="2"/>
    <n v="45.9"/>
    <x v="223"/>
    <d v="2025-03-23T00:00:00"/>
    <d v="2025-03-24T00:00:00"/>
    <s v="M"/>
    <x v="3"/>
    <x v="0"/>
    <x v="0"/>
    <x v="9"/>
    <x v="3"/>
    <x v="12"/>
    <x v="1"/>
  </r>
  <r>
    <s v="TX502218"/>
    <x v="6"/>
    <x v="7"/>
    <n v="41.2"/>
    <x v="1665"/>
    <d v="2025-03-23T00:00:00"/>
    <d v="2025-03-27T00:00:00"/>
    <s v="M"/>
    <x v="0"/>
    <x v="0"/>
    <x v="0"/>
    <x v="11"/>
    <x v="5"/>
    <x v="12"/>
    <x v="1"/>
  </r>
  <r>
    <s v="TX502219"/>
    <x v="17"/>
    <x v="1"/>
    <n v="45.1"/>
    <x v="244"/>
    <d v="2025-03-23T00:00:00"/>
    <d v="2025-03-24T00:00:00"/>
    <s v="M"/>
    <x v="1"/>
    <x v="1"/>
    <x v="0"/>
    <x v="21"/>
    <x v="3"/>
    <x v="12"/>
    <x v="1"/>
  </r>
  <r>
    <s v="TX502220"/>
    <x v="6"/>
    <x v="7"/>
    <n v="63.6"/>
    <x v="1666"/>
    <d v="2025-03-23T00:00:00"/>
    <d v="2025-03-23T00:00:00"/>
    <s v="M"/>
    <x v="2"/>
    <x v="0"/>
    <x v="0"/>
    <x v="1"/>
    <x v="7"/>
    <x v="12"/>
    <x v="1"/>
  </r>
  <r>
    <s v="TX502221"/>
    <x v="8"/>
    <x v="0"/>
    <n v="70.5"/>
    <x v="1012"/>
    <d v="2025-03-23T00:00:00"/>
    <d v="2025-03-24T00:00:00"/>
    <s v="M"/>
    <x v="0"/>
    <x v="0"/>
    <x v="0"/>
    <x v="3"/>
    <x v="3"/>
    <x v="12"/>
    <x v="1"/>
  </r>
  <r>
    <s v="TX502222"/>
    <x v="6"/>
    <x v="0"/>
    <n v="41.3"/>
    <x v="1667"/>
    <d v="2025-03-23T00:00:00"/>
    <d v="2025-03-23T00:00:00"/>
    <s v="M"/>
    <x v="4"/>
    <x v="0"/>
    <x v="0"/>
    <x v="3"/>
    <x v="7"/>
    <x v="12"/>
    <x v="1"/>
  </r>
  <r>
    <s v="TX502223"/>
    <x v="4"/>
    <x v="0"/>
    <n v="35.299999999999997"/>
    <x v="1668"/>
    <d v="2025-03-23T00:00:00"/>
    <d v="2025-03-26T00:00:00"/>
    <s v="F"/>
    <x v="4"/>
    <x v="2"/>
    <x v="0"/>
    <x v="3"/>
    <x v="2"/>
    <x v="12"/>
    <x v="2"/>
  </r>
  <r>
    <s v="TX502224"/>
    <x v="8"/>
    <x v="9"/>
    <n v="34.700000000000003"/>
    <x v="1669"/>
    <d v="2025-03-23T00:00:00"/>
    <d v="2025-03-24T00:00:00"/>
    <s v="F"/>
    <x v="0"/>
    <x v="2"/>
    <x v="0"/>
    <x v="3"/>
    <x v="3"/>
    <x v="12"/>
    <x v="2"/>
  </r>
  <r>
    <s v="TX502225"/>
    <x v="8"/>
    <x v="2"/>
    <n v="26.1"/>
    <x v="1670"/>
    <d v="2025-03-23T00:00:00"/>
    <d v="2025-03-24T00:00:00"/>
    <s v="F"/>
    <x v="0"/>
    <x v="0"/>
    <x v="0"/>
    <x v="3"/>
    <x v="3"/>
    <x v="12"/>
    <x v="2"/>
  </r>
  <r>
    <s v="TX502226"/>
    <x v="9"/>
    <x v="9"/>
    <n v="22.6"/>
    <x v="548"/>
    <d v="2025-03-23T00:00:00"/>
    <d v="2025-03-23T00:00:00"/>
    <s v="F"/>
    <x v="1"/>
    <x v="2"/>
    <x v="0"/>
    <x v="3"/>
    <x v="7"/>
    <x v="12"/>
    <x v="2"/>
  </r>
  <r>
    <s v="TX502227"/>
    <x v="2"/>
    <x v="1"/>
    <n v="154.4"/>
    <x v="1671"/>
    <d v="2025-03-23T00:00:00"/>
    <d v="2025-03-26T00:00:00"/>
    <s v="M"/>
    <x v="1"/>
    <x v="1"/>
    <x v="0"/>
    <x v="3"/>
    <x v="2"/>
    <x v="12"/>
    <x v="1"/>
  </r>
  <r>
    <s v="TX502228"/>
    <x v="8"/>
    <x v="1"/>
    <n v="18.399999999999999"/>
    <x v="791"/>
    <d v="2025-03-23T00:00:00"/>
    <d v="2025-03-24T00:00:00"/>
    <s v="M"/>
    <x v="0"/>
    <x v="0"/>
    <x v="0"/>
    <x v="3"/>
    <x v="3"/>
    <x v="12"/>
    <x v="1"/>
  </r>
  <r>
    <s v="TX502229"/>
    <x v="14"/>
    <x v="0"/>
    <n v="25"/>
    <x v="1672"/>
    <d v="2025-03-23T00:00:00"/>
    <d v="2025-03-26T00:00:00"/>
    <s v="F"/>
    <x v="0"/>
    <x v="0"/>
    <x v="0"/>
    <x v="3"/>
    <x v="2"/>
    <x v="12"/>
    <x v="2"/>
  </r>
  <r>
    <s v="TX502230"/>
    <x v="2"/>
    <x v="13"/>
    <n v="105.6"/>
    <x v="1673"/>
    <d v="2025-03-23T00:00:00"/>
    <d v="2025-03-23T00:00:00"/>
    <s v="F"/>
    <x v="0"/>
    <x v="0"/>
    <x v="0"/>
    <x v="3"/>
    <x v="7"/>
    <x v="12"/>
    <x v="2"/>
  </r>
  <r>
    <s v="TX502231"/>
    <x v="18"/>
    <x v="8"/>
    <n v="59.6"/>
    <x v="1674"/>
    <d v="2025-03-23T00:00:00"/>
    <d v="2025-03-23T00:00:00"/>
    <s v="F"/>
    <x v="0"/>
    <x v="2"/>
    <x v="0"/>
    <x v="23"/>
    <x v="7"/>
    <x v="12"/>
    <x v="2"/>
  </r>
  <r>
    <s v="TX502232"/>
    <x v="15"/>
    <x v="2"/>
    <n v="75.400000000000006"/>
    <x v="1675"/>
    <d v="2025-03-23T00:00:00"/>
    <d v="2025-03-28T00:00:00"/>
    <s v="M"/>
    <x v="0"/>
    <x v="1"/>
    <x v="0"/>
    <x v="7"/>
    <x v="0"/>
    <x v="12"/>
    <x v="1"/>
  </r>
  <r>
    <s v="TX502233"/>
    <x v="7"/>
    <x v="0"/>
    <n v="104.4"/>
    <x v="1652"/>
    <d v="2025-03-23T00:00:00"/>
    <d v="2025-03-24T00:00:00"/>
    <s v="F"/>
    <x v="0"/>
    <x v="0"/>
    <x v="0"/>
    <x v="8"/>
    <x v="3"/>
    <x v="12"/>
    <x v="2"/>
  </r>
  <r>
    <s v="TX502234"/>
    <x v="2"/>
    <x v="7"/>
    <n v="208.2"/>
    <x v="1676"/>
    <d v="2025-03-23T00:00:00"/>
    <d v="2025-03-24T00:00:00"/>
    <s v="M"/>
    <x v="0"/>
    <x v="2"/>
    <x v="0"/>
    <x v="8"/>
    <x v="3"/>
    <x v="12"/>
    <x v="1"/>
  </r>
  <r>
    <s v="TX502235"/>
    <x v="6"/>
    <x v="1"/>
    <n v="45"/>
    <x v="645"/>
    <d v="2025-03-23T00:00:00"/>
    <d v="2025-03-26T00:00:00"/>
    <s v="F"/>
    <x v="0"/>
    <x v="0"/>
    <x v="0"/>
    <x v="10"/>
    <x v="2"/>
    <x v="12"/>
    <x v="2"/>
  </r>
  <r>
    <s v="TX502236"/>
    <x v="15"/>
    <x v="1"/>
    <n v="20.3"/>
    <x v="1352"/>
    <d v="2025-03-24T00:00:00"/>
    <d v="2025-03-26T00:00:00"/>
    <s v=""/>
    <x v="1"/>
    <x v="0"/>
    <x v="0"/>
    <x v="11"/>
    <x v="1"/>
    <x v="12"/>
    <x v="0"/>
  </r>
  <r>
    <s v="TX502237"/>
    <x v="2"/>
    <x v="2"/>
    <n v="94.4"/>
    <x v="1677"/>
    <d v="2025-03-24T00:00:00"/>
    <d v="2025-03-25T00:00:00"/>
    <s v="F"/>
    <x v="0"/>
    <x v="2"/>
    <x v="0"/>
    <x v="11"/>
    <x v="3"/>
    <x v="12"/>
    <x v="2"/>
  </r>
  <r>
    <s v="TX502238"/>
    <x v="9"/>
    <x v="0"/>
    <n v="49"/>
    <x v="268"/>
    <d v="2025-03-24T00:00:00"/>
    <d v="2025-03-26T00:00:00"/>
    <s v="F"/>
    <x v="0"/>
    <x v="2"/>
    <x v="0"/>
    <x v="20"/>
    <x v="1"/>
    <x v="12"/>
    <x v="2"/>
  </r>
  <r>
    <s v="TX502239"/>
    <x v="4"/>
    <x v="1"/>
    <n v="27.2"/>
    <x v="630"/>
    <d v="2025-03-24T00:00:00"/>
    <d v="2025-03-26T00:00:00"/>
    <s v="M"/>
    <x v="0"/>
    <x v="2"/>
    <x v="0"/>
    <x v="1"/>
    <x v="1"/>
    <x v="12"/>
    <x v="1"/>
  </r>
  <r>
    <s v="TX502240"/>
    <x v="2"/>
    <x v="13"/>
    <n v="72.599999999999994"/>
    <x v="349"/>
    <d v="2025-03-24T00:00:00"/>
    <d v="2025-03-25T00:00:00"/>
    <s v="F"/>
    <x v="0"/>
    <x v="2"/>
    <x v="0"/>
    <x v="2"/>
    <x v="3"/>
    <x v="12"/>
    <x v="2"/>
  </r>
  <r>
    <s v="TX502241"/>
    <x v="15"/>
    <x v="12"/>
    <n v="62.4"/>
    <x v="1267"/>
    <d v="2025-03-24T00:00:00"/>
    <d v="2025-03-25T00:00:00"/>
    <s v="F"/>
    <x v="0"/>
    <x v="0"/>
    <x v="0"/>
    <x v="3"/>
    <x v="3"/>
    <x v="12"/>
    <x v="2"/>
  </r>
  <r>
    <s v="TX502242"/>
    <x v="8"/>
    <x v="2"/>
    <n v="19.100000000000001"/>
    <x v="1281"/>
    <d v="2025-03-24T00:00:00"/>
    <d v="2025-03-26T00:00:00"/>
    <s v="M"/>
    <x v="0"/>
    <x v="1"/>
    <x v="0"/>
    <x v="3"/>
    <x v="1"/>
    <x v="12"/>
    <x v="1"/>
  </r>
  <r>
    <s v="TX502243"/>
    <x v="10"/>
    <x v="0"/>
    <n v="29.6"/>
    <x v="1678"/>
    <d v="2025-03-24T00:00:00"/>
    <d v="2025-03-28T00:00:00"/>
    <s v="M"/>
    <x v="0"/>
    <x v="4"/>
    <x v="0"/>
    <x v="3"/>
    <x v="5"/>
    <x v="12"/>
    <x v="1"/>
  </r>
  <r>
    <s v="TX502244"/>
    <x v="8"/>
    <x v="1"/>
    <n v="18.899999999999999"/>
    <x v="463"/>
    <d v="2025-03-24T00:00:00"/>
    <d v="2025-03-26T00:00:00"/>
    <s v="F"/>
    <x v="4"/>
    <x v="2"/>
    <x v="0"/>
    <x v="3"/>
    <x v="1"/>
    <x v="12"/>
    <x v="2"/>
  </r>
  <r>
    <s v="TX502245"/>
    <x v="10"/>
    <x v="9"/>
    <n v="41.4"/>
    <x v="461"/>
    <d v="2025-03-24T00:00:00"/>
    <d v="2025-03-25T00:00:00"/>
    <s v="M"/>
    <x v="3"/>
    <x v="0"/>
    <x v="0"/>
    <x v="3"/>
    <x v="3"/>
    <x v="12"/>
    <x v="1"/>
  </r>
  <r>
    <s v="TX502246"/>
    <x v="2"/>
    <x v="0"/>
    <n v="118.4"/>
    <x v="1250"/>
    <d v="2025-03-24T00:00:00"/>
    <d v="2025-03-25T00:00:00"/>
    <s v="F"/>
    <x v="0"/>
    <x v="2"/>
    <x v="0"/>
    <x v="3"/>
    <x v="3"/>
    <x v="12"/>
    <x v="2"/>
  </r>
  <r>
    <s v="TX502247"/>
    <x v="2"/>
    <x v="1"/>
    <n v="125.3"/>
    <x v="1679"/>
    <d v="2025-03-24T00:00:00"/>
    <d v="2025-03-27T00:00:00"/>
    <s v="F"/>
    <x v="0"/>
    <x v="2"/>
    <x v="0"/>
    <x v="3"/>
    <x v="2"/>
    <x v="12"/>
    <x v="2"/>
  </r>
  <r>
    <s v="TX502248"/>
    <x v="3"/>
    <x v="1"/>
    <n v="85.8"/>
    <x v="1512"/>
    <d v="2025-03-24T00:00:00"/>
    <d v="2025-03-25T00:00:00"/>
    <s v="F"/>
    <x v="1"/>
    <x v="4"/>
    <x v="0"/>
    <x v="3"/>
    <x v="3"/>
    <x v="12"/>
    <x v="2"/>
  </r>
  <r>
    <s v="TX502249"/>
    <x v="6"/>
    <x v="0"/>
    <n v="44.2"/>
    <x v="573"/>
    <d v="2025-03-24T00:00:00"/>
    <d v="2025-03-27T00:00:00"/>
    <s v="M"/>
    <x v="1"/>
    <x v="0"/>
    <x v="0"/>
    <x v="3"/>
    <x v="2"/>
    <x v="12"/>
    <x v="1"/>
  </r>
  <r>
    <s v="TX502250"/>
    <x v="5"/>
    <x v="12"/>
    <n v="74.099999999999994"/>
    <x v="764"/>
    <d v="2025-03-24T00:00:00"/>
    <d v="2025-03-26T00:00:00"/>
    <s v="F"/>
    <x v="0"/>
    <x v="0"/>
    <x v="0"/>
    <x v="3"/>
    <x v="1"/>
    <x v="12"/>
    <x v="2"/>
  </r>
  <r>
    <s v="TX502251"/>
    <x v="8"/>
    <x v="0"/>
    <n v="33.799999999999997"/>
    <x v="1680"/>
    <d v="2025-03-24T00:00:00"/>
    <d v="2025-03-25T00:00:00"/>
    <s v="F"/>
    <x v="2"/>
    <x v="2"/>
    <x v="0"/>
    <x v="24"/>
    <x v="3"/>
    <x v="12"/>
    <x v="2"/>
  </r>
  <r>
    <s v="TX502252"/>
    <x v="1"/>
    <x v="1"/>
    <n v="39.1"/>
    <x v="1148"/>
    <d v="2025-03-24T00:00:00"/>
    <d v="2025-03-25T00:00:00"/>
    <s v="M"/>
    <x v="0"/>
    <x v="1"/>
    <x v="0"/>
    <x v="24"/>
    <x v="3"/>
    <x v="12"/>
    <x v="1"/>
  </r>
  <r>
    <s v="TX502253"/>
    <x v="0"/>
    <x v="0"/>
    <n v="37.200000000000003"/>
    <x v="804"/>
    <d v="2025-03-24T00:00:00"/>
    <d v="2025-03-25T00:00:00"/>
    <s v="M"/>
    <x v="0"/>
    <x v="1"/>
    <x v="0"/>
    <x v="16"/>
    <x v="3"/>
    <x v="12"/>
    <x v="1"/>
  </r>
  <r>
    <s v="TX502254"/>
    <x v="15"/>
    <x v="2"/>
    <n v="33.9"/>
    <x v="1681"/>
    <d v="2025-03-24T00:00:00"/>
    <d v="2025-03-26T00:00:00"/>
    <s v="M"/>
    <x v="2"/>
    <x v="0"/>
    <x v="0"/>
    <x v="6"/>
    <x v="1"/>
    <x v="12"/>
    <x v="1"/>
  </r>
  <r>
    <s v="TX502255"/>
    <x v="7"/>
    <x v="20"/>
    <n v="73.3"/>
    <x v="1682"/>
    <d v="2025-03-24T00:00:00"/>
    <d v="2025-03-27T00:00:00"/>
    <s v="F"/>
    <x v="2"/>
    <x v="1"/>
    <x v="0"/>
    <x v="8"/>
    <x v="2"/>
    <x v="12"/>
    <x v="2"/>
  </r>
  <r>
    <s v="TX502256"/>
    <x v="8"/>
    <x v="12"/>
    <n v="35"/>
    <x v="1683"/>
    <d v="2025-03-24T00:00:00"/>
    <d v="2025-03-26T00:00:00"/>
    <s v="F"/>
    <x v="1"/>
    <x v="0"/>
    <x v="0"/>
    <x v="8"/>
    <x v="1"/>
    <x v="12"/>
    <x v="2"/>
  </r>
  <r>
    <s v="TX502257"/>
    <x v="0"/>
    <x v="2"/>
    <n v="22.2"/>
    <x v="815"/>
    <d v="2025-03-24T00:00:00"/>
    <d v="2025-03-25T00:00:00"/>
    <s v="M"/>
    <x v="1"/>
    <x v="0"/>
    <x v="0"/>
    <x v="17"/>
    <x v="3"/>
    <x v="12"/>
    <x v="1"/>
  </r>
  <r>
    <s v="TX502258"/>
    <x v="10"/>
    <x v="0"/>
    <n v="32.4"/>
    <x v="1684"/>
    <d v="2025-03-24T00:00:00"/>
    <d v="2025-03-25T00:00:00"/>
    <s v="F"/>
    <x v="0"/>
    <x v="0"/>
    <x v="0"/>
    <x v="11"/>
    <x v="3"/>
    <x v="12"/>
    <x v="2"/>
  </r>
  <r>
    <s v="TX502259"/>
    <x v="5"/>
    <x v="2"/>
    <n v="88.4"/>
    <x v="1685"/>
    <d v="2025-03-25T00:00:00"/>
    <d v="2025-03-27T00:00:00"/>
    <s v="F"/>
    <x v="1"/>
    <x v="1"/>
    <x v="0"/>
    <x v="11"/>
    <x v="1"/>
    <x v="12"/>
    <x v="2"/>
  </r>
  <r>
    <s v="TX502260"/>
    <x v="5"/>
    <x v="27"/>
    <n v="30.5"/>
    <x v="865"/>
    <d v="2025-03-25T00:00:00"/>
    <d v="2025-03-26T00:00:00"/>
    <s v="F"/>
    <x v="2"/>
    <x v="0"/>
    <x v="0"/>
    <x v="11"/>
    <x v="3"/>
    <x v="12"/>
    <x v="2"/>
  </r>
  <r>
    <s v="TX502261"/>
    <x v="1"/>
    <x v="13"/>
    <n v="38.1"/>
    <x v="1686"/>
    <d v="2025-03-25T00:00:00"/>
    <d v="2025-03-27T00:00:00"/>
    <s v="F"/>
    <x v="0"/>
    <x v="1"/>
    <x v="0"/>
    <x v="11"/>
    <x v="1"/>
    <x v="12"/>
    <x v="2"/>
  </r>
  <r>
    <s v="TX502262"/>
    <x v="10"/>
    <x v="9"/>
    <n v="37.6"/>
    <x v="885"/>
    <d v="2025-03-25T00:00:00"/>
    <d v="2025-03-29T00:00:00"/>
    <s v="M"/>
    <x v="0"/>
    <x v="0"/>
    <x v="0"/>
    <x v="11"/>
    <x v="5"/>
    <x v="12"/>
    <x v="1"/>
  </r>
  <r>
    <s v="TX502263"/>
    <x v="15"/>
    <x v="1"/>
    <n v="31.4"/>
    <x v="143"/>
    <d v="2025-03-25T00:00:00"/>
    <d v="2025-03-26T00:00:00"/>
    <s v="M"/>
    <x v="0"/>
    <x v="2"/>
    <x v="0"/>
    <x v="11"/>
    <x v="3"/>
    <x v="12"/>
    <x v="1"/>
  </r>
  <r>
    <s v="TX502264"/>
    <x v="6"/>
    <x v="1"/>
    <n v="61.5"/>
    <x v="1287"/>
    <d v="2025-03-25T00:00:00"/>
    <d v="2025-03-26T00:00:00"/>
    <s v="M"/>
    <x v="3"/>
    <x v="0"/>
    <x v="0"/>
    <x v="31"/>
    <x v="3"/>
    <x v="12"/>
    <x v="1"/>
  </r>
  <r>
    <s v="TX502265"/>
    <x v="6"/>
    <x v="0"/>
    <n v="72.599999999999994"/>
    <x v="1325"/>
    <d v="2025-03-25T00:00:00"/>
    <d v="2025-03-26T00:00:00"/>
    <s v="M"/>
    <x v="0"/>
    <x v="1"/>
    <x v="0"/>
    <x v="21"/>
    <x v="3"/>
    <x v="12"/>
    <x v="1"/>
  </r>
  <r>
    <s v="TX502266"/>
    <x v="9"/>
    <x v="2"/>
    <n v="26.9"/>
    <x v="1687"/>
    <d v="2025-03-25T00:00:00"/>
    <d v="2025-03-30T00:00:00"/>
    <s v="O"/>
    <x v="4"/>
    <x v="1"/>
    <x v="0"/>
    <x v="46"/>
    <x v="0"/>
    <x v="12"/>
    <x v="3"/>
  </r>
  <r>
    <s v="TX502267"/>
    <x v="17"/>
    <x v="4"/>
    <n v="29.4"/>
    <x v="1688"/>
    <d v="2025-03-25T00:00:00"/>
    <d v="2025-03-26T00:00:00"/>
    <s v="F"/>
    <x v="1"/>
    <x v="0"/>
    <x v="0"/>
    <x v="51"/>
    <x v="3"/>
    <x v="12"/>
    <x v="2"/>
  </r>
  <r>
    <s v="TX502268"/>
    <x v="17"/>
    <x v="1"/>
    <n v="42.1"/>
    <x v="903"/>
    <d v="2025-03-25T00:00:00"/>
    <d v="2025-03-26T00:00:00"/>
    <s v="F"/>
    <x v="3"/>
    <x v="1"/>
    <x v="0"/>
    <x v="1"/>
    <x v="3"/>
    <x v="12"/>
    <x v="2"/>
  </r>
  <r>
    <s v="TX502269"/>
    <x v="5"/>
    <x v="0"/>
    <n v="40.5"/>
    <x v="1117"/>
    <d v="2025-03-25T00:00:00"/>
    <d v="2025-03-26T00:00:00"/>
    <s v="F"/>
    <x v="2"/>
    <x v="1"/>
    <x v="0"/>
    <x v="1"/>
    <x v="3"/>
    <x v="12"/>
    <x v="2"/>
  </r>
  <r>
    <s v="TX502270"/>
    <x v="2"/>
    <x v="12"/>
    <n v="182.3"/>
    <x v="1689"/>
    <d v="2025-03-25T00:00:00"/>
    <d v="2025-03-26T00:00:00"/>
    <s v="F"/>
    <x v="1"/>
    <x v="0"/>
    <x v="0"/>
    <x v="1"/>
    <x v="3"/>
    <x v="12"/>
    <x v="2"/>
  </r>
  <r>
    <s v="TX502271"/>
    <x v="2"/>
    <x v="9"/>
    <n v="157"/>
    <x v="1690"/>
    <d v="2025-03-25T00:00:00"/>
    <d v="2025-03-28T00:00:00"/>
    <s v="F"/>
    <x v="1"/>
    <x v="2"/>
    <x v="0"/>
    <x v="2"/>
    <x v="2"/>
    <x v="12"/>
    <x v="2"/>
  </r>
  <r>
    <s v="TX502272"/>
    <x v="17"/>
    <x v="9"/>
    <n v="45.2"/>
    <x v="326"/>
    <d v="2025-03-25T00:00:00"/>
    <d v="2025-03-28T00:00:00"/>
    <s v="F"/>
    <x v="1"/>
    <x v="0"/>
    <x v="0"/>
    <x v="22"/>
    <x v="2"/>
    <x v="12"/>
    <x v="2"/>
  </r>
  <r>
    <s v="TX502273"/>
    <x v="15"/>
    <x v="12"/>
    <n v="27.4"/>
    <x v="1239"/>
    <d v="2025-03-25T00:00:00"/>
    <d v="2025-03-27T00:00:00"/>
    <s v="F"/>
    <x v="0"/>
    <x v="0"/>
    <x v="0"/>
    <x v="3"/>
    <x v="1"/>
    <x v="12"/>
    <x v="2"/>
  </r>
  <r>
    <s v="TX502274"/>
    <x v="5"/>
    <x v="9"/>
    <n v="34.1"/>
    <x v="1691"/>
    <d v="2025-03-25T00:00:00"/>
    <d v="2025-03-27T00:00:00"/>
    <s v="M"/>
    <x v="0"/>
    <x v="2"/>
    <x v="0"/>
    <x v="3"/>
    <x v="1"/>
    <x v="12"/>
    <x v="1"/>
  </r>
  <r>
    <s v="TX502275"/>
    <x v="0"/>
    <x v="1"/>
    <n v="26"/>
    <x v="1692"/>
    <d v="2025-03-25T00:00:00"/>
    <d v="2025-03-27T00:00:00"/>
    <s v="M"/>
    <x v="2"/>
    <x v="1"/>
    <x v="0"/>
    <x v="3"/>
    <x v="1"/>
    <x v="12"/>
    <x v="1"/>
  </r>
  <r>
    <s v="TX502276"/>
    <x v="8"/>
    <x v="3"/>
    <n v="19.399999999999999"/>
    <x v="1693"/>
    <d v="2025-03-25T00:00:00"/>
    <d v="2025-03-27T00:00:00"/>
    <s v=""/>
    <x v="1"/>
    <x v="1"/>
    <x v="0"/>
    <x v="3"/>
    <x v="1"/>
    <x v="12"/>
    <x v="0"/>
  </r>
  <r>
    <s v="TX502277"/>
    <x v="16"/>
    <x v="2"/>
    <n v="30.3"/>
    <x v="407"/>
    <d v="2025-03-25T00:00:00"/>
    <d v="2025-03-28T00:00:00"/>
    <s v="F"/>
    <x v="1"/>
    <x v="2"/>
    <x v="0"/>
    <x v="3"/>
    <x v="2"/>
    <x v="12"/>
    <x v="2"/>
  </r>
  <r>
    <s v="TX502278"/>
    <x v="2"/>
    <x v="2"/>
    <n v="101.4"/>
    <x v="1694"/>
    <d v="2025-03-25T00:00:00"/>
    <d v="2025-03-26T00:00:00"/>
    <s v="M"/>
    <x v="0"/>
    <x v="0"/>
    <x v="0"/>
    <x v="3"/>
    <x v="3"/>
    <x v="12"/>
    <x v="1"/>
  </r>
  <r>
    <s v="TX502279"/>
    <x v="3"/>
    <x v="9"/>
    <n v="55.5"/>
    <x v="819"/>
    <d v="2025-03-25T00:00:00"/>
    <d v="2025-03-28T00:00:00"/>
    <s v="M"/>
    <x v="1"/>
    <x v="0"/>
    <x v="0"/>
    <x v="24"/>
    <x v="2"/>
    <x v="12"/>
    <x v="1"/>
  </r>
  <r>
    <s v="TX502280"/>
    <x v="8"/>
    <x v="0"/>
    <n v="23.1"/>
    <x v="1695"/>
    <d v="2025-03-25T00:00:00"/>
    <d v="2025-03-26T00:00:00"/>
    <s v="M"/>
    <x v="0"/>
    <x v="0"/>
    <x v="0"/>
    <x v="25"/>
    <x v="3"/>
    <x v="12"/>
    <x v="1"/>
  </r>
  <r>
    <s v="TX502281"/>
    <x v="18"/>
    <x v="1"/>
    <n v="38.9"/>
    <x v="482"/>
    <d v="2025-03-25T00:00:00"/>
    <d v="2025-03-26T00:00:00"/>
    <s v="M"/>
    <x v="2"/>
    <x v="0"/>
    <x v="0"/>
    <x v="25"/>
    <x v="3"/>
    <x v="12"/>
    <x v="1"/>
  </r>
  <r>
    <s v="TX502282"/>
    <x v="6"/>
    <x v="11"/>
    <n v="116.3"/>
    <x v="1696"/>
    <d v="2025-03-25T00:00:00"/>
    <d v="2025-03-29T00:00:00"/>
    <s v="F"/>
    <x v="0"/>
    <x v="0"/>
    <x v="0"/>
    <x v="5"/>
    <x v="5"/>
    <x v="12"/>
    <x v="2"/>
  </r>
  <r>
    <s v="TX502283"/>
    <x v="16"/>
    <x v="11"/>
    <n v="64.099999999999994"/>
    <x v="1697"/>
    <d v="2025-03-25T00:00:00"/>
    <d v="2025-03-25T00:00:00"/>
    <s v="F"/>
    <x v="0"/>
    <x v="2"/>
    <x v="0"/>
    <x v="6"/>
    <x v="7"/>
    <x v="12"/>
    <x v="2"/>
  </r>
  <r>
    <s v="TX502284"/>
    <x v="2"/>
    <x v="13"/>
    <n v="109.2"/>
    <x v="1698"/>
    <d v="2025-03-25T00:00:00"/>
    <d v="2025-03-27T00:00:00"/>
    <s v="M"/>
    <x v="0"/>
    <x v="1"/>
    <x v="0"/>
    <x v="8"/>
    <x v="1"/>
    <x v="12"/>
    <x v="1"/>
  </r>
  <r>
    <s v="TX502285"/>
    <x v="10"/>
    <x v="9"/>
    <n v="23.2"/>
    <x v="1699"/>
    <d v="2025-03-26T00:00:00"/>
    <d v="2025-03-27T00:00:00"/>
    <s v="M"/>
    <x v="0"/>
    <x v="1"/>
    <x v="0"/>
    <x v="8"/>
    <x v="3"/>
    <x v="12"/>
    <x v="1"/>
  </r>
  <r>
    <s v="TX502286"/>
    <x v="18"/>
    <x v="13"/>
    <n v="81.2"/>
    <x v="1700"/>
    <d v="2025-03-26T00:00:00"/>
    <d v="2025-03-28T00:00:00"/>
    <s v="M"/>
    <x v="2"/>
    <x v="2"/>
    <x v="0"/>
    <x v="8"/>
    <x v="1"/>
    <x v="12"/>
    <x v="1"/>
  </r>
  <r>
    <s v="TX502287"/>
    <x v="1"/>
    <x v="21"/>
    <n v="35.700000000000003"/>
    <x v="1701"/>
    <d v="2025-03-26T00:00:00"/>
    <d v="2025-03-27T00:00:00"/>
    <s v="M"/>
    <x v="3"/>
    <x v="0"/>
    <x v="0"/>
    <x v="8"/>
    <x v="3"/>
    <x v="12"/>
    <x v="1"/>
  </r>
  <r>
    <s v="TX502288"/>
    <x v="7"/>
    <x v="1"/>
    <n v="44.5"/>
    <x v="1702"/>
    <d v="2025-03-26T00:00:00"/>
    <d v="2025-03-29T00:00:00"/>
    <s v="M"/>
    <x v="4"/>
    <x v="0"/>
    <x v="0"/>
    <x v="9"/>
    <x v="2"/>
    <x v="12"/>
    <x v="1"/>
  </r>
  <r>
    <s v="TX502289"/>
    <x v="1"/>
    <x v="9"/>
    <n v="32"/>
    <x v="444"/>
    <d v="2025-03-26T00:00:00"/>
    <d v="2025-03-28T00:00:00"/>
    <s v="O"/>
    <x v="1"/>
    <x v="1"/>
    <x v="0"/>
    <x v="9"/>
    <x v="1"/>
    <x v="12"/>
    <x v="3"/>
  </r>
  <r>
    <s v="TX502290"/>
    <x v="8"/>
    <x v="0"/>
    <n v="25.7"/>
    <x v="1703"/>
    <d v="2025-03-26T00:00:00"/>
    <d v="2025-03-27T00:00:00"/>
    <s v="M"/>
    <x v="0"/>
    <x v="0"/>
    <x v="0"/>
    <x v="10"/>
    <x v="3"/>
    <x v="12"/>
    <x v="1"/>
  </r>
  <r>
    <s v="TX502291"/>
    <x v="16"/>
    <x v="2"/>
    <n v="65.599999999999994"/>
    <x v="487"/>
    <d v="2025-03-26T00:00:00"/>
    <d v="2025-04-01T00:00:00"/>
    <s v="M"/>
    <x v="0"/>
    <x v="0"/>
    <x v="0"/>
    <x v="11"/>
    <x v="4"/>
    <x v="12"/>
    <x v="1"/>
  </r>
  <r>
    <s v="TX502292"/>
    <x v="1"/>
    <x v="12"/>
    <n v="52.1"/>
    <x v="1704"/>
    <d v="2025-03-26T00:00:00"/>
    <d v="2025-03-27T00:00:00"/>
    <s v="F"/>
    <x v="0"/>
    <x v="2"/>
    <x v="0"/>
    <x v="11"/>
    <x v="3"/>
    <x v="12"/>
    <x v="2"/>
  </r>
  <r>
    <s v="TX502293"/>
    <x v="8"/>
    <x v="0"/>
    <n v="31"/>
    <x v="1705"/>
    <d v="2025-03-26T00:00:00"/>
    <d v="2025-03-27T00:00:00"/>
    <s v="M"/>
    <x v="0"/>
    <x v="1"/>
    <x v="0"/>
    <x v="19"/>
    <x v="3"/>
    <x v="12"/>
    <x v="1"/>
  </r>
  <r>
    <s v="TX502294"/>
    <x v="8"/>
    <x v="0"/>
    <n v="32"/>
    <x v="109"/>
    <d v="2025-03-26T00:00:00"/>
    <d v="2025-03-28T00:00:00"/>
    <s v="O"/>
    <x v="3"/>
    <x v="1"/>
    <x v="0"/>
    <x v="31"/>
    <x v="1"/>
    <x v="12"/>
    <x v="3"/>
  </r>
  <r>
    <s v="TX502295"/>
    <x v="16"/>
    <x v="12"/>
    <n v="58.3"/>
    <x v="1706"/>
    <d v="2025-03-26T00:00:00"/>
    <d v="2025-03-30T00:00:00"/>
    <s v="M"/>
    <x v="1"/>
    <x v="4"/>
    <x v="0"/>
    <x v="20"/>
    <x v="5"/>
    <x v="12"/>
    <x v="1"/>
  </r>
  <r>
    <s v="TX502296"/>
    <x v="8"/>
    <x v="2"/>
    <n v="31"/>
    <x v="1707"/>
    <d v="2025-03-26T00:00:00"/>
    <d v="2025-03-28T00:00:00"/>
    <s v="F"/>
    <x v="2"/>
    <x v="4"/>
    <x v="0"/>
    <x v="13"/>
    <x v="1"/>
    <x v="12"/>
    <x v="2"/>
  </r>
  <r>
    <s v="TX502297"/>
    <x v="3"/>
    <x v="0"/>
    <n v="40.299999999999997"/>
    <x v="518"/>
    <d v="2025-03-26T00:00:00"/>
    <d v="2025-03-27T00:00:00"/>
    <s v="M"/>
    <x v="1"/>
    <x v="2"/>
    <x v="0"/>
    <x v="54"/>
    <x v="3"/>
    <x v="12"/>
    <x v="1"/>
  </r>
  <r>
    <s v="TX502298"/>
    <x v="6"/>
    <x v="2"/>
    <n v="47.3"/>
    <x v="1708"/>
    <d v="2025-03-26T00:00:00"/>
    <d v="2025-03-28T00:00:00"/>
    <s v="M"/>
    <x v="4"/>
    <x v="2"/>
    <x v="0"/>
    <x v="2"/>
    <x v="1"/>
    <x v="12"/>
    <x v="1"/>
  </r>
  <r>
    <s v="TX502299"/>
    <x v="2"/>
    <x v="0"/>
    <n v="82.8"/>
    <x v="1182"/>
    <d v="2025-03-26T00:00:00"/>
    <d v="2025-03-27T00:00:00"/>
    <s v="M"/>
    <x v="0"/>
    <x v="0"/>
    <x v="0"/>
    <x v="2"/>
    <x v="3"/>
    <x v="12"/>
    <x v="1"/>
  </r>
  <r>
    <s v="TX502300"/>
    <x v="8"/>
    <x v="0"/>
    <n v="18.5"/>
    <x v="1709"/>
    <d v="2025-03-26T00:00:00"/>
    <d v="2025-04-09T00:00:00"/>
    <s v="F"/>
    <x v="0"/>
    <x v="0"/>
    <x v="0"/>
    <x v="44"/>
    <x v="12"/>
    <x v="12"/>
    <x v="2"/>
  </r>
  <r>
    <s v="TX502301"/>
    <x v="3"/>
    <x v="1"/>
    <n v="60.4"/>
    <x v="1710"/>
    <d v="2025-03-26T00:00:00"/>
    <d v="2025-03-27T00:00:00"/>
    <s v="M"/>
    <x v="2"/>
    <x v="0"/>
    <x v="0"/>
    <x v="22"/>
    <x v="3"/>
    <x v="12"/>
    <x v="1"/>
  </r>
  <r>
    <s v="TX502302"/>
    <x v="6"/>
    <x v="9"/>
    <n v="80.2"/>
    <x v="1711"/>
    <d v="2025-03-26T00:00:00"/>
    <d v="2025-04-02T00:00:00"/>
    <s v="M"/>
    <x v="1"/>
    <x v="1"/>
    <x v="0"/>
    <x v="50"/>
    <x v="6"/>
    <x v="12"/>
    <x v="1"/>
  </r>
  <r>
    <s v="TX502303"/>
    <x v="4"/>
    <x v="0"/>
    <n v="41.5"/>
    <x v="1712"/>
    <d v="2025-03-26T00:00:00"/>
    <d v="2025-03-28T00:00:00"/>
    <s v="M"/>
    <x v="2"/>
    <x v="0"/>
    <x v="0"/>
    <x v="3"/>
    <x v="1"/>
    <x v="12"/>
    <x v="1"/>
  </r>
  <r>
    <s v="TX502304"/>
    <x v="2"/>
    <x v="1"/>
    <n v="83.9"/>
    <x v="1713"/>
    <d v="2025-03-26T00:00:00"/>
    <d v="2025-03-29T00:00:00"/>
    <s v="F"/>
    <x v="0"/>
    <x v="0"/>
    <x v="0"/>
    <x v="3"/>
    <x v="2"/>
    <x v="12"/>
    <x v="2"/>
  </r>
  <r>
    <s v="TX502305"/>
    <x v="8"/>
    <x v="1"/>
    <n v="16.7"/>
    <x v="1417"/>
    <d v="2025-03-26T00:00:00"/>
    <d v="2025-03-30T00:00:00"/>
    <s v="F"/>
    <x v="0"/>
    <x v="1"/>
    <x v="0"/>
    <x v="3"/>
    <x v="5"/>
    <x v="12"/>
    <x v="2"/>
  </r>
  <r>
    <s v="TX502306"/>
    <x v="9"/>
    <x v="1"/>
    <n v="72.900000000000006"/>
    <x v="1626"/>
    <d v="2025-03-26T00:00:00"/>
    <d v="2025-03-27T00:00:00"/>
    <s v="M"/>
    <x v="2"/>
    <x v="1"/>
    <x v="0"/>
    <x v="3"/>
    <x v="3"/>
    <x v="12"/>
    <x v="1"/>
  </r>
  <r>
    <s v="TX502307"/>
    <x v="5"/>
    <x v="1"/>
    <n v="50.2"/>
    <x v="862"/>
    <d v="2025-03-26T00:00:00"/>
    <d v="2025-03-28T00:00:00"/>
    <s v="F"/>
    <x v="1"/>
    <x v="2"/>
    <x v="0"/>
    <x v="3"/>
    <x v="1"/>
    <x v="12"/>
    <x v="2"/>
  </r>
  <r>
    <s v="TX502308"/>
    <x v="3"/>
    <x v="1"/>
    <n v="34.200000000000003"/>
    <x v="1714"/>
    <d v="2025-03-26T00:00:00"/>
    <d v="2025-04-05T00:00:00"/>
    <s v=""/>
    <x v="1"/>
    <x v="0"/>
    <x v="0"/>
    <x v="3"/>
    <x v="14"/>
    <x v="12"/>
    <x v="0"/>
  </r>
  <r>
    <s v="TX502309"/>
    <x v="5"/>
    <x v="1"/>
    <n v="107.9"/>
    <x v="1715"/>
    <d v="2025-03-26T00:00:00"/>
    <d v="2025-03-26T00:00:00"/>
    <s v="M"/>
    <x v="1"/>
    <x v="4"/>
    <x v="0"/>
    <x v="3"/>
    <x v="7"/>
    <x v="12"/>
    <x v="1"/>
  </r>
  <r>
    <s v="TX502310"/>
    <x v="0"/>
    <x v="2"/>
    <n v="17.5"/>
    <x v="413"/>
    <d v="2025-03-26T00:00:00"/>
    <d v="2025-03-28T00:00:00"/>
    <s v="M"/>
    <x v="4"/>
    <x v="0"/>
    <x v="0"/>
    <x v="3"/>
    <x v="1"/>
    <x v="12"/>
    <x v="1"/>
  </r>
  <r>
    <s v="TX502311"/>
    <x v="13"/>
    <x v="20"/>
    <n v="44.7"/>
    <x v="1716"/>
    <d v="2025-03-26T00:00:00"/>
    <d v="2025-03-27T00:00:00"/>
    <s v="M"/>
    <x v="0"/>
    <x v="1"/>
    <x v="0"/>
    <x v="3"/>
    <x v="3"/>
    <x v="12"/>
    <x v="1"/>
  </r>
  <r>
    <s v="TX502312"/>
    <x v="12"/>
    <x v="13"/>
    <n v="92.7"/>
    <x v="1717"/>
    <d v="2025-03-26T00:00:00"/>
    <d v="2025-03-28T00:00:00"/>
    <s v="F"/>
    <x v="2"/>
    <x v="1"/>
    <x v="0"/>
    <x v="3"/>
    <x v="1"/>
    <x v="12"/>
    <x v="2"/>
  </r>
  <r>
    <s v="TX502313"/>
    <x v="7"/>
    <x v="2"/>
    <n v="48.8"/>
    <x v="1718"/>
    <d v="2025-03-26T00:00:00"/>
    <d v="2025-03-28T00:00:00"/>
    <s v="F"/>
    <x v="2"/>
    <x v="0"/>
    <x v="0"/>
    <x v="3"/>
    <x v="1"/>
    <x v="12"/>
    <x v="2"/>
  </r>
  <r>
    <s v="TX502314"/>
    <x v="4"/>
    <x v="27"/>
    <n v="21.3"/>
    <x v="1153"/>
    <d v="2025-03-26T00:00:00"/>
    <d v="2025-03-30T00:00:00"/>
    <s v="F"/>
    <x v="3"/>
    <x v="3"/>
    <x v="0"/>
    <x v="3"/>
    <x v="5"/>
    <x v="12"/>
    <x v="2"/>
  </r>
  <r>
    <s v="TX502315"/>
    <x v="16"/>
    <x v="0"/>
    <n v="52.5"/>
    <x v="413"/>
    <d v="2025-03-26T00:00:00"/>
    <d v="2025-03-27T00:00:00"/>
    <s v="F"/>
    <x v="0"/>
    <x v="0"/>
    <x v="0"/>
    <x v="3"/>
    <x v="3"/>
    <x v="12"/>
    <x v="2"/>
  </r>
  <r>
    <s v="TX502316"/>
    <x v="1"/>
    <x v="1"/>
    <n v="92.4"/>
    <x v="827"/>
    <d v="2025-03-26T00:00:00"/>
    <d v="2025-04-01T00:00:00"/>
    <s v="F"/>
    <x v="0"/>
    <x v="2"/>
    <x v="0"/>
    <x v="3"/>
    <x v="4"/>
    <x v="12"/>
    <x v="2"/>
  </r>
  <r>
    <s v="TX502317"/>
    <x v="4"/>
    <x v="5"/>
    <n v="58.3"/>
    <x v="1719"/>
    <d v="2025-03-26T00:00:00"/>
    <d v="2025-03-28T00:00:00"/>
    <s v="M"/>
    <x v="1"/>
    <x v="2"/>
    <x v="0"/>
    <x v="3"/>
    <x v="1"/>
    <x v="12"/>
    <x v="1"/>
  </r>
  <r>
    <s v="TX502318"/>
    <x v="6"/>
    <x v="44"/>
    <n v="152.6"/>
    <x v="1720"/>
    <d v="2025-03-27T00:00:00"/>
    <d v="2025-03-29T00:00:00"/>
    <s v=""/>
    <x v="0"/>
    <x v="0"/>
    <x v="0"/>
    <x v="3"/>
    <x v="1"/>
    <x v="12"/>
    <x v="0"/>
  </r>
  <r>
    <s v="TX502319"/>
    <x v="8"/>
    <x v="1"/>
    <n v="26"/>
    <x v="1692"/>
    <d v="2025-03-27T00:00:00"/>
    <d v="2025-03-27T00:00:00"/>
    <s v=""/>
    <x v="0"/>
    <x v="1"/>
    <x v="0"/>
    <x v="3"/>
    <x v="7"/>
    <x v="12"/>
    <x v="0"/>
  </r>
  <r>
    <s v="TX502320"/>
    <x v="1"/>
    <x v="12"/>
    <n v="33.1"/>
    <x v="979"/>
    <d v="2025-03-27T00:00:00"/>
    <d v="2025-03-27T00:00:00"/>
    <s v="M"/>
    <x v="2"/>
    <x v="4"/>
    <x v="0"/>
    <x v="5"/>
    <x v="7"/>
    <x v="12"/>
    <x v="1"/>
  </r>
  <r>
    <s v="TX502321"/>
    <x v="18"/>
    <x v="0"/>
    <n v="51.4"/>
    <x v="1045"/>
    <d v="2025-03-27T00:00:00"/>
    <d v="2025-03-29T00:00:00"/>
    <s v="F"/>
    <x v="1"/>
    <x v="1"/>
    <x v="0"/>
    <x v="5"/>
    <x v="1"/>
    <x v="12"/>
    <x v="2"/>
  </r>
  <r>
    <s v="TX502322"/>
    <x v="8"/>
    <x v="1"/>
    <n v="30.2"/>
    <x v="266"/>
    <d v="2025-03-27T00:00:00"/>
    <d v="2025-03-28T00:00:00"/>
    <s v="F"/>
    <x v="2"/>
    <x v="2"/>
    <x v="0"/>
    <x v="6"/>
    <x v="3"/>
    <x v="12"/>
    <x v="2"/>
  </r>
  <r>
    <s v="TX502323"/>
    <x v="2"/>
    <x v="13"/>
    <n v="97"/>
    <x v="1544"/>
    <d v="2025-03-27T00:00:00"/>
    <d v="2025-03-31T00:00:00"/>
    <s v="F"/>
    <x v="0"/>
    <x v="2"/>
    <x v="0"/>
    <x v="7"/>
    <x v="5"/>
    <x v="12"/>
    <x v="2"/>
  </r>
  <r>
    <s v="TX502324"/>
    <x v="2"/>
    <x v="0"/>
    <n v="76.900000000000006"/>
    <x v="1721"/>
    <d v="2025-03-27T00:00:00"/>
    <d v="2025-03-28T00:00:00"/>
    <s v="M"/>
    <x v="1"/>
    <x v="2"/>
    <x v="0"/>
    <x v="8"/>
    <x v="3"/>
    <x v="12"/>
    <x v="1"/>
  </r>
  <r>
    <s v="TX502325"/>
    <x v="7"/>
    <x v="13"/>
    <n v="36.1"/>
    <x v="1722"/>
    <d v="2025-03-27T00:00:00"/>
    <d v="2025-03-31T00:00:00"/>
    <s v="F"/>
    <x v="0"/>
    <x v="0"/>
    <x v="0"/>
    <x v="8"/>
    <x v="5"/>
    <x v="12"/>
    <x v="2"/>
  </r>
  <r>
    <s v="TX502326"/>
    <x v="1"/>
    <x v="3"/>
    <n v="34.4"/>
    <x v="1723"/>
    <d v="2025-03-27T00:00:00"/>
    <d v="2025-03-27T00:00:00"/>
    <s v="F"/>
    <x v="2"/>
    <x v="1"/>
    <x v="0"/>
    <x v="11"/>
    <x v="7"/>
    <x v="12"/>
    <x v="2"/>
  </r>
  <r>
    <s v="TX502327"/>
    <x v="1"/>
    <x v="31"/>
    <n v="53.4"/>
    <x v="1724"/>
    <d v="2025-03-27T00:00:00"/>
    <d v="2025-03-29T00:00:00"/>
    <s v="F"/>
    <x v="1"/>
    <x v="0"/>
    <x v="0"/>
    <x v="18"/>
    <x v="1"/>
    <x v="12"/>
    <x v="2"/>
  </r>
  <r>
    <s v="TX502328"/>
    <x v="2"/>
    <x v="0"/>
    <n v="77.599999999999994"/>
    <x v="1598"/>
    <d v="2025-03-27T00:00:00"/>
    <d v="2025-03-28T00:00:00"/>
    <s v="F"/>
    <x v="0"/>
    <x v="1"/>
    <x v="0"/>
    <x v="19"/>
    <x v="3"/>
    <x v="12"/>
    <x v="2"/>
  </r>
  <r>
    <s v="TX502329"/>
    <x v="1"/>
    <x v="2"/>
    <n v="71.7"/>
    <x v="1725"/>
    <d v="2025-03-27T00:00:00"/>
    <d v="2025-03-30T00:00:00"/>
    <s v="F"/>
    <x v="1"/>
    <x v="0"/>
    <x v="0"/>
    <x v="19"/>
    <x v="2"/>
    <x v="12"/>
    <x v="2"/>
  </r>
  <r>
    <s v="TX502330"/>
    <x v="3"/>
    <x v="2"/>
    <n v="80.599999999999994"/>
    <x v="1726"/>
    <d v="2025-03-27T00:00:00"/>
    <d v="2025-03-28T00:00:00"/>
    <s v="M"/>
    <x v="4"/>
    <x v="1"/>
    <x v="0"/>
    <x v="19"/>
    <x v="3"/>
    <x v="12"/>
    <x v="1"/>
  </r>
  <r>
    <s v="TX502331"/>
    <x v="1"/>
    <x v="20"/>
    <n v="70"/>
    <x v="1727"/>
    <d v="2025-03-27T00:00:00"/>
    <d v="2025-03-29T00:00:00"/>
    <s v="M"/>
    <x v="0"/>
    <x v="0"/>
    <x v="0"/>
    <x v="20"/>
    <x v="1"/>
    <x v="12"/>
    <x v="1"/>
  </r>
  <r>
    <s v="TX502332"/>
    <x v="4"/>
    <x v="13"/>
    <n v="27.3"/>
    <x v="1728"/>
    <d v="2025-03-27T00:00:00"/>
    <d v="2025-03-29T00:00:00"/>
    <s v="F"/>
    <x v="1"/>
    <x v="1"/>
    <x v="0"/>
    <x v="2"/>
    <x v="1"/>
    <x v="12"/>
    <x v="2"/>
  </r>
  <r>
    <s v="TX502333"/>
    <x v="8"/>
    <x v="21"/>
    <n v="37.6"/>
    <x v="1729"/>
    <d v="2025-03-27T00:00:00"/>
    <d v="2025-03-29T00:00:00"/>
    <s v="M"/>
    <x v="1"/>
    <x v="0"/>
    <x v="0"/>
    <x v="3"/>
    <x v="1"/>
    <x v="12"/>
    <x v="1"/>
  </r>
  <r>
    <s v="TX502334"/>
    <x v="5"/>
    <x v="2"/>
    <n v="36.6"/>
    <x v="17"/>
    <d v="2025-03-27T00:00:00"/>
    <d v="2025-03-29T00:00:00"/>
    <s v="F"/>
    <x v="4"/>
    <x v="0"/>
    <x v="0"/>
    <x v="3"/>
    <x v="1"/>
    <x v="12"/>
    <x v="2"/>
  </r>
  <r>
    <s v="TX502335"/>
    <x v="13"/>
    <x v="0"/>
    <n v="55.2"/>
    <x v="291"/>
    <d v="2025-03-27T00:00:00"/>
    <d v="2025-03-29T00:00:00"/>
    <s v="M"/>
    <x v="3"/>
    <x v="0"/>
    <x v="0"/>
    <x v="3"/>
    <x v="1"/>
    <x v="12"/>
    <x v="1"/>
  </r>
  <r>
    <s v="TX502336"/>
    <x v="6"/>
    <x v="9"/>
    <n v="59.9"/>
    <x v="1444"/>
    <d v="2025-03-27T00:00:00"/>
    <d v="2025-03-29T00:00:00"/>
    <s v="M"/>
    <x v="0"/>
    <x v="0"/>
    <x v="0"/>
    <x v="3"/>
    <x v="1"/>
    <x v="12"/>
    <x v="1"/>
  </r>
  <r>
    <s v="TX502337"/>
    <x v="6"/>
    <x v="0"/>
    <n v="44"/>
    <x v="945"/>
    <d v="2025-03-27T00:00:00"/>
    <d v="2025-03-28T00:00:00"/>
    <s v="F"/>
    <x v="2"/>
    <x v="2"/>
    <x v="0"/>
    <x v="3"/>
    <x v="3"/>
    <x v="12"/>
    <x v="2"/>
  </r>
  <r>
    <s v="TX502338"/>
    <x v="9"/>
    <x v="1"/>
    <n v="68.7"/>
    <x v="1730"/>
    <d v="2025-03-27T00:00:00"/>
    <d v="2025-03-27T00:00:00"/>
    <s v="M"/>
    <x v="0"/>
    <x v="0"/>
    <x v="0"/>
    <x v="3"/>
    <x v="7"/>
    <x v="12"/>
    <x v="1"/>
  </r>
  <r>
    <s v="TX502339"/>
    <x v="5"/>
    <x v="1"/>
    <n v="61.6"/>
    <x v="1432"/>
    <d v="2025-03-27T00:00:00"/>
    <d v="2025-03-31T00:00:00"/>
    <s v="M"/>
    <x v="3"/>
    <x v="1"/>
    <x v="0"/>
    <x v="3"/>
    <x v="5"/>
    <x v="12"/>
    <x v="1"/>
  </r>
  <r>
    <s v="TX502340"/>
    <x v="7"/>
    <x v="3"/>
    <n v="51.8"/>
    <x v="1731"/>
    <d v="2025-03-27T00:00:00"/>
    <d v="2025-03-28T00:00:00"/>
    <s v="M"/>
    <x v="0"/>
    <x v="0"/>
    <x v="0"/>
    <x v="3"/>
    <x v="3"/>
    <x v="12"/>
    <x v="1"/>
  </r>
  <r>
    <s v="TX502341"/>
    <x v="8"/>
    <x v="7"/>
    <n v="46.2"/>
    <x v="1236"/>
    <d v="2025-03-27T00:00:00"/>
    <d v="2025-03-29T00:00:00"/>
    <s v="M"/>
    <x v="1"/>
    <x v="2"/>
    <x v="0"/>
    <x v="3"/>
    <x v="1"/>
    <x v="12"/>
    <x v="1"/>
  </r>
  <r>
    <s v="TX502342"/>
    <x v="0"/>
    <x v="1"/>
    <n v="19.399999999999999"/>
    <x v="1732"/>
    <d v="2025-03-27T00:00:00"/>
    <d v="2025-03-29T00:00:00"/>
    <s v="F"/>
    <x v="1"/>
    <x v="2"/>
    <x v="0"/>
    <x v="6"/>
    <x v="1"/>
    <x v="12"/>
    <x v="2"/>
  </r>
  <r>
    <s v="TX502343"/>
    <x v="11"/>
    <x v="2"/>
    <n v="52.1"/>
    <x v="1733"/>
    <d v="2025-03-27T00:00:00"/>
    <d v="2025-03-30T00:00:00"/>
    <s v="M"/>
    <x v="3"/>
    <x v="3"/>
    <x v="0"/>
    <x v="6"/>
    <x v="2"/>
    <x v="12"/>
    <x v="1"/>
  </r>
  <r>
    <s v="TX502344"/>
    <x v="6"/>
    <x v="0"/>
    <n v="74.900000000000006"/>
    <x v="1734"/>
    <d v="2025-03-27T00:00:00"/>
    <d v="2025-03-29T00:00:00"/>
    <s v="O"/>
    <x v="0"/>
    <x v="0"/>
    <x v="0"/>
    <x v="7"/>
    <x v="1"/>
    <x v="12"/>
    <x v="3"/>
  </r>
  <r>
    <s v="TX502345"/>
    <x v="9"/>
    <x v="3"/>
    <n v="49.6"/>
    <x v="1735"/>
    <d v="2025-03-27T00:00:00"/>
    <d v="2025-03-30T00:00:00"/>
    <s v="F"/>
    <x v="4"/>
    <x v="0"/>
    <x v="0"/>
    <x v="8"/>
    <x v="2"/>
    <x v="12"/>
    <x v="2"/>
  </r>
  <r>
    <s v="TX502346"/>
    <x v="16"/>
    <x v="12"/>
    <n v="82.8"/>
    <x v="1736"/>
    <d v="2025-03-28T00:00:00"/>
    <d v="2025-03-31T00:00:00"/>
    <s v="F"/>
    <x v="4"/>
    <x v="0"/>
    <x v="0"/>
    <x v="8"/>
    <x v="2"/>
    <x v="12"/>
    <x v="2"/>
  </r>
  <r>
    <s v="TX502347"/>
    <x v="2"/>
    <x v="0"/>
    <n v="97.7"/>
    <x v="68"/>
    <d v="2025-03-28T00:00:00"/>
    <d v="2025-03-29T00:00:00"/>
    <s v="F"/>
    <x v="1"/>
    <x v="0"/>
    <x v="0"/>
    <x v="8"/>
    <x v="3"/>
    <x v="12"/>
    <x v="2"/>
  </r>
  <r>
    <s v="TX502348"/>
    <x v="6"/>
    <x v="9"/>
    <n v="83.6"/>
    <x v="378"/>
    <d v="2025-03-28T00:00:00"/>
    <d v="2025-03-29T00:00:00"/>
    <s v="F"/>
    <x v="4"/>
    <x v="0"/>
    <x v="0"/>
    <x v="8"/>
    <x v="3"/>
    <x v="12"/>
    <x v="2"/>
  </r>
  <r>
    <s v="TX502349"/>
    <x v="8"/>
    <x v="9"/>
    <n v="23.5"/>
    <x v="1737"/>
    <d v="2025-03-28T00:00:00"/>
    <d v="2025-04-01T00:00:00"/>
    <s v="O"/>
    <x v="0"/>
    <x v="0"/>
    <x v="0"/>
    <x v="8"/>
    <x v="5"/>
    <x v="12"/>
    <x v="3"/>
  </r>
  <r>
    <s v="TX502350"/>
    <x v="9"/>
    <x v="2"/>
    <n v="44.6"/>
    <x v="981"/>
    <d v="2025-03-28T00:00:00"/>
    <d v="2025-03-31T00:00:00"/>
    <s v="F"/>
    <x v="4"/>
    <x v="1"/>
    <x v="0"/>
    <x v="26"/>
    <x v="2"/>
    <x v="12"/>
    <x v="2"/>
  </r>
  <r>
    <s v="TX502351"/>
    <x v="0"/>
    <x v="2"/>
    <n v="20.100000000000001"/>
    <x v="1738"/>
    <d v="2025-03-28T00:00:00"/>
    <d v="2025-03-30T00:00:00"/>
    <s v="F"/>
    <x v="3"/>
    <x v="4"/>
    <x v="0"/>
    <x v="11"/>
    <x v="1"/>
    <x v="12"/>
    <x v="2"/>
  </r>
  <r>
    <s v="TX502352"/>
    <x v="2"/>
    <x v="9"/>
    <n v="153.6"/>
    <x v="1739"/>
    <d v="2025-03-28T00:00:00"/>
    <d v="2025-03-29T00:00:00"/>
    <s v="F"/>
    <x v="1"/>
    <x v="2"/>
    <x v="0"/>
    <x v="53"/>
    <x v="3"/>
    <x v="12"/>
    <x v="2"/>
  </r>
  <r>
    <s v="TX502353"/>
    <x v="1"/>
    <x v="1"/>
    <n v="71.8"/>
    <x v="897"/>
    <d v="2025-03-28T00:00:00"/>
    <d v="2025-04-01T00:00:00"/>
    <s v="F"/>
    <x v="1"/>
    <x v="0"/>
    <x v="0"/>
    <x v="1"/>
    <x v="5"/>
    <x v="12"/>
    <x v="2"/>
  </r>
  <r>
    <s v="TX502354"/>
    <x v="10"/>
    <x v="0"/>
    <n v="64.7"/>
    <x v="1740"/>
    <d v="2025-03-28T00:00:00"/>
    <d v="2025-03-30T00:00:00"/>
    <s v=""/>
    <x v="0"/>
    <x v="1"/>
    <x v="0"/>
    <x v="1"/>
    <x v="1"/>
    <x v="12"/>
    <x v="0"/>
  </r>
  <r>
    <s v="TX502355"/>
    <x v="9"/>
    <x v="8"/>
    <n v="60.4"/>
    <x v="1741"/>
    <d v="2025-03-28T00:00:00"/>
    <d v="2025-03-30T00:00:00"/>
    <s v="F"/>
    <x v="3"/>
    <x v="2"/>
    <x v="0"/>
    <x v="2"/>
    <x v="1"/>
    <x v="12"/>
    <x v="2"/>
  </r>
  <r>
    <s v="TX502356"/>
    <x v="6"/>
    <x v="12"/>
    <n v="86"/>
    <x v="1213"/>
    <d v="2025-03-28T00:00:00"/>
    <d v="2025-03-31T00:00:00"/>
    <s v="F"/>
    <x v="2"/>
    <x v="2"/>
    <x v="0"/>
    <x v="22"/>
    <x v="2"/>
    <x v="12"/>
    <x v="2"/>
  </r>
  <r>
    <s v="TX502357"/>
    <x v="12"/>
    <x v="1"/>
    <n v="42.1"/>
    <x v="903"/>
    <d v="2025-03-28T00:00:00"/>
    <d v="2025-03-29T00:00:00"/>
    <s v="F"/>
    <x v="4"/>
    <x v="1"/>
    <x v="0"/>
    <x v="34"/>
    <x v="3"/>
    <x v="12"/>
    <x v="2"/>
  </r>
  <r>
    <s v="TX502358"/>
    <x v="16"/>
    <x v="11"/>
    <n v="51.1"/>
    <x v="1742"/>
    <d v="2025-03-28T00:00:00"/>
    <d v="2025-03-29T00:00:00"/>
    <s v="M"/>
    <x v="2"/>
    <x v="1"/>
    <x v="0"/>
    <x v="3"/>
    <x v="3"/>
    <x v="12"/>
    <x v="1"/>
  </r>
  <r>
    <s v="TX502359"/>
    <x v="9"/>
    <x v="12"/>
    <n v="73.8"/>
    <x v="1743"/>
    <d v="2025-03-28T00:00:00"/>
    <d v="2025-03-29T00:00:00"/>
    <s v="M"/>
    <x v="4"/>
    <x v="0"/>
    <x v="0"/>
    <x v="3"/>
    <x v="3"/>
    <x v="12"/>
    <x v="1"/>
  </r>
  <r>
    <s v="TX502360"/>
    <x v="8"/>
    <x v="9"/>
    <n v="27"/>
    <x v="340"/>
    <d v="2025-03-28T00:00:00"/>
    <d v="2025-03-31T00:00:00"/>
    <s v="F"/>
    <x v="2"/>
    <x v="2"/>
    <x v="0"/>
    <x v="3"/>
    <x v="2"/>
    <x v="12"/>
    <x v="2"/>
  </r>
  <r>
    <s v="TX502361"/>
    <x v="8"/>
    <x v="13"/>
    <n v="60.1"/>
    <x v="116"/>
    <d v="2025-03-28T00:00:00"/>
    <d v="2025-03-29T00:00:00"/>
    <s v="M"/>
    <x v="3"/>
    <x v="0"/>
    <x v="0"/>
    <x v="3"/>
    <x v="3"/>
    <x v="12"/>
    <x v="1"/>
  </r>
  <r>
    <s v="TX502362"/>
    <x v="2"/>
    <x v="3"/>
    <n v="94.1"/>
    <x v="1744"/>
    <d v="2025-03-28T00:00:00"/>
    <d v="2025-03-30T00:00:00"/>
    <s v="F"/>
    <x v="4"/>
    <x v="1"/>
    <x v="0"/>
    <x v="3"/>
    <x v="1"/>
    <x v="12"/>
    <x v="2"/>
  </r>
  <r>
    <s v="TX502363"/>
    <x v="2"/>
    <x v="1"/>
    <n v="124.1"/>
    <x v="1235"/>
    <d v="2025-03-28T00:00:00"/>
    <d v="2025-03-28T00:00:00"/>
    <s v="F"/>
    <x v="2"/>
    <x v="3"/>
    <x v="0"/>
    <x v="43"/>
    <x v="7"/>
    <x v="12"/>
    <x v="2"/>
  </r>
  <r>
    <s v="TX502364"/>
    <x v="8"/>
    <x v="12"/>
    <n v="16.899999999999999"/>
    <x v="821"/>
    <d v="2025-03-28T00:00:00"/>
    <d v="2025-03-31T00:00:00"/>
    <s v="M"/>
    <x v="3"/>
    <x v="0"/>
    <x v="0"/>
    <x v="6"/>
    <x v="2"/>
    <x v="12"/>
    <x v="1"/>
  </r>
  <r>
    <s v="TX502365"/>
    <x v="1"/>
    <x v="0"/>
    <n v="36.9"/>
    <x v="1745"/>
    <d v="2025-03-28T00:00:00"/>
    <d v="2025-03-29T00:00:00"/>
    <s v="M"/>
    <x v="0"/>
    <x v="0"/>
    <x v="0"/>
    <x v="6"/>
    <x v="3"/>
    <x v="12"/>
    <x v="1"/>
  </r>
  <r>
    <s v="TX502366"/>
    <x v="9"/>
    <x v="1"/>
    <n v="22.6"/>
    <x v="705"/>
    <d v="2025-03-28T00:00:00"/>
    <d v="2025-04-10T00:00:00"/>
    <s v="F"/>
    <x v="2"/>
    <x v="1"/>
    <x v="0"/>
    <x v="8"/>
    <x v="10"/>
    <x v="12"/>
    <x v="2"/>
  </r>
  <r>
    <s v="TX502367"/>
    <x v="7"/>
    <x v="12"/>
    <n v="35"/>
    <x v="1683"/>
    <d v="2025-03-28T00:00:00"/>
    <d v="2025-04-02T00:00:00"/>
    <s v="M"/>
    <x v="3"/>
    <x v="1"/>
    <x v="0"/>
    <x v="8"/>
    <x v="0"/>
    <x v="12"/>
    <x v="1"/>
  </r>
  <r>
    <s v="TX502368"/>
    <x v="9"/>
    <x v="13"/>
    <n v="63.6"/>
    <x v="1746"/>
    <d v="2025-03-28T00:00:00"/>
    <d v="2025-04-04T00:00:00"/>
    <s v=""/>
    <x v="1"/>
    <x v="2"/>
    <x v="0"/>
    <x v="8"/>
    <x v="6"/>
    <x v="12"/>
    <x v="0"/>
  </r>
  <r>
    <s v="TX502369"/>
    <x v="15"/>
    <x v="12"/>
    <n v="78.599999999999994"/>
    <x v="1747"/>
    <d v="2025-03-28T00:00:00"/>
    <d v="2025-03-29T00:00:00"/>
    <s v="M"/>
    <x v="4"/>
    <x v="1"/>
    <x v="0"/>
    <x v="8"/>
    <x v="3"/>
    <x v="12"/>
    <x v="1"/>
  </r>
  <r>
    <s v="TX502370"/>
    <x v="3"/>
    <x v="1"/>
    <n v="38.5"/>
    <x v="445"/>
    <d v="2025-03-28T00:00:00"/>
    <d v="2025-03-29T00:00:00"/>
    <s v="M"/>
    <x v="0"/>
    <x v="2"/>
    <x v="0"/>
    <x v="8"/>
    <x v="3"/>
    <x v="12"/>
    <x v="1"/>
  </r>
  <r>
    <s v="TX502371"/>
    <x v="8"/>
    <x v="5"/>
    <n v="71.5"/>
    <x v="1748"/>
    <d v="2025-03-28T00:00:00"/>
    <d v="2025-03-29T00:00:00"/>
    <s v="F"/>
    <x v="1"/>
    <x v="4"/>
    <x v="0"/>
    <x v="8"/>
    <x v="3"/>
    <x v="12"/>
    <x v="2"/>
  </r>
  <r>
    <s v="TX502372"/>
    <x v="6"/>
    <x v="12"/>
    <n v="121.4"/>
    <x v="1749"/>
    <d v="2025-03-28T00:00:00"/>
    <d v="2025-04-01T00:00:00"/>
    <s v="M"/>
    <x v="1"/>
    <x v="2"/>
    <x v="0"/>
    <x v="17"/>
    <x v="5"/>
    <x v="12"/>
    <x v="1"/>
  </r>
  <r>
    <s v="TX502373"/>
    <x v="11"/>
    <x v="0"/>
    <n v="40.200000000000003"/>
    <x v="282"/>
    <d v="2025-03-28T00:00:00"/>
    <d v="2025-03-31T00:00:00"/>
    <s v="F"/>
    <x v="0"/>
    <x v="2"/>
    <x v="0"/>
    <x v="11"/>
    <x v="2"/>
    <x v="12"/>
    <x v="2"/>
  </r>
  <r>
    <s v="TX502374"/>
    <x v="5"/>
    <x v="9"/>
    <n v="31.9"/>
    <x v="1750"/>
    <d v="2025-03-28T00:00:00"/>
    <d v="2025-03-30T00:00:00"/>
    <s v="F"/>
    <x v="2"/>
    <x v="2"/>
    <x v="0"/>
    <x v="28"/>
    <x v="1"/>
    <x v="12"/>
    <x v="2"/>
  </r>
  <r>
    <s v="TX502375"/>
    <x v="14"/>
    <x v="9"/>
    <n v="15.8"/>
    <x v="1751"/>
    <d v="2025-03-29T00:00:00"/>
    <d v="2025-03-30T00:00:00"/>
    <s v="M"/>
    <x v="3"/>
    <x v="2"/>
    <x v="0"/>
    <x v="21"/>
    <x v="3"/>
    <x v="12"/>
    <x v="1"/>
  </r>
  <r>
    <s v="TX502376"/>
    <x v="10"/>
    <x v="1"/>
    <n v="25.1"/>
    <x v="486"/>
    <d v="2025-03-29T00:00:00"/>
    <d v="2025-03-31T00:00:00"/>
    <s v=""/>
    <x v="1"/>
    <x v="0"/>
    <x v="0"/>
    <x v="21"/>
    <x v="1"/>
    <x v="12"/>
    <x v="0"/>
  </r>
  <r>
    <s v="TX502377"/>
    <x v="1"/>
    <x v="44"/>
    <n v="38.1"/>
    <x v="1752"/>
    <d v="2025-03-29T00:00:00"/>
    <d v="2025-03-30T00:00:00"/>
    <s v="F"/>
    <x v="4"/>
    <x v="0"/>
    <x v="0"/>
    <x v="1"/>
    <x v="3"/>
    <x v="12"/>
    <x v="2"/>
  </r>
  <r>
    <s v="TX502378"/>
    <x v="3"/>
    <x v="1"/>
    <n v="42.2"/>
    <x v="533"/>
    <d v="2025-03-29T00:00:00"/>
    <d v="2025-03-31T00:00:00"/>
    <s v="F"/>
    <x v="0"/>
    <x v="2"/>
    <x v="0"/>
    <x v="1"/>
    <x v="1"/>
    <x v="12"/>
    <x v="2"/>
  </r>
  <r>
    <s v="TX502379"/>
    <x v="0"/>
    <x v="7"/>
    <n v="12.3"/>
    <x v="1287"/>
    <d v="2025-03-29T00:00:00"/>
    <d v="2025-03-30T00:00:00"/>
    <s v="F"/>
    <x v="4"/>
    <x v="0"/>
    <x v="0"/>
    <x v="2"/>
    <x v="3"/>
    <x v="12"/>
    <x v="2"/>
  </r>
  <r>
    <s v="TX502380"/>
    <x v="7"/>
    <x v="0"/>
    <n v="30.2"/>
    <x v="242"/>
    <d v="2025-03-29T00:00:00"/>
    <d v="2025-03-31T00:00:00"/>
    <s v="F"/>
    <x v="1"/>
    <x v="2"/>
    <x v="0"/>
    <x v="34"/>
    <x v="1"/>
    <x v="12"/>
    <x v="2"/>
  </r>
  <r>
    <s v="TX502381"/>
    <x v="5"/>
    <x v="2"/>
    <n v="25.3"/>
    <x v="1554"/>
    <d v="2025-03-29T00:00:00"/>
    <d v="2025-04-01T00:00:00"/>
    <s v="F"/>
    <x v="2"/>
    <x v="0"/>
    <x v="0"/>
    <x v="3"/>
    <x v="2"/>
    <x v="12"/>
    <x v="2"/>
  </r>
  <r>
    <s v="TX502382"/>
    <x v="8"/>
    <x v="9"/>
    <n v="29.7"/>
    <x v="1753"/>
    <d v="2025-03-29T00:00:00"/>
    <d v="2025-03-31T00:00:00"/>
    <s v="M"/>
    <x v="3"/>
    <x v="0"/>
    <x v="0"/>
    <x v="3"/>
    <x v="1"/>
    <x v="12"/>
    <x v="1"/>
  </r>
  <r>
    <s v="TX502383"/>
    <x v="9"/>
    <x v="8"/>
    <n v="32.9"/>
    <x v="1754"/>
    <d v="2025-03-29T00:00:00"/>
    <d v="2025-03-30T00:00:00"/>
    <s v=""/>
    <x v="3"/>
    <x v="2"/>
    <x v="0"/>
    <x v="3"/>
    <x v="3"/>
    <x v="12"/>
    <x v="0"/>
  </r>
  <r>
    <s v="TX502384"/>
    <x v="10"/>
    <x v="1"/>
    <n v="43.6"/>
    <x v="640"/>
    <d v="2025-03-29T00:00:00"/>
    <d v="2025-03-30T00:00:00"/>
    <s v="M"/>
    <x v="1"/>
    <x v="2"/>
    <x v="0"/>
    <x v="3"/>
    <x v="3"/>
    <x v="12"/>
    <x v="1"/>
  </r>
  <r>
    <s v="TX502385"/>
    <x v="15"/>
    <x v="12"/>
    <n v="78.400000000000006"/>
    <x v="1755"/>
    <d v="2025-03-29T00:00:00"/>
    <d v="2025-03-30T00:00:00"/>
    <s v="M"/>
    <x v="2"/>
    <x v="0"/>
    <x v="0"/>
    <x v="3"/>
    <x v="3"/>
    <x v="12"/>
    <x v="1"/>
  </r>
  <r>
    <s v="TX502386"/>
    <x v="6"/>
    <x v="1"/>
    <n v="56.5"/>
    <x v="548"/>
    <d v="2025-03-29T00:00:00"/>
    <d v="2025-04-02T00:00:00"/>
    <s v="M"/>
    <x v="1"/>
    <x v="1"/>
    <x v="0"/>
    <x v="3"/>
    <x v="5"/>
    <x v="12"/>
    <x v="1"/>
  </r>
  <r>
    <s v="TX502387"/>
    <x v="16"/>
    <x v="0"/>
    <n v="36.700000000000003"/>
    <x v="329"/>
    <d v="2025-03-29T00:00:00"/>
    <d v="2025-03-30T00:00:00"/>
    <s v="F"/>
    <x v="0"/>
    <x v="2"/>
    <x v="0"/>
    <x v="3"/>
    <x v="3"/>
    <x v="12"/>
    <x v="2"/>
  </r>
  <r>
    <s v="TX502388"/>
    <x v="2"/>
    <x v="12"/>
    <n v="103.6"/>
    <x v="1756"/>
    <d v="2025-03-29T00:00:00"/>
    <d v="2025-04-09T00:00:00"/>
    <s v="M"/>
    <x v="4"/>
    <x v="2"/>
    <x v="0"/>
    <x v="3"/>
    <x v="11"/>
    <x v="12"/>
    <x v="1"/>
  </r>
  <r>
    <s v="TX502389"/>
    <x v="8"/>
    <x v="13"/>
    <n v="16.2"/>
    <x v="1757"/>
    <d v="2025-03-29T00:00:00"/>
    <d v="2025-04-02T00:00:00"/>
    <s v="M"/>
    <x v="1"/>
    <x v="2"/>
    <x v="0"/>
    <x v="6"/>
    <x v="5"/>
    <x v="12"/>
    <x v="1"/>
  </r>
  <r>
    <s v="TX502390"/>
    <x v="8"/>
    <x v="1"/>
    <n v="20.2"/>
    <x v="1400"/>
    <d v="2025-03-29T00:00:00"/>
    <d v="2025-03-30T00:00:00"/>
    <s v="F"/>
    <x v="0"/>
    <x v="0"/>
    <x v="0"/>
    <x v="6"/>
    <x v="3"/>
    <x v="12"/>
    <x v="2"/>
  </r>
  <r>
    <s v="TX502391"/>
    <x v="11"/>
    <x v="1"/>
    <n v="26.9"/>
    <x v="1758"/>
    <d v="2025-03-29T00:00:00"/>
    <d v="2025-03-31T00:00:00"/>
    <s v="F"/>
    <x v="2"/>
    <x v="0"/>
    <x v="0"/>
    <x v="6"/>
    <x v="1"/>
    <x v="12"/>
    <x v="2"/>
  </r>
  <r>
    <s v="TX502392"/>
    <x v="1"/>
    <x v="1"/>
    <n v="82.4"/>
    <x v="1759"/>
    <d v="2025-03-29T00:00:00"/>
    <d v="2025-04-01T00:00:00"/>
    <s v=""/>
    <x v="0"/>
    <x v="0"/>
    <x v="0"/>
    <x v="7"/>
    <x v="2"/>
    <x v="12"/>
    <x v="0"/>
  </r>
  <r>
    <s v="TX502393"/>
    <x v="2"/>
    <x v="1"/>
    <n v="117.8"/>
    <x v="1760"/>
    <d v="2025-03-29T00:00:00"/>
    <d v="2025-03-31T00:00:00"/>
    <s v="M"/>
    <x v="1"/>
    <x v="2"/>
    <x v="0"/>
    <x v="8"/>
    <x v="1"/>
    <x v="12"/>
    <x v="1"/>
  </r>
  <r>
    <s v="TX502394"/>
    <x v="11"/>
    <x v="12"/>
    <n v="36.700000000000003"/>
    <x v="1761"/>
    <d v="2025-03-29T00:00:00"/>
    <d v="2025-03-30T00:00:00"/>
    <s v="M"/>
    <x v="1"/>
    <x v="0"/>
    <x v="0"/>
    <x v="8"/>
    <x v="3"/>
    <x v="12"/>
    <x v="1"/>
  </r>
  <r>
    <s v="TX502395"/>
    <x v="17"/>
    <x v="2"/>
    <n v="46.8"/>
    <x v="1762"/>
    <d v="2025-03-29T00:00:00"/>
    <d v="2025-03-30T00:00:00"/>
    <s v="M"/>
    <x v="4"/>
    <x v="2"/>
    <x v="0"/>
    <x v="10"/>
    <x v="3"/>
    <x v="12"/>
    <x v="1"/>
  </r>
  <r>
    <s v="TX502396"/>
    <x v="3"/>
    <x v="0"/>
    <n v="61.4"/>
    <x v="886"/>
    <d v="2025-03-29T00:00:00"/>
    <d v="2025-03-30T00:00:00"/>
    <s v="M"/>
    <x v="1"/>
    <x v="0"/>
    <x v="0"/>
    <x v="10"/>
    <x v="3"/>
    <x v="12"/>
    <x v="1"/>
  </r>
  <r>
    <s v="TX502397"/>
    <x v="15"/>
    <x v="1"/>
    <n v="22.9"/>
    <x v="494"/>
    <d v="2025-03-29T00:00:00"/>
    <d v="2025-03-30T00:00:00"/>
    <s v="M"/>
    <x v="0"/>
    <x v="0"/>
    <x v="0"/>
    <x v="11"/>
    <x v="3"/>
    <x v="12"/>
    <x v="1"/>
  </r>
  <r>
    <s v="TX502398"/>
    <x v="10"/>
    <x v="1"/>
    <n v="22.1"/>
    <x v="573"/>
    <d v="2025-03-29T00:00:00"/>
    <d v="2025-03-30T00:00:00"/>
    <s v="F"/>
    <x v="4"/>
    <x v="0"/>
    <x v="0"/>
    <x v="11"/>
    <x v="3"/>
    <x v="12"/>
    <x v="2"/>
  </r>
  <r>
    <s v="TX502399"/>
    <x v="12"/>
    <x v="1"/>
    <n v="31"/>
    <x v="85"/>
    <d v="2025-03-29T00:00:00"/>
    <d v="2025-03-31T00:00:00"/>
    <s v="F"/>
    <x v="2"/>
    <x v="0"/>
    <x v="0"/>
    <x v="18"/>
    <x v="1"/>
    <x v="12"/>
    <x v="2"/>
  </r>
  <r>
    <s v="TX502400"/>
    <x v="18"/>
    <x v="1"/>
    <n v="84.2"/>
    <x v="1763"/>
    <d v="2025-03-29T00:00:00"/>
    <d v="2025-03-31T00:00:00"/>
    <s v="M"/>
    <x v="2"/>
    <x v="2"/>
    <x v="0"/>
    <x v="13"/>
    <x v="1"/>
    <x v="1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9FA85A-7252-4CC0-B997-CCBEA0C0E893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1" firstDataRow="2" firstDataCol="1"/>
  <pivotFields count="17">
    <pivotField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axis="axisCol" showAll="0">
      <items count="5">
        <item x="2"/>
        <item x="1"/>
        <item x="3"/>
        <item x="0"/>
        <item t="default"/>
      </items>
    </pivotField>
    <pivotField showAll="0">
      <items count="8">
        <item x="0"/>
        <item x="1"/>
        <item x="2"/>
        <item x="4"/>
        <item x="3"/>
        <item x="5"/>
        <item x="6"/>
        <item t="default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" fld="4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EF25A-B931-4FA9-B89C-79FEB33AD88F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1" firstHeaderRow="1" firstDataRow="1" firstDataCol="1"/>
  <pivotFields count="17">
    <pivotField dataField="1"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axis="axisRow" showAll="0">
      <items count="8">
        <item x="0"/>
        <item x="1"/>
        <item x="2"/>
        <item x="4"/>
        <item x="3"/>
        <item n="6 to 10" x="5"/>
        <item n="more than 10" x="6"/>
        <item t="default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TX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423F98-FE7E-4494-A577-A42C1424CDBC}" name="PivotTable7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K3:L8" firstHeaderRow="1" firstDataRow="1" firstDataCol="1"/>
  <pivotFields count="17">
    <pivotField showAll="0"/>
    <pivotField showAll="0" sortType="a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2" baseField="0" baseItem="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5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1E170-1E88-467C-8AC2-7BAFBC3893AD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F25" firstHeaderRow="1" firstDataRow="2" firstDataCol="1"/>
  <pivotFields count="17">
    <pivotField showAll="0"/>
    <pivotField axis="axisRow" showAll="0" sortType="a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Fields count="1">
    <field x="1"/>
  </rowFields>
  <rowItems count="21">
    <i>
      <x v="7"/>
    </i>
    <i>
      <x/>
    </i>
    <i>
      <x v="17"/>
    </i>
    <i>
      <x v="15"/>
    </i>
    <i>
      <x v="9"/>
    </i>
    <i>
      <x v="10"/>
    </i>
    <i>
      <x v="19"/>
    </i>
    <i>
      <x v="2"/>
    </i>
    <i>
      <x v="8"/>
    </i>
    <i>
      <x v="3"/>
    </i>
    <i>
      <x v="11"/>
    </i>
    <i>
      <x v="5"/>
    </i>
    <i>
      <x v="4"/>
    </i>
    <i>
      <x v="14"/>
    </i>
    <i>
      <x v="12"/>
    </i>
    <i>
      <x v="1"/>
    </i>
    <i>
      <x v="16"/>
    </i>
    <i>
      <x v="13"/>
    </i>
    <i>
      <x v="6"/>
    </i>
    <i>
      <x v="18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Quantity" fld="2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4660B0-CC47-4C0F-9997-1DFACC9DB86F}" name="PivotTable8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61" firstHeaderRow="0" firstDataRow="1" firstDataCol="2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items count="1764">
        <item x="0"/>
        <item x="432"/>
        <item x="1482"/>
        <item x="178"/>
        <item x="1436"/>
        <item x="239"/>
        <item x="591"/>
        <item x="1426"/>
        <item x="1021"/>
        <item x="283"/>
        <item x="1494"/>
        <item x="749"/>
        <item x="1609"/>
        <item x="248"/>
        <item x="135"/>
        <item x="836"/>
        <item x="832"/>
        <item x="1200"/>
        <item x="1600"/>
        <item x="1709"/>
        <item x="670"/>
        <item x="1492"/>
        <item x="134"/>
        <item x="447"/>
        <item x="688"/>
        <item x="1219"/>
        <item x="614"/>
        <item x="1137"/>
        <item x="132"/>
        <item x="190"/>
        <item x="1500"/>
        <item x="323"/>
        <item x="798"/>
        <item x="333"/>
        <item x="1429"/>
        <item x="1349"/>
        <item x="483"/>
        <item x="731"/>
        <item x="1084"/>
        <item x="258"/>
        <item x="968"/>
        <item x="525"/>
        <item x="249"/>
        <item x="1246"/>
        <item x="61"/>
        <item x="1695"/>
        <item x="772"/>
        <item x="126"/>
        <item x="1561"/>
        <item x="779"/>
        <item x="301"/>
        <item x="835"/>
        <item x="1057"/>
        <item x="1616"/>
        <item x="830"/>
        <item x="1644"/>
        <item x="202"/>
        <item x="1672"/>
        <item x="19"/>
        <item x="382"/>
        <item x="1441"/>
        <item x="1703"/>
        <item x="1191"/>
        <item x="601"/>
        <item x="1102"/>
        <item x="38"/>
        <item x="534"/>
        <item x="63"/>
        <item x="49"/>
        <item x="1116"/>
        <item x="1639"/>
        <item x="1637"/>
        <item x="879"/>
        <item x="293"/>
        <item x="425"/>
        <item x="1034"/>
        <item x="1076"/>
        <item x="1678"/>
        <item x="47"/>
        <item x="1493"/>
        <item x="242"/>
        <item x="928"/>
        <item x="1538"/>
        <item x="1642"/>
        <item x="558"/>
        <item x="1705"/>
        <item x="406"/>
        <item x="1323"/>
        <item x="1455"/>
        <item x="35"/>
        <item x="137"/>
        <item x="627"/>
        <item x="109"/>
        <item x="1158"/>
        <item x="390"/>
        <item x="1684"/>
        <item x="1229"/>
        <item x="944"/>
        <item x="860"/>
        <item x="940"/>
        <item x="698"/>
        <item x="1417"/>
        <item x="253"/>
        <item x="1680"/>
        <item x="1564"/>
        <item x="1222"/>
        <item x="607"/>
        <item x="1656"/>
        <item x="1580"/>
        <item x="1114"/>
        <item x="169"/>
        <item x="1553"/>
        <item x="1668"/>
        <item x="1657"/>
        <item x="519"/>
        <item x="72"/>
        <item x="1520"/>
        <item x="53"/>
        <item x="168"/>
        <item x="1277"/>
        <item x="547"/>
        <item x="329"/>
        <item x="791"/>
        <item x="1745"/>
        <item x="804"/>
        <item x="463"/>
        <item x="853"/>
        <item x="753"/>
        <item x="220"/>
        <item x="1139"/>
        <item x="1320"/>
        <item x="1732"/>
        <item x="923"/>
        <item x="496"/>
        <item x="864"/>
        <item x="736"/>
        <item x="341"/>
        <item x="144"/>
        <item x="165"/>
        <item x="282"/>
        <item x="518"/>
        <item x="1400"/>
        <item x="1117"/>
        <item x="1352"/>
        <item x="274"/>
        <item x="803"/>
        <item x="783"/>
        <item x="1184"/>
        <item x="504"/>
        <item x="1667"/>
        <item x="50"/>
        <item x="1712"/>
        <item x="480"/>
        <item x="1465"/>
        <item x="1151"/>
        <item x="337"/>
        <item x="1283"/>
        <item x="469"/>
        <item x="440"/>
        <item x="39"/>
        <item x="1286"/>
        <item x="181"/>
        <item x="1422"/>
        <item x="1195"/>
        <item x="328"/>
        <item x="1661"/>
        <item x="945"/>
        <item x="573"/>
        <item x="225"/>
        <item x="1456"/>
        <item x="438"/>
        <item x="938"/>
        <item x="583"/>
        <item x="1212"/>
        <item x="705"/>
        <item x="204"/>
        <item x="962"/>
        <item x="494"/>
        <item x="716"/>
        <item x="722"/>
        <item x="1063"/>
        <item x="516"/>
        <item x="434"/>
        <item x="1447"/>
        <item x="594"/>
        <item x="86"/>
        <item x="179"/>
        <item x="392"/>
        <item x="828"/>
        <item x="1601"/>
        <item x="538"/>
        <item x="510"/>
        <item x="959"/>
        <item x="1293"/>
        <item x="655"/>
        <item x="319"/>
        <item x="1247"/>
        <item x="51"/>
        <item x="268"/>
        <item x="528"/>
        <item x="1111"/>
        <item x="256"/>
        <item x="1474"/>
        <item x="500"/>
        <item x="1039"/>
        <item x="486"/>
        <item x="813"/>
        <item x="458"/>
        <item x="578"/>
        <item x="163"/>
        <item x="180"/>
        <item x="1045"/>
        <item x="937"/>
        <item x="733"/>
        <item x="964"/>
        <item x="954"/>
        <item x="1074"/>
        <item x="1692"/>
        <item x="475"/>
        <item x="1342"/>
        <item x="773"/>
        <item x="1559"/>
        <item x="413"/>
        <item x="1228"/>
        <item x="112"/>
        <item x="513"/>
        <item x="535"/>
        <item x="1557"/>
        <item x="287"/>
        <item x="1563"/>
        <item x="789"/>
        <item x="1309"/>
        <item x="1758"/>
        <item x="1260"/>
        <item x="1089"/>
        <item x="521"/>
        <item x="1364"/>
        <item x="630"/>
        <item x="1107"/>
        <item x="1539"/>
        <item x="1407"/>
        <item x="1090"/>
        <item x="252"/>
        <item x="898"/>
        <item x="291"/>
        <item x="6"/>
        <item x="466"/>
        <item x="102"/>
        <item x="1581"/>
        <item x="391"/>
        <item x="571"/>
        <item x="1007"/>
        <item x="1498"/>
        <item x="1640"/>
        <item x="933"/>
        <item x="472"/>
        <item x="473"/>
        <item x="1177"/>
        <item x="1281"/>
        <item x="1253"/>
        <item x="636"/>
        <item x="569"/>
        <item x="687"/>
        <item x="1356"/>
        <item x="1635"/>
        <item x="331"/>
        <item x="305"/>
        <item x="902"/>
        <item x="150"/>
        <item x="572"/>
        <item x="1242"/>
        <item x="1478"/>
        <item x="676"/>
        <item x="1100"/>
        <item x="254"/>
        <item x="1176"/>
        <item x="1201"/>
        <item x="1738"/>
        <item x="266"/>
        <item x="408"/>
        <item x="1035"/>
        <item x="1297"/>
        <item x="170"/>
        <item x="1"/>
        <item x="886"/>
        <item x="1085"/>
        <item x="834"/>
        <item x="546"/>
        <item x="957"/>
        <item x="85"/>
        <item x="1448"/>
        <item x="1197"/>
        <item x="1030"/>
        <item x="683"/>
        <item x="1016"/>
        <item x="143"/>
        <item x="1620"/>
        <item x="1220"/>
        <item x="1276"/>
        <item x="34"/>
        <item x="1005"/>
        <item x="1394"/>
        <item x="453"/>
        <item x="1099"/>
        <item x="1740"/>
        <item x="460"/>
        <item x="891"/>
        <item x="221"/>
        <item x="212"/>
        <item x="1481"/>
        <item x="499"/>
        <item x="511"/>
        <item x="812"/>
        <item x="387"/>
        <item x="1124"/>
        <item x="702"/>
        <item x="815"/>
        <item x="14"/>
        <item x="119"/>
        <item x="884"/>
        <item x="966"/>
        <item x="863"/>
        <item x="1476"/>
        <item x="693"/>
        <item x="509"/>
        <item x="821"/>
        <item x="418"/>
        <item x="745"/>
        <item x="1714"/>
        <item x="508"/>
        <item x="1043"/>
        <item x="564"/>
        <item x="59"/>
        <item x="299"/>
        <item x="1154"/>
        <item x="952"/>
        <item x="474"/>
        <item x="1549"/>
        <item x="1012"/>
        <item x="527"/>
        <item x="1664"/>
        <item x="184"/>
        <item x="1321"/>
        <item x="1013"/>
        <item x="660"/>
        <item x="1574"/>
        <item x="503"/>
        <item x="1289"/>
        <item x="623"/>
        <item x="1325"/>
        <item x="236"/>
        <item x="1285"/>
        <item x="936"/>
        <item x="1524"/>
        <item x="426"/>
        <item x="1517"/>
        <item x="800"/>
        <item x="372"/>
        <item x="1314"/>
        <item x="610"/>
        <item x="110"/>
        <item x="965"/>
        <item x="1734"/>
        <item x="611"/>
        <item x="495"/>
        <item x="108"/>
        <item x="1554"/>
        <item x="998"/>
        <item x="172"/>
        <item x="1488"/>
        <item x="1648"/>
        <item x="514"/>
        <item x="882"/>
        <item x="714"/>
        <item x="332"/>
        <item x="1721"/>
        <item x="445"/>
        <item x="1003"/>
        <item x="837"/>
        <item x="83"/>
        <item x="771"/>
        <item x="1598"/>
        <item x="1233"/>
        <item x="482"/>
        <item x="292"/>
        <item x="648"/>
        <item x="1148"/>
        <item x="166"/>
        <item x="1670"/>
        <item x="1645"/>
        <item x="491"/>
        <item x="1623"/>
        <item x="1608"/>
        <item x="1751"/>
        <item x="1113"/>
        <item x="84"/>
        <item x="1187"/>
        <item x="1589"/>
        <item x="479"/>
        <item x="1133"/>
        <item x="556"/>
        <item x="48"/>
        <item x="7"/>
        <item x="1687"/>
        <item x="41"/>
        <item x="1443"/>
        <item x="969"/>
        <item x="1101"/>
        <item x="1523"/>
        <item x="330"/>
        <item x="1135"/>
        <item x="673"/>
        <item x="1518"/>
        <item x="462"/>
        <item x="1182"/>
        <item x="470"/>
        <item x="707"/>
        <item x="925"/>
        <item x="681"/>
        <item x="433"/>
        <item x="1405"/>
        <item x="903"/>
        <item x="278"/>
        <item x="533"/>
        <item x="1274"/>
        <item x="1647"/>
        <item x="1331"/>
        <item x="464"/>
        <item x="825"/>
        <item x="1216"/>
        <item x="1172"/>
        <item x="550"/>
        <item x="1324"/>
        <item x="1024"/>
        <item x="1360"/>
        <item x="616"/>
        <item x="781"/>
        <item x="700"/>
        <item x="626"/>
        <item x="1053"/>
        <item x="640"/>
        <item x="631"/>
        <item x="697"/>
        <item x="485"/>
        <item x="1205"/>
        <item x="1155"/>
        <item x="1047"/>
        <item x="787"/>
        <item x="1605"/>
        <item x="1702"/>
        <item x="542"/>
        <item x="70"/>
        <item x="32"/>
        <item x="817"/>
        <item x="645"/>
        <item x="244"/>
        <item x="786"/>
        <item x="497"/>
        <item x="742"/>
        <item x="407"/>
        <item x="1270"/>
        <item x="411"/>
        <item x="1058"/>
        <item x="758"/>
        <item x="988"/>
        <item x="1152"/>
        <item x="974"/>
        <item x="1196"/>
        <item x="737"/>
        <item x="1487"/>
        <item x="1707"/>
        <item x="16"/>
        <item x="1261"/>
        <item x="64"/>
        <item x="1650"/>
        <item x="442"/>
        <item x="255"/>
        <item x="1467"/>
        <item x="725"/>
        <item x="234"/>
        <item x="422"/>
        <item x="415"/>
        <item x="296"/>
        <item x="233"/>
        <item x="139"/>
        <item x="802"/>
        <item x="586"/>
        <item x="854"/>
        <item x="219"/>
        <item x="334"/>
        <item x="1629"/>
        <item x="73"/>
        <item x="980"/>
        <item x="1757"/>
        <item x="451"/>
        <item x="647"/>
        <item x="131"/>
        <item x="68"/>
        <item x="11"/>
        <item x="196"/>
        <item x="1543"/>
        <item x="197"/>
        <item x="643"/>
        <item x="1033"/>
        <item x="1300"/>
        <item x="1569"/>
        <item x="1459"/>
        <item x="350"/>
        <item x="1638"/>
        <item x="1217"/>
        <item x="1326"/>
        <item x="862"/>
        <item x="427"/>
        <item x="90"/>
        <item x="95"/>
        <item x="855"/>
        <item x="1171"/>
        <item x="857"/>
        <item x="1681"/>
        <item x="530"/>
        <item x="1062"/>
        <item x="646"/>
        <item x="298"/>
        <item x="125"/>
        <item x="576"/>
        <item x="1223"/>
        <item x="186"/>
        <item x="1454"/>
        <item x="1389"/>
        <item x="748"/>
        <item x="199"/>
        <item x="1652"/>
        <item x="661"/>
        <item x="211"/>
        <item x="1049"/>
        <item x="852"/>
        <item x="568"/>
        <item x="142"/>
        <item x="101"/>
        <item x="872"/>
        <item x="793"/>
        <item x="619"/>
        <item x="694"/>
        <item x="1002"/>
        <item x="1511"/>
        <item x="799"/>
        <item x="1311"/>
        <item x="215"/>
        <item x="807"/>
        <item x="1061"/>
        <item x="939"/>
        <item x="10"/>
        <item x="1178"/>
        <item x="42"/>
        <item x="659"/>
        <item x="414"/>
        <item x="1239"/>
        <item x="17"/>
        <item x="81"/>
        <item x="918"/>
        <item x="579"/>
        <item x="806"/>
        <item x="622"/>
        <item x="1097"/>
        <item x="1483"/>
        <item x="883"/>
        <item x="1006"/>
        <item x="1534"/>
        <item x="881"/>
        <item x="794"/>
        <item x="158"/>
        <item x="380"/>
        <item x="548"/>
        <item x="1413"/>
        <item x="1129"/>
        <item x="247"/>
        <item x="1127"/>
        <item x="1575"/>
        <item x="717"/>
        <item x="1466"/>
        <item x="488"/>
        <item x="1449"/>
        <item x="311"/>
        <item x="574"/>
        <item x="1579"/>
        <item x="151"/>
        <item x="1484"/>
        <item x="100"/>
        <item x="446"/>
        <item x="1699"/>
        <item x="565"/>
        <item x="1622"/>
        <item x="726"/>
        <item x="1527"/>
        <item x="1737"/>
        <item x="833"/>
        <item x="557"/>
        <item x="841"/>
        <item x="1098"/>
        <item x="593"/>
        <item x="1250"/>
        <item x="193"/>
        <item x="1402"/>
        <item x="120"/>
        <item x="111"/>
        <item x="160"/>
        <item x="493"/>
        <item x="92"/>
        <item x="1710"/>
        <item x="297"/>
        <item x="1087"/>
        <item x="164"/>
        <item x="641"/>
        <item x="1296"/>
        <item x="384"/>
        <item x="544"/>
        <item x="949"/>
        <item x="1287"/>
        <item x="1432"/>
        <item x="1268"/>
        <item x="553"/>
        <item x="302"/>
        <item x="145"/>
        <item x="376"/>
        <item x="1109"/>
        <item x="570"/>
        <item x="52"/>
        <item x="1415"/>
        <item x="352"/>
        <item x="967"/>
        <item x="624"/>
        <item x="1555"/>
        <item x="628"/>
        <item x="888"/>
        <item x="1077"/>
        <item x="1208"/>
        <item x="1332"/>
        <item x="520"/>
        <item x="1071"/>
        <item x="823"/>
        <item x="1193"/>
        <item x="618"/>
        <item x="539"/>
        <item x="58"/>
        <item x="580"/>
        <item x="1403"/>
        <item x="309"/>
        <item x="769"/>
        <item x="385"/>
        <item x="632"/>
        <item x="1060"/>
        <item x="33"/>
        <item x="1583"/>
        <item x="848"/>
        <item x="1272"/>
        <item x="1249"/>
        <item x="1209"/>
        <item x="1423"/>
        <item x="955"/>
        <item x="431"/>
        <item x="979"/>
        <item x="927"/>
        <item x="1265"/>
        <item x="117"/>
        <item x="986"/>
        <item x="1567"/>
        <item x="260"/>
        <item x="30"/>
        <item x="981"/>
        <item x="1545"/>
        <item x="1597"/>
        <item x="1048"/>
        <item x="531"/>
        <item x="1093"/>
        <item x="340"/>
        <item x="246"/>
        <item x="685"/>
        <item x="1693"/>
        <item x="1411"/>
        <item x="336"/>
        <item x="1641"/>
        <item x="1134"/>
        <item x="517"/>
        <item x="1294"/>
        <item x="996"/>
        <item x="383"/>
        <item x="1068"/>
        <item x="1387"/>
        <item x="1730"/>
        <item x="1367"/>
        <item x="223"/>
        <item x="304"/>
        <item x="639"/>
        <item x="374"/>
        <item x="209"/>
        <item x="194"/>
        <item x="388"/>
        <item x="377"/>
        <item x="1457"/>
        <item x="1683"/>
        <item x="634"/>
        <item x="1762"/>
        <item x="381"/>
        <item x="684"/>
        <item x="1427"/>
        <item x="1038"/>
        <item x="780"/>
        <item x="932"/>
        <item x="1708"/>
        <item x="1175"/>
        <item x="60"/>
        <item x="1419"/>
        <item x="275"/>
        <item x="1298"/>
        <item x="1391"/>
        <item x="1489"/>
        <item x="897"/>
        <item x="1410"/>
        <item x="1096"/>
        <item x="625"/>
        <item x="613"/>
        <item x="1435"/>
        <item x="1262"/>
        <item x="353"/>
        <item x="1401"/>
        <item x="468"/>
        <item x="973"/>
        <item x="675"/>
        <item x="1626"/>
        <item x="1570"/>
        <item x="599"/>
        <item x="1718"/>
        <item x="1207"/>
        <item x="1363"/>
        <item x="1761"/>
        <item x="926"/>
        <item x="824"/>
        <item x="1224"/>
        <item x="203"/>
        <item x="1119"/>
        <item x="1753"/>
        <item x="956"/>
        <item x="1501"/>
        <item x="689"/>
        <item x="315"/>
        <item x="638"/>
        <item x="379"/>
        <item x="562"/>
        <item x="842"/>
        <item x="354"/>
        <item x="277"/>
        <item x="174"/>
        <item x="318"/>
        <item x="465"/>
        <item x="1621"/>
        <item x="1388"/>
        <item x="1634"/>
        <item x="1065"/>
        <item x="1618"/>
        <item x="1145"/>
        <item x="1330"/>
        <item x="1506"/>
        <item x="608"/>
        <item x="1399"/>
        <item x="55"/>
        <item x="1384"/>
        <item x="831"/>
        <item x="1120"/>
        <item x="1040"/>
        <item x="351"/>
        <item x="1230"/>
        <item x="515"/>
        <item x="1126"/>
        <item x="1733"/>
        <item x="1660"/>
        <item x="9"/>
        <item x="963"/>
        <item x="1588"/>
        <item x="1655"/>
        <item x="507"/>
        <item x="1022"/>
        <item x="905"/>
        <item x="739"/>
        <item x="1355"/>
        <item x="402"/>
        <item x="1329"/>
        <item x="409"/>
        <item x="1750"/>
        <item x="1344"/>
        <item x="444"/>
        <item x="250"/>
        <item x="950"/>
        <item x="1271"/>
        <item x="1530"/>
        <item x="811"/>
        <item x="759"/>
        <item x="154"/>
        <item x="1095"/>
        <item x="1157"/>
        <item x="915"/>
        <item x="435"/>
        <item x="1288"/>
        <item x="1164"/>
        <item x="1475"/>
        <item x="1128"/>
        <item x="838"/>
        <item x="1728"/>
        <item x="657"/>
        <item x="1183"/>
        <item x="522"/>
        <item x="1080"/>
        <item x="1759"/>
        <item x="1445"/>
        <item x="1537"/>
        <item x="312"/>
        <item x="1345"/>
        <item x="1251"/>
        <item x="1189"/>
        <item x="1256"/>
        <item x="701"/>
        <item x="762"/>
        <item x="606"/>
        <item x="589"/>
        <item x="1243"/>
        <item x="750"/>
        <item x="1713"/>
        <item x="66"/>
        <item x="1763"/>
        <item x="1603"/>
        <item x="1531"/>
        <item x="900"/>
        <item x="362"/>
        <item x="1026"/>
        <item x="612"/>
        <item x="393"/>
        <item x="4"/>
        <item x="1284"/>
        <item x="1691"/>
        <item x="307"/>
        <item x="443"/>
        <item x="727"/>
        <item x="1512"/>
        <item x="1522"/>
        <item x="595"/>
        <item x="231"/>
        <item x="826"/>
        <item x="187"/>
        <item x="162"/>
        <item x="775"/>
        <item x="893"/>
        <item x="1669"/>
        <item x="597"/>
        <item x="1434"/>
        <item x="889"/>
        <item x="1337"/>
        <item x="1619"/>
        <item x="1395"/>
        <item x="224"/>
        <item x="25"/>
        <item x="122"/>
        <item x="766"/>
        <item x="218"/>
        <item x="1525"/>
        <item x="1350"/>
        <item x="257"/>
        <item x="983"/>
        <item x="633"/>
        <item x="74"/>
        <item x="394"/>
        <item x="67"/>
        <item x="1020"/>
        <item x="1573"/>
        <item x="476"/>
        <item x="359"/>
        <item x="366"/>
        <item x="1565"/>
        <item x="1142"/>
        <item x="1275"/>
        <item x="1452"/>
        <item x="690"/>
        <item x="106"/>
        <item x="364"/>
        <item x="316"/>
        <item x="1596"/>
        <item x="1143"/>
        <item x="1180"/>
        <item x="1165"/>
        <item x="156"/>
        <item x="79"/>
        <item x="808"/>
        <item x="1173"/>
        <item x="412"/>
        <item x="827"/>
        <item x="1390"/>
        <item x="1458"/>
        <item x="885"/>
        <item x="620"/>
        <item x="975"/>
        <item x="455"/>
        <item x="1385"/>
        <item x="118"/>
        <item x="1001"/>
        <item x="1582"/>
        <item x="1131"/>
        <item x="1086"/>
        <item x="1372"/>
        <item x="1348"/>
        <item x="724"/>
        <item x="213"/>
        <item x="1451"/>
        <item x="796"/>
        <item x="1042"/>
        <item x="1343"/>
        <item x="529"/>
        <item x="345"/>
        <item x="261"/>
        <item x="1473"/>
        <item x="94"/>
        <item x="1174"/>
        <item x="280"/>
        <item x="1568"/>
        <item x="1327"/>
        <item x="243"/>
        <item x="338"/>
        <item x="756"/>
        <item x="1572"/>
        <item x="487"/>
        <item x="436"/>
        <item x="958"/>
        <item x="167"/>
        <item x="1192"/>
        <item x="1210"/>
        <item x="896"/>
        <item x="308"/>
        <item x="271"/>
        <item x="1519"/>
        <item x="420"/>
        <item x="861"/>
        <item x="763"/>
        <item x="152"/>
        <item x="228"/>
        <item x="577"/>
        <item x="977"/>
        <item x="294"/>
        <item x="214"/>
        <item x="403"/>
        <item x="877"/>
        <item x="1186"/>
        <item x="43"/>
        <item x="454"/>
        <item x="461"/>
        <item x="1428"/>
        <item x="904"/>
        <item x="140"/>
        <item x="1704"/>
        <item x="1416"/>
        <item x="922"/>
        <item x="549"/>
        <item x="1336"/>
        <item x="264"/>
        <item x="609"/>
        <item x="138"/>
        <item x="1130"/>
        <item x="1202"/>
        <item x="23"/>
        <item x="1168"/>
        <item x="667"/>
        <item x="1651"/>
        <item x="1066"/>
        <item x="230"/>
        <item x="801"/>
        <item x="267"/>
        <item x="1547"/>
        <item x="226"/>
        <item x="325"/>
        <item x="560"/>
        <item x="523"/>
        <item x="818"/>
        <item x="679"/>
        <item x="1431"/>
        <item x="1725"/>
        <item x="303"/>
        <item x="397"/>
        <item x="1094"/>
        <item x="206"/>
        <item x="1715"/>
        <item x="760"/>
        <item x="358"/>
        <item x="1722"/>
        <item x="991"/>
        <item x="1433"/>
        <item x="1479"/>
        <item x="1282"/>
        <item x="104"/>
        <item x="985"/>
        <item x="20"/>
        <item x="77"/>
        <item x="1199"/>
        <item x="1437"/>
        <item x="1055"/>
        <item x="765"/>
        <item x="1156"/>
        <item x="839"/>
        <item x="642"/>
        <item x="961"/>
        <item x="1169"/>
        <item x="692"/>
        <item x="1141"/>
        <item x="901"/>
        <item x="846"/>
        <item x="890"/>
        <item x="873"/>
        <item x="317"/>
        <item x="1009"/>
        <item x="776"/>
        <item x="1535"/>
        <item x="326"/>
        <item x="1675"/>
        <item x="65"/>
        <item x="662"/>
        <item x="129"/>
        <item x="416"/>
        <item x="1279"/>
        <item x="147"/>
        <item x="1686"/>
        <item x="27"/>
        <item x="1541"/>
        <item x="1167"/>
        <item x="822"/>
        <item x="1166"/>
        <item x="984"/>
        <item x="743"/>
        <item x="1404"/>
        <item x="1161"/>
        <item x="1359"/>
        <item x="217"/>
        <item x="615"/>
        <item x="757"/>
        <item x="123"/>
        <item x="976"/>
        <item x="1412"/>
        <item x="1706"/>
        <item x="1118"/>
        <item x="540"/>
        <item x="76"/>
        <item x="666"/>
        <item x="1069"/>
        <item x="1760"/>
        <item x="989"/>
        <item x="1551"/>
        <item x="78"/>
        <item x="237"/>
        <item x="1396"/>
        <item x="1365"/>
        <item x="1150"/>
        <item x="1248"/>
        <item x="987"/>
        <item x="342"/>
        <item x="1533"/>
        <item x="1723"/>
        <item x="1044"/>
        <item x="1234"/>
        <item x="805"/>
        <item x="1726"/>
        <item x="1231"/>
        <item x="1017"/>
        <item x="596"/>
        <item x="1316"/>
        <item x="262"/>
        <item x="719"/>
        <item x="441"/>
        <item x="672"/>
        <item x="1031"/>
        <item x="1204"/>
        <item x="598"/>
        <item x="1576"/>
        <item x="721"/>
        <item x="238"/>
        <item x="1310"/>
        <item x="1235"/>
        <item x="216"/>
        <item x="1624"/>
        <item x="543"/>
        <item x="1267"/>
        <item x="467"/>
        <item x="1679"/>
        <item x="1136"/>
        <item x="545"/>
        <item x="1206"/>
        <item x="816"/>
        <item x="1578"/>
        <item x="1586"/>
        <item x="103"/>
        <item x="1306"/>
        <item x="754"/>
        <item x="343"/>
        <item x="28"/>
        <item x="133"/>
        <item x="951"/>
        <item x="281"/>
        <item x="755"/>
        <item x="300"/>
        <item x="87"/>
        <item x="1371"/>
        <item x="1292"/>
        <item x="946"/>
        <item x="536"/>
        <item x="650"/>
        <item x="155"/>
        <item x="629"/>
        <item x="1468"/>
        <item x="1499"/>
        <item x="1486"/>
        <item x="195"/>
        <item x="600"/>
        <item x="1290"/>
        <item x="960"/>
        <item x="361"/>
        <item x="1104"/>
        <item x="175"/>
        <item x="1754"/>
        <item x="124"/>
        <item x="948"/>
        <item x="3"/>
        <item x="723"/>
        <item x="1685"/>
        <item x="1497"/>
        <item x="751"/>
        <item x="1370"/>
        <item x="1611"/>
        <item x="1317"/>
        <item x="1266"/>
        <item x="792"/>
        <item x="844"/>
        <item x="843"/>
        <item x="1439"/>
        <item x="357"/>
        <item x="1083"/>
        <item x="1546"/>
        <item x="1123"/>
        <item x="259"/>
        <item x="1430"/>
        <item x="88"/>
        <item x="1625"/>
        <item x="54"/>
        <item x="899"/>
        <item x="1291"/>
        <item x="1029"/>
        <item x="208"/>
        <item x="1633"/>
        <item x="907"/>
        <item x="819"/>
        <item x="1144"/>
        <item x="1340"/>
        <item x="313"/>
        <item x="1409"/>
        <item x="97"/>
        <item x="276"/>
        <item x="552"/>
        <item x="1614"/>
        <item x="917"/>
        <item x="788"/>
        <item x="585"/>
        <item x="584"/>
        <item x="1677"/>
        <item x="45"/>
        <item x="592"/>
        <item x="674"/>
        <item x="1073"/>
        <item x="1004"/>
        <item x="1420"/>
        <item x="423"/>
        <item x="770"/>
        <item x="990"/>
        <item x="29"/>
        <item x="1241"/>
        <item x="1125"/>
        <item x="346"/>
        <item x="537"/>
        <item x="1264"/>
        <item x="1375"/>
        <item x="1008"/>
        <item x="1122"/>
        <item x="232"/>
        <item x="452"/>
        <item x="1368"/>
        <item x="1140"/>
        <item x="1526"/>
        <item x="457"/>
        <item x="1121"/>
        <item x="1743"/>
        <item x="1381"/>
        <item x="1397"/>
        <item x="764"/>
        <item x="711"/>
        <item x="320"/>
        <item x="295"/>
        <item x="1221"/>
        <item x="909"/>
        <item x="1460"/>
        <item x="1341"/>
        <item x="1444"/>
        <item x="57"/>
        <item x="159"/>
        <item x="182"/>
        <item x="373"/>
        <item x="1542"/>
        <item x="982"/>
        <item x="1052"/>
        <item x="1591"/>
        <item x="994"/>
        <item x="728"/>
        <item x="80"/>
        <item x="729"/>
        <item x="1694"/>
        <item x="1508"/>
        <item x="395"/>
        <item x="1566"/>
        <item x="1188"/>
        <item x="1347"/>
        <item x="1226"/>
        <item x="567"/>
        <item x="289"/>
        <item x="161"/>
        <item x="279"/>
        <item x="1269"/>
        <item x="1671"/>
        <item x="15"/>
        <item x="1505"/>
        <item x="141"/>
        <item x="892"/>
        <item x="400"/>
        <item x="355"/>
        <item x="1418"/>
        <item x="851"/>
        <item x="1037"/>
        <item x="1075"/>
        <item x="502"/>
        <item x="752"/>
        <item x="1755"/>
        <item x="1480"/>
        <item x="1747"/>
        <item x="895"/>
        <item x="176"/>
        <item x="744"/>
        <item x="269"/>
        <item x="1011"/>
        <item x="46"/>
        <item x="997"/>
        <item x="99"/>
        <item x="1015"/>
        <item x="1198"/>
        <item x="1238"/>
        <item x="310"/>
        <item x="1604"/>
        <item x="1592"/>
        <item x="730"/>
        <item x="1244"/>
        <item x="347"/>
        <item x="1496"/>
        <item x="1041"/>
        <item x="1305"/>
        <item x="1308"/>
        <item x="356"/>
        <item x="582"/>
        <item x="191"/>
        <item x="1181"/>
        <item x="2"/>
        <item x="847"/>
        <item x="1334"/>
        <item x="1736"/>
        <item x="1630"/>
        <item x="1278"/>
        <item x="1358"/>
        <item x="477"/>
        <item x="335"/>
        <item x="849"/>
        <item x="189"/>
        <item x="850"/>
        <item x="1354"/>
        <item x="149"/>
        <item x="272"/>
        <item x="265"/>
        <item x="1617"/>
        <item x="1463"/>
        <item x="1382"/>
        <item x="449"/>
        <item x="720"/>
        <item x="734"/>
        <item x="370"/>
        <item x="1540"/>
        <item x="1153"/>
        <item x="992"/>
        <item x="953"/>
        <item x="894"/>
        <item x="869"/>
        <item x="1213"/>
        <item x="1108"/>
        <item x="1383"/>
        <item x="1491"/>
        <item x="1132"/>
        <item x="240"/>
        <item x="1584"/>
        <item x="1735"/>
        <item x="1185"/>
        <item x="931"/>
        <item x="26"/>
        <item x="1377"/>
        <item x="1602"/>
        <item x="1490"/>
        <item x="1036"/>
        <item x="146"/>
        <item x="880"/>
        <item x="1688"/>
        <item x="995"/>
        <item x="914"/>
        <item x="1607"/>
        <item x="1023"/>
        <item x="192"/>
        <item x="682"/>
        <item x="1357"/>
        <item x="658"/>
        <item x="1018"/>
        <item x="935"/>
        <item x="1528"/>
        <item x="644"/>
        <item x="1521"/>
        <item x="116"/>
        <item x="785"/>
        <item x="1556"/>
        <item x="1731"/>
        <item x="1560"/>
        <item x="177"/>
        <item x="386"/>
        <item x="450"/>
        <item x="1373"/>
        <item x="790"/>
        <item x="1516"/>
        <item x="867"/>
        <item x="912"/>
        <item x="1464"/>
        <item x="498"/>
        <item x="1322"/>
        <item x="93"/>
        <item x="1054"/>
        <item x="428"/>
        <item x="82"/>
        <item x="439"/>
        <item x="871"/>
        <item x="1378"/>
        <item x="1258"/>
        <item x="575"/>
        <item x="1653"/>
        <item x="715"/>
        <item x="1662"/>
        <item x="1613"/>
        <item x="1746"/>
        <item x="288"/>
        <item x="1590"/>
        <item x="1632"/>
        <item x="339"/>
        <item x="222"/>
        <item x="713"/>
        <item x="69"/>
        <item x="1105"/>
        <item x="235"/>
        <item x="590"/>
        <item x="942"/>
        <item x="8"/>
        <item x="424"/>
        <item x="459"/>
        <item x="1627"/>
        <item x="1091"/>
        <item x="501"/>
        <item x="1571"/>
        <item x="908"/>
        <item x="635"/>
        <item x="704"/>
        <item x="229"/>
        <item x="691"/>
        <item x="732"/>
        <item x="1711"/>
        <item x="668"/>
        <item x="1587"/>
        <item x="921"/>
        <item x="1515"/>
        <item x="130"/>
        <item x="1160"/>
        <item x="1051"/>
        <item x="375"/>
        <item x="856"/>
        <item x="18"/>
        <item x="1059"/>
        <item x="1259"/>
        <item x="489"/>
        <item x="1665"/>
        <item x="654"/>
        <item x="814"/>
        <item x="1211"/>
        <item x="1203"/>
        <item x="1366"/>
        <item x="1756"/>
        <item x="524"/>
        <item x="40"/>
        <item x="943"/>
        <item x="378"/>
        <item x="1159"/>
        <item x="1353"/>
        <item x="1424"/>
        <item x="1514"/>
        <item x="241"/>
        <item x="1406"/>
        <item x="1552"/>
        <item x="348"/>
        <item x="1227"/>
        <item x="245"/>
        <item x="1610"/>
        <item x="656"/>
        <item x="795"/>
        <item x="349"/>
        <item x="1335"/>
        <item x="1067"/>
        <item x="96"/>
        <item x="651"/>
        <item x="421"/>
        <item x="920"/>
        <item x="1392"/>
        <item x="173"/>
        <item x="916"/>
        <item x="978"/>
        <item x="709"/>
        <item x="603"/>
        <item x="148"/>
        <item x="327"/>
        <item x="887"/>
        <item x="1562"/>
        <item x="621"/>
        <item x="1214"/>
        <item x="512"/>
        <item x="1550"/>
        <item x="198"/>
        <item x="114"/>
        <item x="113"/>
        <item x="1742"/>
        <item x="1351"/>
        <item x="1236"/>
        <item x="1318"/>
        <item x="1115"/>
        <item x="797"/>
        <item x="1147"/>
        <item x="1301"/>
        <item x="1056"/>
        <item x="1000"/>
        <item x="1595"/>
        <item x="602"/>
        <item x="686"/>
        <item x="929"/>
        <item x="1674"/>
        <item x="1050"/>
        <item x="1502"/>
        <item x="941"/>
        <item x="840"/>
        <item x="784"/>
        <item x="1741"/>
        <item x="972"/>
        <item x="1749"/>
        <item x="1442"/>
        <item x="210"/>
        <item x="1700"/>
        <item x="865"/>
        <item x="1110"/>
        <item x="554"/>
        <item x="157"/>
        <item x="389"/>
        <item x="845"/>
        <item x="478"/>
        <item x="777"/>
        <item x="1339"/>
        <item x="1190"/>
        <item x="367"/>
        <item x="1701"/>
        <item x="911"/>
        <item x="1299"/>
        <item x="1504"/>
        <item x="559"/>
        <item x="37"/>
        <item x="322"/>
        <item x="1462"/>
        <item x="1380"/>
        <item x="71"/>
        <item x="878"/>
        <item x="605"/>
        <item x="1485"/>
        <item x="1304"/>
        <item x="971"/>
        <item x="200"/>
        <item x="1495"/>
        <item x="324"/>
        <item x="561"/>
        <item x="1469"/>
        <item x="1729"/>
        <item x="1028"/>
        <item x="263"/>
        <item x="1254"/>
        <item x="471"/>
        <item x="437"/>
        <item x="566"/>
        <item x="1470"/>
        <item x="1215"/>
        <item x="1414"/>
        <item x="746"/>
        <item x="1646"/>
        <item x="1149"/>
        <item x="44"/>
        <item x="1446"/>
        <item x="947"/>
        <item x="205"/>
        <item x="999"/>
        <item x="1507"/>
        <item x="678"/>
        <item x="207"/>
        <item x="121"/>
        <item x="1663"/>
        <item x="306"/>
        <item x="1717"/>
        <item x="430"/>
        <item x="21"/>
        <item x="251"/>
        <item x="286"/>
        <item x="273"/>
        <item x="1379"/>
        <item x="284"/>
        <item x="761"/>
        <item x="285"/>
        <item x="1697"/>
        <item x="1361"/>
        <item x="396"/>
        <item x="1014"/>
        <item x="1307"/>
        <item x="1544"/>
        <item x="866"/>
        <item x="1654"/>
        <item x="669"/>
        <item x="1046"/>
        <item x="105"/>
        <item x="930"/>
        <item x="1328"/>
        <item x="699"/>
        <item x="712"/>
        <item x="767"/>
        <item x="1146"/>
        <item x="1179"/>
        <item x="1319"/>
        <item x="637"/>
        <item x="970"/>
        <item x="696"/>
        <item x="1536"/>
        <item x="1315"/>
        <item x="321"/>
        <item x="1064"/>
        <item x="270"/>
        <item x="1138"/>
        <item x="924"/>
        <item x="1280"/>
        <item x="587"/>
        <item x="1092"/>
        <item x="484"/>
        <item x="782"/>
        <item x="747"/>
        <item x="876"/>
        <item x="1673"/>
        <item x="1666"/>
        <item x="1628"/>
        <item x="1374"/>
        <item x="541"/>
        <item x="1719"/>
        <item x="1472"/>
        <item x="1698"/>
        <item x="1255"/>
        <item x="1744"/>
        <item x="649"/>
        <item x="405"/>
        <item x="1716"/>
        <item x="1643"/>
        <item x="617"/>
        <item x="127"/>
        <item x="1081"/>
        <item x="735"/>
        <item x="581"/>
        <item x="1421"/>
        <item x="448"/>
        <item x="1503"/>
        <item x="810"/>
        <item x="1078"/>
        <item x="1362"/>
        <item x="680"/>
        <item x="24"/>
        <item x="708"/>
        <item x="1245"/>
        <item x="809"/>
        <item x="369"/>
        <item x="1689"/>
        <item x="1162"/>
        <item x="1346"/>
        <item x="1453"/>
        <item x="1072"/>
        <item x="1615"/>
        <item x="875"/>
        <item x="1513"/>
        <item x="1218"/>
        <item x="481"/>
        <item x="1019"/>
        <item x="401"/>
        <item x="1739"/>
        <item x="1593"/>
        <item x="874"/>
        <item x="1303"/>
        <item x="89"/>
        <item x="1376"/>
        <item x="1690"/>
        <item x="1748"/>
        <item x="1240"/>
        <item x="718"/>
        <item x="1369"/>
        <item x="91"/>
        <item x="1257"/>
        <item x="1252"/>
        <item x="906"/>
        <item x="1225"/>
        <item x="1163"/>
        <item x="1263"/>
        <item x="1636"/>
        <item x="56"/>
        <item x="1461"/>
        <item x="1659"/>
        <item x="1606"/>
        <item x="363"/>
        <item x="75"/>
        <item x="12"/>
        <item x="31"/>
        <item x="1594"/>
        <item x="136"/>
        <item x="532"/>
        <item x="738"/>
        <item x="1408"/>
        <item x="653"/>
        <item x="1471"/>
        <item x="1529"/>
        <item x="404"/>
        <item x="1752"/>
        <item x="1338"/>
        <item x="652"/>
        <item x="1088"/>
        <item x="153"/>
        <item x="1386"/>
        <item x="1079"/>
        <item x="344"/>
        <item x="185"/>
        <item x="913"/>
        <item x="371"/>
        <item x="820"/>
        <item x="710"/>
        <item x="1032"/>
        <item x="1070"/>
        <item x="417"/>
        <item x="5"/>
        <item x="671"/>
        <item x="910"/>
        <item x="368"/>
        <item x="526"/>
        <item x="183"/>
        <item x="1696"/>
        <item x="1727"/>
        <item x="1398"/>
        <item x="1577"/>
        <item x="1548"/>
        <item x="1532"/>
        <item x="695"/>
        <item x="551"/>
        <item x="492"/>
        <item x="410"/>
        <item x="1170"/>
        <item x="1649"/>
        <item x="1027"/>
        <item x="1682"/>
        <item x="829"/>
        <item x="665"/>
        <item x="115"/>
        <item x="399"/>
        <item x="774"/>
        <item x="993"/>
        <item x="1302"/>
        <item x="706"/>
        <item x="1599"/>
        <item x="1477"/>
        <item x="98"/>
        <item x="1585"/>
        <item x="677"/>
        <item x="858"/>
        <item x="1658"/>
        <item x="1025"/>
        <item x="664"/>
        <item x="1313"/>
        <item x="1333"/>
        <item x="62"/>
        <item x="1103"/>
        <item x="768"/>
        <item x="1232"/>
        <item x="859"/>
        <item x="1273"/>
        <item x="1010"/>
        <item x="1295"/>
        <item x="741"/>
        <item x="1450"/>
        <item x="703"/>
        <item x="919"/>
        <item x="1438"/>
        <item x="456"/>
        <item x="290"/>
        <item x="107"/>
        <item x="555"/>
        <item x="1194"/>
        <item x="563"/>
        <item x="398"/>
        <item x="1724"/>
        <item x="870"/>
        <item x="22"/>
        <item x="201"/>
        <item x="1082"/>
        <item x="128"/>
        <item x="1312"/>
        <item x="365"/>
        <item x="490"/>
        <item x="1510"/>
        <item x="740"/>
        <item x="505"/>
        <item x="588"/>
        <item x="1509"/>
        <item x="1106"/>
        <item x="419"/>
        <item x="429"/>
        <item x="604"/>
        <item x="663"/>
        <item x="1676"/>
        <item x="1440"/>
        <item x="778"/>
        <item x="934"/>
        <item x="506"/>
        <item x="1612"/>
        <item x="360"/>
        <item x="227"/>
        <item x="13"/>
        <item x="1558"/>
        <item x="1393"/>
        <item x="868"/>
        <item x="1112"/>
        <item x="314"/>
        <item x="36"/>
        <item x="1720"/>
        <item x="171"/>
        <item x="188"/>
        <item x="1425"/>
        <item x="1631"/>
        <item x="12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5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x="5"/>
        <item x="3"/>
        <item x="1"/>
        <item x="2"/>
        <item x="4"/>
        <item x="0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1"/>
  </rowFields>
  <rowItems count="5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353FA6-14C5-479A-B1F7-D0E6FEA7D287}" name="PivotTable1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I3:J9" firstHeaderRow="1" firstDataRow="1" firstDataCol="1"/>
  <pivotFields count="17">
    <pivotField dataField="1"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axis="axisRow" showAll="0">
      <items count="6">
        <item x="3"/>
        <item x="4"/>
        <item x="1"/>
        <item x="0"/>
        <item x="2"/>
        <item t="default"/>
      </items>
    </pivotField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X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251029-8681-4F82-B5D5-2F99C91DB4D7}" name="PivotTable9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20" firstHeaderRow="1" firstDataRow="1" firstDataCol="1"/>
  <pivotFields count="17">
    <pivotField dataField="1"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axis="axisRow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Row" showAll="0">
      <items count="8">
        <item sd="0" x="5"/>
        <item sd="0" x="3"/>
        <item sd="0" x="1"/>
        <item sd="0" x="2"/>
        <item sd="0" x="4"/>
        <item sd="0" x="0"/>
        <item n="MORE THAN 5" x="6"/>
        <item t="default"/>
      </items>
    </pivotField>
  </pivotFields>
  <rowFields count="2">
    <field x="16"/>
    <field x="1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Count of TX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B81393-B896-4872-A2BD-9D1503D0EC02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7:C21" firstHeaderRow="0" firstDataRow="1" firstDataCol="1"/>
  <pivotFields count="17">
    <pivotField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>
      <items count="8">
        <item x="0"/>
        <item x="1"/>
        <item x="2"/>
        <item x="4"/>
        <item x="3"/>
        <item x="5"/>
        <item x="6"/>
        <item t="default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 numFmtId="166"/>
  </dataFields>
  <formats count="2"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A3CF1D-7344-4D5D-86ED-DC0A9E686F1C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4" firstHeaderRow="0" firstDataRow="1" firstDataCol="0"/>
  <pivotFields count="17">
    <pivotField dataField="1"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dataField="1" showAll="0"/>
    <pivotField showAll="0"/>
    <pivotField showAll="0"/>
    <pivotField dataField="1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showAll="0">
      <items count="8">
        <item x="0"/>
        <item x="1"/>
        <item x="2"/>
        <item x="4"/>
        <item x="3"/>
        <item x="5"/>
        <item x="6"/>
        <item t="default"/>
      </items>
    </pivotField>
    <pivotField showAll="0">
      <items count="8">
        <item x="5"/>
        <item x="3"/>
        <item x="1"/>
        <item x="2"/>
        <item x="4"/>
        <item x="0"/>
        <item x="6"/>
        <item t="default"/>
      </items>
    </pivotField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TX ID" fld="0" subtotal="count" baseField="0" baseItem="0"/>
    <dataField name="Sum of Quantity" fld="2" baseField="0" baseItem="0"/>
    <dataField name="Sum of Amount" fld="4" baseField="0" baseItem="0"/>
    <dataField name="Average of Rating C" fld="9" subtotal="average" baseField="0" baseItem="4"/>
    <dataField name="Average of Days to Deliver" fld="12" subtotal="average" baseField="0" baseItem="4"/>
  </dataField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EEAC7A-86FC-461F-9D5F-511044F2AF9D}" name="orders" displayName="orders" ref="A1:O2401" totalsRowShown="0">
  <tableColumns count="15">
    <tableColumn id="1" xr3:uid="{835BDA26-C722-4E6F-9298-258C54C0B701}" name="TX ID"/>
    <tableColumn id="2" xr3:uid="{D1EF005A-5696-4529-BA61-93E2EAA2107A}" name="Product"/>
    <tableColumn id="3" xr3:uid="{D49C5075-88A8-4A63-A107-04CDE748DF73}" name="Quantity"/>
    <tableColumn id="4" xr3:uid="{165FB9D7-E05A-4AF9-8E1E-85C779E2F26A}" name="Unit Price"/>
    <tableColumn id="5" xr3:uid="{ADAB0B65-CB79-438E-8639-84ED9A249D6D}" name="Amount"/>
    <tableColumn id="6" xr3:uid="{F1CF05F9-0D26-457F-8C26-9F73C63CDAC6}" name="Order Date" dataDxfId="8"/>
    <tableColumn id="7" xr3:uid="{43BB5DBF-46E1-4185-80C0-4361F55A385C}" name="Ship Date" dataDxfId="7"/>
    <tableColumn id="8" xr3:uid="{414130C9-4E38-42D6-9A5C-4680F86C86A0}" name="Customer Gender"/>
    <tableColumn id="9" xr3:uid="{8BBEC465-D535-4FE0-8A17-D6D08BC95D63}" name="Order Mode"/>
    <tableColumn id="10" xr3:uid="{9F8B8E2F-389A-43C1-A866-C7B34C836FA7}" name="Rating C"/>
    <tableColumn id="15" xr3:uid="{6AB4A82F-B440-4251-B6F1-F7FEC368BCB0}" name="State"/>
    <tableColumn id="14" xr3:uid="{7677905C-5061-4DD9-BB0A-9B3AD4D72582}" name="County"/>
    <tableColumn id="11" xr3:uid="{B121C182-B0E1-414B-A82C-D2FE9133B15C}" name="Days to Deliver" dataDxfId="6">
      <calculatedColumnFormula>orders[[#This Row],[Ship Date]]-orders[[#This Row],[Order Date]]</calculatedColumnFormula>
    </tableColumn>
    <tableColumn id="12" xr3:uid="{B071C0DA-87A9-4516-B4D9-4F5B7D3FF44A}" name="Weeknum" dataDxfId="5">
      <calculatedColumnFormula>WEEKNUM(orders[[#This Row],[Order Date]])</calculatedColumnFormula>
    </tableColumn>
    <tableColumn id="13" xr3:uid="{B8EA9E28-7541-4E76-9935-C26438661A18}" name="Gender Value" dataDxfId="4">
      <calculatedColumnFormula array="1">_xlfn.IFS(orders[[#This Row],[Customer Gender]]="M","Male", orders[[#This Row],[Customer Gender]]="F","Female", orders[[#This Row],[Customer Gender]]="O","Other", TRUE,"Unknown")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Yellow">
      <a:dk1>
        <a:sysClr val="windowText" lastClr="000000"/>
      </a:dk1>
      <a:lt1>
        <a:sysClr val="window" lastClr="FFFFFF"/>
      </a:lt1>
      <a:dk2>
        <a:srgbClr val="39302A"/>
      </a:dk2>
      <a:lt2>
        <a:srgbClr val="E5DEDB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7F723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https://chandoo.org/wp/excel-school-program/" TargetMode="External"/><Relationship Id="rId1" Type="http://schemas.openxmlformats.org/officeDocument/2006/relationships/hyperlink" Target="https://youtu.be/l5qkg8gzY6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E828-4E8F-4911-AE97-D333E8F9B27C}">
  <dimension ref="A2:L10"/>
  <sheetViews>
    <sheetView workbookViewId="0">
      <selection activeCell="H23" sqref="H23"/>
    </sheetView>
  </sheetViews>
  <sheetFormatPr defaultRowHeight="14.4" x14ac:dyDescent="0.3"/>
  <cols>
    <col min="1" max="1" width="13.5546875" bestFit="1" customWidth="1"/>
    <col min="2" max="2" width="15.5546875" bestFit="1" customWidth="1"/>
    <col min="3" max="3" width="7.109375" bestFit="1" customWidth="1"/>
    <col min="4" max="4" width="6.109375" bestFit="1" customWidth="1"/>
    <col min="5" max="5" width="8.5546875" bestFit="1" customWidth="1"/>
    <col min="6" max="6" width="10.5546875" bestFit="1" customWidth="1"/>
    <col min="8" max="8" width="10.44140625" bestFit="1" customWidth="1"/>
    <col min="9" max="9" width="7" bestFit="1" customWidth="1"/>
    <col min="10" max="10" width="6.109375" bestFit="1" customWidth="1"/>
    <col min="11" max="11" width="5.5546875" bestFit="1" customWidth="1"/>
    <col min="12" max="12" width="8.44140625" bestFit="1" customWidth="1"/>
  </cols>
  <sheetData>
    <row r="2" spans="1:12" x14ac:dyDescent="0.3">
      <c r="H2" t="s">
        <v>2570</v>
      </c>
    </row>
    <row r="3" spans="1:12" x14ac:dyDescent="0.3">
      <c r="A3" s="13" t="s">
        <v>2554</v>
      </c>
      <c r="B3" s="13" t="s">
        <v>2565</v>
      </c>
    </row>
    <row r="4" spans="1:12" x14ac:dyDescent="0.3">
      <c r="A4" s="13" t="s">
        <v>2563</v>
      </c>
      <c r="B4" t="s">
        <v>2566</v>
      </c>
      <c r="C4" t="s">
        <v>2567</v>
      </c>
      <c r="D4" t="s">
        <v>2568</v>
      </c>
      <c r="E4" t="s">
        <v>2569</v>
      </c>
      <c r="F4" t="s">
        <v>2564</v>
      </c>
      <c r="H4" s="17"/>
      <c r="I4" s="17" t="str">
        <f>B4</f>
        <v>Female</v>
      </c>
      <c r="J4" s="17" t="str">
        <f t="shared" ref="J4:L4" si="0">C4</f>
        <v>Male</v>
      </c>
      <c r="K4" s="17" t="str">
        <f t="shared" si="0"/>
        <v>Other</v>
      </c>
      <c r="L4" s="17" t="str">
        <f>E4</f>
        <v>Unknown</v>
      </c>
    </row>
    <row r="5" spans="1:12" x14ac:dyDescent="0.3">
      <c r="A5" s="14" t="s">
        <v>18</v>
      </c>
      <c r="B5" s="16">
        <v>0.18961825201634841</v>
      </c>
      <c r="C5" s="16">
        <v>0.12262322351336576</v>
      </c>
      <c r="D5" s="16">
        <v>1.060537752469185E-2</v>
      </c>
      <c r="E5" s="16">
        <v>3.0599220547662797E-2</v>
      </c>
      <c r="F5" s="16">
        <v>0.35344607360206881</v>
      </c>
      <c r="H5" s="17" t="str">
        <f>A5</f>
        <v>App</v>
      </c>
      <c r="I5" s="18">
        <f t="shared" ref="I5:L9" si="1">B5</f>
        <v>0.18961825201634841</v>
      </c>
      <c r="J5" s="18">
        <f t="shared" si="1"/>
        <v>0.12262322351336576</v>
      </c>
      <c r="K5" s="18">
        <f t="shared" si="1"/>
        <v>1.060537752469185E-2</v>
      </c>
      <c r="L5" s="18">
        <f t="shared" si="1"/>
        <v>3.0599220547662797E-2</v>
      </c>
    </row>
    <row r="6" spans="1:12" x14ac:dyDescent="0.3">
      <c r="A6" s="14" t="s">
        <v>51</v>
      </c>
      <c r="B6" s="16">
        <v>5.0283982091147303E-2</v>
      </c>
      <c r="C6" s="16">
        <v>4.3060781812819873E-2</v>
      </c>
      <c r="D6" s="16">
        <v>1.5320025675641944E-3</v>
      </c>
      <c r="E6" s="16">
        <v>1.7794988689097006E-2</v>
      </c>
      <c r="F6" s="16">
        <v>0.11267175516062837</v>
      </c>
      <c r="H6" s="17" t="str">
        <f t="shared" ref="H6:H9" si="2">A6</f>
        <v>Instagram</v>
      </c>
      <c r="I6" s="18">
        <f t="shared" si="1"/>
        <v>5.0283982091147303E-2</v>
      </c>
      <c r="J6" s="18">
        <f t="shared" si="1"/>
        <v>4.3060781812819873E-2</v>
      </c>
      <c r="K6" s="18">
        <f t="shared" si="1"/>
        <v>1.5320025675641944E-3</v>
      </c>
      <c r="L6" s="18">
        <f t="shared" si="1"/>
        <v>1.7794988689097006E-2</v>
      </c>
    </row>
    <row r="7" spans="1:12" x14ac:dyDescent="0.3">
      <c r="A7" s="14" t="s">
        <v>70</v>
      </c>
      <c r="B7" s="16">
        <v>6.3496059750411282E-2</v>
      </c>
      <c r="C7" s="16">
        <v>4.6071629863988765E-2</v>
      </c>
      <c r="D7" s="16">
        <v>2.306247051322625E-3</v>
      </c>
      <c r="E7" s="16">
        <v>3.8927934093844286E-3</v>
      </c>
      <c r="F7" s="16">
        <v>0.11576673007510711</v>
      </c>
      <c r="H7" s="17" t="str">
        <f t="shared" si="2"/>
        <v>Partner App</v>
      </c>
      <c r="I7" s="18">
        <f t="shared" si="1"/>
        <v>6.3496059750411282E-2</v>
      </c>
      <c r="J7" s="18">
        <f t="shared" si="1"/>
        <v>4.6071629863988765E-2</v>
      </c>
      <c r="K7" s="18">
        <f t="shared" si="1"/>
        <v>2.306247051322625E-3</v>
      </c>
      <c r="L7" s="18">
        <f t="shared" si="1"/>
        <v>3.8927934093844286E-3</v>
      </c>
    </row>
    <row r="8" spans="1:12" x14ac:dyDescent="0.3">
      <c r="A8" s="14" t="s">
        <v>40</v>
      </c>
      <c r="B8" s="16">
        <v>9.6337892927149532E-2</v>
      </c>
      <c r="C8" s="16">
        <v>6.7920115842382611E-2</v>
      </c>
      <c r="D8" s="16">
        <v>5.4979832664581261E-3</v>
      </c>
      <c r="E8" s="16">
        <v>1.2933041488102518E-2</v>
      </c>
      <c r="F8" s="16">
        <v>0.1826890335240928</v>
      </c>
      <c r="H8" s="17" t="str">
        <f t="shared" si="2"/>
        <v>Target.com</v>
      </c>
      <c r="I8" s="18">
        <f t="shared" si="1"/>
        <v>9.6337892927149532E-2</v>
      </c>
      <c r="J8" s="18">
        <f t="shared" si="1"/>
        <v>6.7920115842382611E-2</v>
      </c>
      <c r="K8" s="18">
        <f t="shared" si="1"/>
        <v>5.4979832664581261E-3</v>
      </c>
      <c r="L8" s="18">
        <f t="shared" si="1"/>
        <v>1.2933041488102518E-2</v>
      </c>
    </row>
    <row r="9" spans="1:12" x14ac:dyDescent="0.3">
      <c r="A9" s="14" t="s">
        <v>35</v>
      </c>
      <c r="B9" s="16">
        <v>0.12522098709469262</v>
      </c>
      <c r="C9" s="16">
        <v>9.1492740283116228E-2</v>
      </c>
      <c r="D9" s="16">
        <v>6.3042760790965081E-3</v>
      </c>
      <c r="E9" s="16">
        <v>1.2408404181197551E-2</v>
      </c>
      <c r="F9" s="16">
        <v>0.23542640763810288</v>
      </c>
      <c r="H9" s="17" t="str">
        <f t="shared" si="2"/>
        <v>Website</v>
      </c>
      <c r="I9" s="18">
        <f t="shared" si="1"/>
        <v>0.12522098709469262</v>
      </c>
      <c r="J9" s="18">
        <f t="shared" si="1"/>
        <v>9.1492740283116228E-2</v>
      </c>
      <c r="K9" s="18">
        <f t="shared" si="1"/>
        <v>6.3042760790965081E-3</v>
      </c>
      <c r="L9" s="18">
        <f t="shared" si="1"/>
        <v>1.2408404181197551E-2</v>
      </c>
    </row>
    <row r="10" spans="1:12" x14ac:dyDescent="0.3">
      <c r="A10" s="14" t="s">
        <v>2564</v>
      </c>
      <c r="B10" s="16">
        <v>0.52495717387974916</v>
      </c>
      <c r="C10" s="16">
        <v>0.3711684913156732</v>
      </c>
      <c r="D10" s="16">
        <v>2.6245886489133303E-2</v>
      </c>
      <c r="E10" s="16">
        <v>7.7628448315444312E-2</v>
      </c>
      <c r="F10" s="16">
        <v>1</v>
      </c>
    </row>
  </sheetData>
  <conditionalFormatting sqref="I5:L9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2526-105B-4532-BFE9-C6BBCB9FDD6F}">
  <dimension ref="A3:B11"/>
  <sheetViews>
    <sheetView workbookViewId="0">
      <selection activeCell="M25" sqref="M25"/>
    </sheetView>
  </sheetViews>
  <sheetFormatPr defaultRowHeight="14.4" x14ac:dyDescent="0.3"/>
  <cols>
    <col min="1" max="1" width="12.44140625" bestFit="1" customWidth="1"/>
    <col min="2" max="2" width="12.21875" bestFit="1" customWidth="1"/>
  </cols>
  <sheetData>
    <row r="3" spans="1:2" x14ac:dyDescent="0.3">
      <c r="A3" s="13" t="s">
        <v>2563</v>
      </c>
      <c r="B3" t="s">
        <v>2552</v>
      </c>
    </row>
    <row r="4" spans="1:2" x14ac:dyDescent="0.3">
      <c r="A4" s="14">
        <v>1</v>
      </c>
      <c r="B4" s="12">
        <v>397</v>
      </c>
    </row>
    <row r="5" spans="1:2" x14ac:dyDescent="0.3">
      <c r="A5" s="14">
        <v>2</v>
      </c>
      <c r="B5" s="12">
        <v>540</v>
      </c>
    </row>
    <row r="6" spans="1:2" x14ac:dyDescent="0.3">
      <c r="A6" s="14">
        <v>3</v>
      </c>
      <c r="B6" s="12">
        <v>375</v>
      </c>
    </row>
    <row r="7" spans="1:2" x14ac:dyDescent="0.3">
      <c r="A7" s="14">
        <v>4</v>
      </c>
      <c r="B7" s="12">
        <v>246</v>
      </c>
    </row>
    <row r="8" spans="1:2" x14ac:dyDescent="0.3">
      <c r="A8" s="14">
        <v>5</v>
      </c>
      <c r="B8" s="12">
        <v>195</v>
      </c>
    </row>
    <row r="9" spans="1:2" x14ac:dyDescent="0.3">
      <c r="A9" s="14" t="s">
        <v>2571</v>
      </c>
      <c r="B9" s="12">
        <v>414</v>
      </c>
    </row>
    <row r="10" spans="1:2" x14ac:dyDescent="0.3">
      <c r="A10" s="14" t="s">
        <v>2572</v>
      </c>
      <c r="B10" s="12">
        <v>233</v>
      </c>
    </row>
    <row r="11" spans="1:2" x14ac:dyDescent="0.3">
      <c r="A11" s="14" t="s">
        <v>2564</v>
      </c>
      <c r="B11" s="12">
        <v>2400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90654-3E88-4513-90F5-C846465BA267}">
  <dimension ref="A3:L25"/>
  <sheetViews>
    <sheetView workbookViewId="0">
      <selection activeCell="N8" sqref="N8"/>
    </sheetView>
  </sheetViews>
  <sheetFormatPr defaultRowHeight="14.4" x14ac:dyDescent="0.3"/>
  <cols>
    <col min="1" max="1" width="19.109375" bestFit="1" customWidth="1"/>
    <col min="2" max="2" width="15.5546875" bestFit="1" customWidth="1"/>
    <col min="3" max="3" width="5" bestFit="1" customWidth="1"/>
    <col min="4" max="4" width="5.6640625" bestFit="1" customWidth="1"/>
    <col min="5" max="5" width="8.5546875" bestFit="1" customWidth="1"/>
    <col min="6" max="6" width="10.5546875" bestFit="1" customWidth="1"/>
    <col min="11" max="11" width="12.44140625" bestFit="1" customWidth="1"/>
    <col min="12" max="12" width="14.21875" bestFit="1" customWidth="1"/>
    <col min="13" max="13" width="5" bestFit="1" customWidth="1"/>
    <col min="14" max="14" width="5.6640625" bestFit="1" customWidth="1"/>
    <col min="15" max="15" width="8.5546875" bestFit="1" customWidth="1"/>
    <col min="16" max="16" width="10.5546875" bestFit="1" customWidth="1"/>
  </cols>
  <sheetData>
    <row r="3" spans="1:12" x14ac:dyDescent="0.3">
      <c r="A3" s="13" t="s">
        <v>2553</v>
      </c>
      <c r="B3" s="13" t="s">
        <v>2565</v>
      </c>
      <c r="K3" s="13" t="s">
        <v>2563</v>
      </c>
      <c r="L3" t="s">
        <v>2553</v>
      </c>
    </row>
    <row r="4" spans="1:12" x14ac:dyDescent="0.3">
      <c r="A4" s="13" t="s">
        <v>2563</v>
      </c>
      <c r="B4" t="s">
        <v>2566</v>
      </c>
      <c r="C4" t="s">
        <v>2567</v>
      </c>
      <c r="D4" t="s">
        <v>2568</v>
      </c>
      <c r="E4" t="s">
        <v>2569</v>
      </c>
      <c r="F4" t="s">
        <v>2564</v>
      </c>
      <c r="K4" s="14" t="s">
        <v>2566</v>
      </c>
      <c r="L4" s="12">
        <v>6272</v>
      </c>
    </row>
    <row r="5" spans="1:12" x14ac:dyDescent="0.3">
      <c r="A5" s="14" t="s">
        <v>171</v>
      </c>
      <c r="B5" s="12">
        <v>26</v>
      </c>
      <c r="C5" s="12">
        <v>35</v>
      </c>
      <c r="D5" s="12">
        <v>4</v>
      </c>
      <c r="E5" s="12"/>
      <c r="F5" s="12">
        <v>65</v>
      </c>
      <c r="K5" s="14" t="s">
        <v>2567</v>
      </c>
      <c r="L5" s="12">
        <v>4672</v>
      </c>
    </row>
    <row r="6" spans="1:12" x14ac:dyDescent="0.3">
      <c r="A6" s="14" t="s">
        <v>81</v>
      </c>
      <c r="B6" s="12">
        <v>43</v>
      </c>
      <c r="C6" s="12">
        <v>90</v>
      </c>
      <c r="D6" s="12">
        <v>8</v>
      </c>
      <c r="E6" s="12">
        <v>6</v>
      </c>
      <c r="F6" s="12">
        <v>147</v>
      </c>
      <c r="K6" s="14" t="s">
        <v>2568</v>
      </c>
      <c r="L6" s="12">
        <v>317</v>
      </c>
    </row>
    <row r="7" spans="1:12" x14ac:dyDescent="0.3">
      <c r="A7" s="14" t="s">
        <v>76</v>
      </c>
      <c r="B7" s="12">
        <v>75</v>
      </c>
      <c r="C7" s="12">
        <v>103</v>
      </c>
      <c r="D7" s="12">
        <v>4</v>
      </c>
      <c r="E7" s="12">
        <v>6</v>
      </c>
      <c r="F7" s="12">
        <v>188</v>
      </c>
      <c r="K7" s="14" t="s">
        <v>2569</v>
      </c>
      <c r="L7" s="12">
        <v>736</v>
      </c>
    </row>
    <row r="8" spans="1:12" x14ac:dyDescent="0.3">
      <c r="A8" s="14" t="s">
        <v>128</v>
      </c>
      <c r="B8" s="12">
        <v>99</v>
      </c>
      <c r="C8" s="12">
        <v>69</v>
      </c>
      <c r="D8" s="12">
        <v>3</v>
      </c>
      <c r="E8" s="12">
        <v>24</v>
      </c>
      <c r="F8" s="12">
        <v>195</v>
      </c>
      <c r="K8" s="14" t="s">
        <v>2564</v>
      </c>
      <c r="L8" s="12">
        <v>11997</v>
      </c>
    </row>
    <row r="9" spans="1:12" x14ac:dyDescent="0.3">
      <c r="A9" s="14" t="s">
        <v>67</v>
      </c>
      <c r="B9" s="12">
        <v>179</v>
      </c>
      <c r="C9" s="12">
        <v>76</v>
      </c>
      <c r="D9" s="12">
        <v>3</v>
      </c>
      <c r="E9" s="12"/>
      <c r="F9" s="12">
        <v>258</v>
      </c>
    </row>
    <row r="10" spans="1:12" x14ac:dyDescent="0.3">
      <c r="A10" s="14" t="s">
        <v>135</v>
      </c>
      <c r="B10" s="12">
        <v>127</v>
      </c>
      <c r="C10" s="12">
        <v>118</v>
      </c>
      <c r="D10" s="12">
        <v>13</v>
      </c>
      <c r="E10" s="12">
        <v>12</v>
      </c>
      <c r="F10" s="12">
        <v>270</v>
      </c>
    </row>
    <row r="11" spans="1:12" x14ac:dyDescent="0.3">
      <c r="A11" s="14" t="s">
        <v>30</v>
      </c>
      <c r="B11" s="12">
        <v>146</v>
      </c>
      <c r="C11" s="12">
        <v>94</v>
      </c>
      <c r="D11" s="12">
        <v>4</v>
      </c>
      <c r="E11" s="12">
        <v>28</v>
      </c>
      <c r="F11" s="12">
        <v>272</v>
      </c>
    </row>
    <row r="12" spans="1:12" x14ac:dyDescent="0.3">
      <c r="A12" s="14" t="s">
        <v>69</v>
      </c>
      <c r="B12" s="12">
        <v>234</v>
      </c>
      <c r="C12" s="12">
        <v>93</v>
      </c>
      <c r="D12" s="12">
        <v>19</v>
      </c>
      <c r="E12" s="12">
        <v>24</v>
      </c>
      <c r="F12" s="12">
        <v>370</v>
      </c>
    </row>
    <row r="13" spans="1:12" x14ac:dyDescent="0.3">
      <c r="A13" s="14" t="s">
        <v>146</v>
      </c>
      <c r="B13" s="12">
        <v>189</v>
      </c>
      <c r="C13" s="12">
        <v>168</v>
      </c>
      <c r="D13" s="12">
        <v>10</v>
      </c>
      <c r="E13" s="12">
        <v>31</v>
      </c>
      <c r="F13" s="12">
        <v>398</v>
      </c>
    </row>
    <row r="14" spans="1:12" x14ac:dyDescent="0.3">
      <c r="A14" s="14" t="s">
        <v>123</v>
      </c>
      <c r="B14" s="12">
        <v>153</v>
      </c>
      <c r="C14" s="12">
        <v>246</v>
      </c>
      <c r="D14" s="12">
        <v>30</v>
      </c>
      <c r="E14" s="12">
        <v>8</v>
      </c>
      <c r="F14" s="12">
        <v>437</v>
      </c>
    </row>
    <row r="15" spans="1:12" x14ac:dyDescent="0.3">
      <c r="A15" s="14" t="s">
        <v>37</v>
      </c>
      <c r="B15" s="12">
        <v>296</v>
      </c>
      <c r="C15" s="12">
        <v>275</v>
      </c>
      <c r="D15" s="12">
        <v>9</v>
      </c>
      <c r="E15" s="12">
        <v>23</v>
      </c>
      <c r="F15" s="12">
        <v>603</v>
      </c>
    </row>
    <row r="16" spans="1:12" x14ac:dyDescent="0.3">
      <c r="A16" s="14" t="s">
        <v>42</v>
      </c>
      <c r="B16" s="12">
        <v>264</v>
      </c>
      <c r="C16" s="12">
        <v>318</v>
      </c>
      <c r="D16" s="12">
        <v>15</v>
      </c>
      <c r="E16" s="12">
        <v>9</v>
      </c>
      <c r="F16" s="12">
        <v>606</v>
      </c>
    </row>
    <row r="17" spans="1:6" x14ac:dyDescent="0.3">
      <c r="A17" s="14" t="s">
        <v>32</v>
      </c>
      <c r="B17" s="12">
        <v>431</v>
      </c>
      <c r="C17" s="12">
        <v>187</v>
      </c>
      <c r="D17" s="12">
        <v>14</v>
      </c>
      <c r="E17" s="12">
        <v>15</v>
      </c>
      <c r="F17" s="12">
        <v>647</v>
      </c>
    </row>
    <row r="18" spans="1:6" x14ac:dyDescent="0.3">
      <c r="A18" s="14" t="s">
        <v>46</v>
      </c>
      <c r="B18" s="12">
        <v>445</v>
      </c>
      <c r="C18" s="12">
        <v>202</v>
      </c>
      <c r="D18" s="12">
        <v>14</v>
      </c>
      <c r="E18" s="12">
        <v>39</v>
      </c>
      <c r="F18" s="12">
        <v>700</v>
      </c>
    </row>
    <row r="19" spans="1:6" x14ac:dyDescent="0.3">
      <c r="A19" s="14" t="s">
        <v>16</v>
      </c>
      <c r="B19" s="12">
        <v>428</v>
      </c>
      <c r="C19" s="12">
        <v>293</v>
      </c>
      <c r="D19" s="12"/>
      <c r="E19" s="12">
        <v>24</v>
      </c>
      <c r="F19" s="12">
        <v>745</v>
      </c>
    </row>
    <row r="20" spans="1:6" x14ac:dyDescent="0.3">
      <c r="A20" s="14" t="s">
        <v>54</v>
      </c>
      <c r="B20" s="12">
        <v>482</v>
      </c>
      <c r="C20" s="12">
        <v>295</v>
      </c>
      <c r="D20" s="12">
        <v>8</v>
      </c>
      <c r="E20" s="12">
        <v>22</v>
      </c>
      <c r="F20" s="12">
        <v>807</v>
      </c>
    </row>
    <row r="21" spans="1:6" x14ac:dyDescent="0.3">
      <c r="A21" s="14" t="s">
        <v>22</v>
      </c>
      <c r="B21" s="12">
        <v>568</v>
      </c>
      <c r="C21" s="12">
        <v>306</v>
      </c>
      <c r="D21" s="12">
        <v>22</v>
      </c>
      <c r="E21" s="12">
        <v>16</v>
      </c>
      <c r="F21" s="12">
        <v>912</v>
      </c>
    </row>
    <row r="22" spans="1:6" x14ac:dyDescent="0.3">
      <c r="A22" s="14" t="s">
        <v>26</v>
      </c>
      <c r="B22" s="12">
        <v>627</v>
      </c>
      <c r="C22" s="12">
        <v>393</v>
      </c>
      <c r="D22" s="12">
        <v>29</v>
      </c>
      <c r="E22" s="12">
        <v>137</v>
      </c>
      <c r="F22" s="12">
        <v>1186</v>
      </c>
    </row>
    <row r="23" spans="1:6" x14ac:dyDescent="0.3">
      <c r="A23" s="14" t="s">
        <v>39</v>
      </c>
      <c r="B23" s="12">
        <v>716</v>
      </c>
      <c r="C23" s="12">
        <v>598</v>
      </c>
      <c r="D23" s="12">
        <v>18</v>
      </c>
      <c r="E23" s="12">
        <v>214</v>
      </c>
      <c r="F23" s="12">
        <v>1546</v>
      </c>
    </row>
    <row r="24" spans="1:6" x14ac:dyDescent="0.3">
      <c r="A24" s="14" t="s">
        <v>44</v>
      </c>
      <c r="B24" s="12">
        <v>744</v>
      </c>
      <c r="C24" s="12">
        <v>713</v>
      </c>
      <c r="D24" s="12">
        <v>90</v>
      </c>
      <c r="E24" s="12">
        <v>98</v>
      </c>
      <c r="F24" s="12">
        <v>1645</v>
      </c>
    </row>
    <row r="25" spans="1:6" x14ac:dyDescent="0.3">
      <c r="A25" s="14" t="s">
        <v>2564</v>
      </c>
      <c r="B25" s="12">
        <v>6272</v>
      </c>
      <c r="C25" s="12">
        <v>4672</v>
      </c>
      <c r="D25" s="12">
        <v>317</v>
      </c>
      <c r="E25" s="12">
        <v>736</v>
      </c>
      <c r="F25" s="12">
        <v>11997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7C60C-9351-42F4-A1EC-E532C3285924}">
  <dimension ref="A2:L61"/>
  <sheetViews>
    <sheetView topLeftCell="E1" workbookViewId="0">
      <selection activeCell="E37" sqref="E37"/>
    </sheetView>
  </sheetViews>
  <sheetFormatPr defaultRowHeight="14.4" x14ac:dyDescent="0.3"/>
  <cols>
    <col min="1" max="1" width="22.77734375" bestFit="1" customWidth="1"/>
    <col min="2" max="2" width="19.6640625" bestFit="1" customWidth="1"/>
    <col min="3" max="3" width="14.21875" bestFit="1" customWidth="1"/>
    <col min="4" max="4" width="13.5546875" bestFit="1" customWidth="1"/>
    <col min="5" max="5" width="18.109375" bestFit="1" customWidth="1"/>
    <col min="6" max="6" width="9.109375" bestFit="1" customWidth="1"/>
    <col min="7" max="7" width="19.6640625" bestFit="1" customWidth="1"/>
    <col min="8" max="8" width="13.5546875" bestFit="1" customWidth="1"/>
    <col min="9" max="9" width="13.109375" bestFit="1" customWidth="1"/>
    <col min="10" max="10" width="9.109375" bestFit="1" customWidth="1"/>
    <col min="11" max="11" width="19.6640625" bestFit="1" customWidth="1"/>
    <col min="12" max="12" width="13.109375" bestFit="1" customWidth="1"/>
    <col min="13" max="13" width="6.44140625" bestFit="1" customWidth="1"/>
    <col min="14" max="14" width="9.109375" bestFit="1" customWidth="1"/>
    <col min="15" max="15" width="6.44140625" bestFit="1" customWidth="1"/>
    <col min="16" max="16" width="9.109375" bestFit="1" customWidth="1"/>
    <col min="17" max="17" width="6.44140625" bestFit="1" customWidth="1"/>
    <col min="18" max="18" width="9.109375" bestFit="1" customWidth="1"/>
    <col min="19" max="19" width="6.44140625" bestFit="1" customWidth="1"/>
    <col min="20" max="20" width="9.109375" bestFit="1" customWidth="1"/>
    <col min="21" max="21" width="7.44140625" bestFit="1" customWidth="1"/>
    <col min="22" max="22" width="9.109375" bestFit="1" customWidth="1"/>
    <col min="23" max="23" width="7.44140625" bestFit="1" customWidth="1"/>
    <col min="24" max="24" width="9.109375" bestFit="1" customWidth="1"/>
    <col min="25" max="25" width="7.44140625" bestFit="1" customWidth="1"/>
    <col min="26" max="26" width="9.109375" bestFit="1" customWidth="1"/>
    <col min="27" max="27" width="7.44140625" bestFit="1" customWidth="1"/>
    <col min="28" max="28" width="9.109375" bestFit="1" customWidth="1"/>
    <col min="29" max="29" width="7.44140625" bestFit="1" customWidth="1"/>
    <col min="30" max="30" width="9.109375" bestFit="1" customWidth="1"/>
    <col min="31" max="31" width="7.44140625" bestFit="1" customWidth="1"/>
    <col min="32" max="32" width="9.109375" bestFit="1" customWidth="1"/>
    <col min="33" max="33" width="7.44140625" bestFit="1" customWidth="1"/>
    <col min="34" max="34" width="9.109375" bestFit="1" customWidth="1"/>
    <col min="35" max="35" width="7.44140625" bestFit="1" customWidth="1"/>
    <col min="36" max="36" width="9.109375" bestFit="1" customWidth="1"/>
    <col min="37" max="37" width="7.44140625" bestFit="1" customWidth="1"/>
    <col min="38" max="38" width="9.109375" bestFit="1" customWidth="1"/>
    <col min="39" max="39" width="7.44140625" bestFit="1" customWidth="1"/>
    <col min="40" max="40" width="9.109375" bestFit="1" customWidth="1"/>
    <col min="41" max="41" width="7.44140625" bestFit="1" customWidth="1"/>
    <col min="42" max="42" width="9.109375" bestFit="1" customWidth="1"/>
    <col min="43" max="43" width="7.44140625" bestFit="1" customWidth="1"/>
    <col min="44" max="44" width="9.109375" bestFit="1" customWidth="1"/>
    <col min="45" max="45" width="7.44140625" bestFit="1" customWidth="1"/>
    <col min="46" max="46" width="9.109375" bestFit="1" customWidth="1"/>
    <col min="47" max="47" width="7.44140625" bestFit="1" customWidth="1"/>
    <col min="48" max="48" width="9.109375" bestFit="1" customWidth="1"/>
    <col min="49" max="49" width="7.44140625" bestFit="1" customWidth="1"/>
    <col min="50" max="50" width="9.109375" bestFit="1" customWidth="1"/>
    <col min="51" max="51" width="7.44140625" bestFit="1" customWidth="1"/>
    <col min="52" max="52" width="9.109375" bestFit="1" customWidth="1"/>
    <col min="53" max="53" width="7.44140625" bestFit="1" customWidth="1"/>
    <col min="54" max="54" width="9.109375" bestFit="1" customWidth="1"/>
    <col min="55" max="55" width="7.44140625" bestFit="1" customWidth="1"/>
    <col min="56" max="56" width="9.109375" bestFit="1" customWidth="1"/>
    <col min="57" max="57" width="7.44140625" bestFit="1" customWidth="1"/>
    <col min="58" max="58" width="9.109375" bestFit="1" customWidth="1"/>
    <col min="59" max="59" width="7.44140625" bestFit="1" customWidth="1"/>
    <col min="60" max="60" width="9.109375" bestFit="1" customWidth="1"/>
    <col min="61" max="61" width="7.44140625" bestFit="1" customWidth="1"/>
    <col min="62" max="62" width="9.109375" bestFit="1" customWidth="1"/>
    <col min="63" max="63" width="7.44140625" bestFit="1" customWidth="1"/>
    <col min="64" max="64" width="9.109375" bestFit="1" customWidth="1"/>
    <col min="65" max="65" width="7.44140625" bestFit="1" customWidth="1"/>
    <col min="66" max="66" width="9.109375" bestFit="1" customWidth="1"/>
    <col min="67" max="67" width="7.44140625" bestFit="1" customWidth="1"/>
    <col min="68" max="68" width="9.109375" bestFit="1" customWidth="1"/>
    <col min="69" max="69" width="7.44140625" bestFit="1" customWidth="1"/>
    <col min="70" max="70" width="9.109375" bestFit="1" customWidth="1"/>
    <col min="71" max="71" width="7.44140625" bestFit="1" customWidth="1"/>
    <col min="72" max="72" width="9.109375" bestFit="1" customWidth="1"/>
    <col min="73" max="73" width="7.44140625" bestFit="1" customWidth="1"/>
    <col min="74" max="74" width="9.109375" bestFit="1" customWidth="1"/>
    <col min="75" max="75" width="7.44140625" bestFit="1" customWidth="1"/>
    <col min="76" max="76" width="9.109375" bestFit="1" customWidth="1"/>
    <col min="77" max="77" width="7.44140625" bestFit="1" customWidth="1"/>
    <col min="78" max="78" width="9.109375" bestFit="1" customWidth="1"/>
    <col min="79" max="79" width="7.44140625" bestFit="1" customWidth="1"/>
    <col min="80" max="80" width="9.109375" bestFit="1" customWidth="1"/>
    <col min="81" max="81" width="7.44140625" bestFit="1" customWidth="1"/>
    <col min="82" max="82" width="9.109375" bestFit="1" customWidth="1"/>
    <col min="83" max="83" width="7.44140625" bestFit="1" customWidth="1"/>
    <col min="84" max="84" width="9.109375" bestFit="1" customWidth="1"/>
    <col min="85" max="85" width="7.44140625" bestFit="1" customWidth="1"/>
    <col min="86" max="86" width="9.109375" bestFit="1" customWidth="1"/>
    <col min="87" max="87" width="7.44140625" bestFit="1" customWidth="1"/>
    <col min="88" max="88" width="9.109375" bestFit="1" customWidth="1"/>
    <col min="89" max="89" width="7.44140625" bestFit="1" customWidth="1"/>
    <col min="90" max="90" width="9.109375" bestFit="1" customWidth="1"/>
    <col min="91" max="91" width="7.44140625" bestFit="1" customWidth="1"/>
    <col min="92" max="92" width="9.109375" bestFit="1" customWidth="1"/>
    <col min="93" max="93" width="7.44140625" bestFit="1" customWidth="1"/>
    <col min="94" max="94" width="9.109375" bestFit="1" customWidth="1"/>
    <col min="95" max="95" width="7.44140625" bestFit="1" customWidth="1"/>
    <col min="96" max="96" width="9.109375" bestFit="1" customWidth="1"/>
    <col min="97" max="97" width="7.44140625" bestFit="1" customWidth="1"/>
    <col min="98" max="98" width="10.5546875" bestFit="1" customWidth="1"/>
    <col min="99" max="102" width="5" bestFit="1" customWidth="1"/>
    <col min="103" max="103" width="3" bestFit="1" customWidth="1"/>
    <col min="104" max="132" width="5" bestFit="1" customWidth="1"/>
    <col min="133" max="133" width="3" bestFit="1" customWidth="1"/>
    <col min="134" max="142" width="5" bestFit="1" customWidth="1"/>
    <col min="143" max="143" width="3" bestFit="1" customWidth="1"/>
    <col min="144" max="146" width="5" bestFit="1" customWidth="1"/>
    <col min="147" max="147" width="3" bestFit="1" customWidth="1"/>
    <col min="148" max="151" width="5" bestFit="1" customWidth="1"/>
    <col min="152" max="152" width="3" bestFit="1" customWidth="1"/>
    <col min="153" max="159" width="5" bestFit="1" customWidth="1"/>
    <col min="160" max="160" width="3" bestFit="1" customWidth="1"/>
    <col min="161" max="162" width="5" bestFit="1" customWidth="1"/>
    <col min="163" max="163" width="3" bestFit="1" customWidth="1"/>
    <col min="164" max="199" width="5" bestFit="1" customWidth="1"/>
    <col min="200" max="200" width="3" bestFit="1" customWidth="1"/>
    <col min="201" max="211" width="5" bestFit="1" customWidth="1"/>
    <col min="212" max="212" width="3" bestFit="1" customWidth="1"/>
    <col min="213" max="215" width="5" bestFit="1" customWidth="1"/>
    <col min="216" max="216" width="3" bestFit="1" customWidth="1"/>
    <col min="217" max="227" width="5" bestFit="1" customWidth="1"/>
    <col min="228" max="228" width="3" bestFit="1" customWidth="1"/>
    <col min="229" max="236" width="5" bestFit="1" customWidth="1"/>
    <col min="237" max="237" width="3" bestFit="1" customWidth="1"/>
    <col min="238" max="240" width="5" bestFit="1" customWidth="1"/>
    <col min="241" max="241" width="3" bestFit="1" customWidth="1"/>
    <col min="242" max="242" width="5" bestFit="1" customWidth="1"/>
    <col min="243" max="243" width="3" bestFit="1" customWidth="1"/>
    <col min="244" max="251" width="5" bestFit="1" customWidth="1"/>
    <col min="252" max="252" width="3" bestFit="1" customWidth="1"/>
    <col min="253" max="255" width="5" bestFit="1" customWidth="1"/>
    <col min="256" max="256" width="3" bestFit="1" customWidth="1"/>
    <col min="257" max="271" width="5" bestFit="1" customWidth="1"/>
    <col min="272" max="272" width="3" bestFit="1" customWidth="1"/>
    <col min="273" max="277" width="5" bestFit="1" customWidth="1"/>
    <col min="278" max="278" width="3" bestFit="1" customWidth="1"/>
    <col min="279" max="279" width="5" bestFit="1" customWidth="1"/>
    <col min="280" max="280" width="3" bestFit="1" customWidth="1"/>
    <col min="281" max="284" width="5" bestFit="1" customWidth="1"/>
    <col min="285" max="301" width="6" bestFit="1" customWidth="1"/>
    <col min="302" max="302" width="4" bestFit="1" customWidth="1"/>
    <col min="303" max="310" width="6" bestFit="1" customWidth="1"/>
    <col min="311" max="311" width="6.44140625" bestFit="1" customWidth="1"/>
    <col min="312" max="314" width="5" bestFit="1" customWidth="1"/>
    <col min="315" max="315" width="3" bestFit="1" customWidth="1"/>
    <col min="316" max="316" width="5" bestFit="1" customWidth="1"/>
    <col min="317" max="317" width="3" bestFit="1" customWidth="1"/>
    <col min="318" max="326" width="5" bestFit="1" customWidth="1"/>
    <col min="327" max="327" width="3" bestFit="1" customWidth="1"/>
    <col min="328" max="330" width="5" bestFit="1" customWidth="1"/>
    <col min="331" max="331" width="3" bestFit="1" customWidth="1"/>
    <col min="332" max="333" width="5" bestFit="1" customWidth="1"/>
    <col min="334" max="334" width="3" bestFit="1" customWidth="1"/>
    <col min="335" max="335" width="5" bestFit="1" customWidth="1"/>
    <col min="336" max="336" width="3" bestFit="1" customWidth="1"/>
    <col min="337" max="340" width="5" bestFit="1" customWidth="1"/>
    <col min="341" max="341" width="3" bestFit="1" customWidth="1"/>
    <col min="342" max="350" width="5" bestFit="1" customWidth="1"/>
    <col min="351" max="351" width="3" bestFit="1" customWidth="1"/>
    <col min="352" max="356" width="5" bestFit="1" customWidth="1"/>
    <col min="357" max="357" width="3" bestFit="1" customWidth="1"/>
    <col min="358" max="360" width="5" bestFit="1" customWidth="1"/>
    <col min="361" max="361" width="3" bestFit="1" customWidth="1"/>
    <col min="362" max="369" width="5" bestFit="1" customWidth="1"/>
    <col min="370" max="370" width="3" bestFit="1" customWidth="1"/>
    <col min="371" max="373" width="5" bestFit="1" customWidth="1"/>
    <col min="374" max="374" width="3" bestFit="1" customWidth="1"/>
    <col min="375" max="378" width="5" bestFit="1" customWidth="1"/>
    <col min="379" max="379" width="3" bestFit="1" customWidth="1"/>
    <col min="380" max="383" width="5" bestFit="1" customWidth="1"/>
    <col min="384" max="384" width="3" bestFit="1" customWidth="1"/>
    <col min="385" max="387" width="5" bestFit="1" customWidth="1"/>
    <col min="388" max="388" width="3" bestFit="1" customWidth="1"/>
    <col min="389" max="393" width="5" bestFit="1" customWidth="1"/>
    <col min="394" max="394" width="3" bestFit="1" customWidth="1"/>
    <col min="395" max="399" width="5" bestFit="1" customWidth="1"/>
    <col min="400" max="400" width="3" bestFit="1" customWidth="1"/>
    <col min="401" max="405" width="5" bestFit="1" customWidth="1"/>
    <col min="406" max="406" width="3" bestFit="1" customWidth="1"/>
    <col min="407" max="410" width="5" bestFit="1" customWidth="1"/>
    <col min="411" max="411" width="3" bestFit="1" customWidth="1"/>
    <col min="412" max="413" width="5" bestFit="1" customWidth="1"/>
    <col min="414" max="414" width="3" bestFit="1" customWidth="1"/>
    <col min="415" max="417" width="5" bestFit="1" customWidth="1"/>
    <col min="418" max="418" width="3" bestFit="1" customWidth="1"/>
    <col min="419" max="434" width="5" bestFit="1" customWidth="1"/>
    <col min="435" max="435" width="3" bestFit="1" customWidth="1"/>
    <col min="436" max="443" width="5" bestFit="1" customWidth="1"/>
    <col min="444" max="444" width="3" bestFit="1" customWidth="1"/>
    <col min="445" max="447" width="5" bestFit="1" customWidth="1"/>
    <col min="448" max="448" width="3" bestFit="1" customWidth="1"/>
    <col min="449" max="449" width="5" bestFit="1" customWidth="1"/>
    <col min="450" max="450" width="3" bestFit="1" customWidth="1"/>
    <col min="451" max="452" width="5" bestFit="1" customWidth="1"/>
    <col min="453" max="453" width="3" bestFit="1" customWidth="1"/>
    <col min="454" max="456" width="5" bestFit="1" customWidth="1"/>
    <col min="457" max="457" width="3" bestFit="1" customWidth="1"/>
    <col min="458" max="460" width="5" bestFit="1" customWidth="1"/>
    <col min="461" max="461" width="3" bestFit="1" customWidth="1"/>
    <col min="462" max="468" width="5" bestFit="1" customWidth="1"/>
    <col min="469" max="469" width="3" bestFit="1" customWidth="1"/>
    <col min="470" max="481" width="5" bestFit="1" customWidth="1"/>
    <col min="482" max="482" width="3" bestFit="1" customWidth="1"/>
    <col min="483" max="484" width="5" bestFit="1" customWidth="1"/>
    <col min="485" max="485" width="3" bestFit="1" customWidth="1"/>
    <col min="486" max="487" width="5" bestFit="1" customWidth="1"/>
    <col min="488" max="488" width="3" bestFit="1" customWidth="1"/>
    <col min="489" max="489" width="5" bestFit="1" customWidth="1"/>
    <col min="490" max="490" width="3" bestFit="1" customWidth="1"/>
    <col min="491" max="493" width="5" bestFit="1" customWidth="1"/>
    <col min="494" max="494" width="3" bestFit="1" customWidth="1"/>
    <col min="495" max="497" width="5" bestFit="1" customWidth="1"/>
    <col min="498" max="498" width="3" bestFit="1" customWidth="1"/>
    <col min="499" max="501" width="5" bestFit="1" customWidth="1"/>
    <col min="502" max="502" width="3" bestFit="1" customWidth="1"/>
    <col min="503" max="509" width="5" bestFit="1" customWidth="1"/>
    <col min="510" max="510" width="3" bestFit="1" customWidth="1"/>
    <col min="511" max="515" width="5" bestFit="1" customWidth="1"/>
    <col min="516" max="517" width="6" bestFit="1" customWidth="1"/>
    <col min="518" max="518" width="4" bestFit="1" customWidth="1"/>
    <col min="519" max="520" width="6" bestFit="1" customWidth="1"/>
    <col min="521" max="521" width="4" bestFit="1" customWidth="1"/>
    <col min="522" max="528" width="6" bestFit="1" customWidth="1"/>
    <col min="529" max="529" width="4" bestFit="1" customWidth="1"/>
    <col min="530" max="537" width="6" bestFit="1" customWidth="1"/>
    <col min="538" max="538" width="4" bestFit="1" customWidth="1"/>
    <col min="539" max="545" width="6" bestFit="1" customWidth="1"/>
    <col min="546" max="547" width="4" bestFit="1" customWidth="1"/>
    <col min="548" max="552" width="6" bestFit="1" customWidth="1"/>
    <col min="553" max="553" width="4" bestFit="1" customWidth="1"/>
    <col min="554" max="560" width="6" bestFit="1" customWidth="1"/>
    <col min="561" max="561" width="4" bestFit="1" customWidth="1"/>
    <col min="562" max="563" width="6" bestFit="1" customWidth="1"/>
    <col min="564" max="564" width="4" bestFit="1" customWidth="1"/>
    <col min="565" max="566" width="6" bestFit="1" customWidth="1"/>
    <col min="567" max="567" width="4" bestFit="1" customWidth="1"/>
    <col min="568" max="569" width="6" bestFit="1" customWidth="1"/>
    <col min="570" max="570" width="4" bestFit="1" customWidth="1"/>
    <col min="571" max="572" width="6" bestFit="1" customWidth="1"/>
    <col min="573" max="573" width="4" bestFit="1" customWidth="1"/>
    <col min="574" max="575" width="6" bestFit="1" customWidth="1"/>
    <col min="576" max="577" width="4" bestFit="1" customWidth="1"/>
    <col min="578" max="590" width="6" bestFit="1" customWidth="1"/>
    <col min="591" max="591" width="4" bestFit="1" customWidth="1"/>
    <col min="592" max="598" width="6" bestFit="1" customWidth="1"/>
    <col min="599" max="599" width="4" bestFit="1" customWidth="1"/>
    <col min="600" max="606" width="6" bestFit="1" customWidth="1"/>
    <col min="607" max="607" width="4" bestFit="1" customWidth="1"/>
    <col min="608" max="623" width="6" bestFit="1" customWidth="1"/>
    <col min="624" max="624" width="4" bestFit="1" customWidth="1"/>
    <col min="625" max="626" width="6" bestFit="1" customWidth="1"/>
    <col min="627" max="627" width="4" bestFit="1" customWidth="1"/>
    <col min="628" max="629" width="6" bestFit="1" customWidth="1"/>
    <col min="630" max="630" width="4" bestFit="1" customWidth="1"/>
    <col min="631" max="634" width="6" bestFit="1" customWidth="1"/>
    <col min="635" max="635" width="4" bestFit="1" customWidth="1"/>
    <col min="636" max="643" width="6" bestFit="1" customWidth="1"/>
    <col min="644" max="644" width="4" bestFit="1" customWidth="1"/>
    <col min="645" max="652" width="6" bestFit="1" customWidth="1"/>
    <col min="653" max="653" width="4" bestFit="1" customWidth="1"/>
    <col min="654" max="655" width="6" bestFit="1" customWidth="1"/>
    <col min="656" max="656" width="4" bestFit="1" customWidth="1"/>
    <col min="657" max="659" width="6" bestFit="1" customWidth="1"/>
    <col min="660" max="660" width="4" bestFit="1" customWidth="1"/>
    <col min="661" max="662" width="6" bestFit="1" customWidth="1"/>
    <col min="663" max="663" width="4" bestFit="1" customWidth="1"/>
    <col min="664" max="664" width="6" bestFit="1" customWidth="1"/>
    <col min="665" max="665" width="4" bestFit="1" customWidth="1"/>
    <col min="666" max="668" width="6" bestFit="1" customWidth="1"/>
    <col min="669" max="670" width="4" bestFit="1" customWidth="1"/>
    <col min="671" max="673" width="6" bestFit="1" customWidth="1"/>
    <col min="674" max="675" width="4" bestFit="1" customWidth="1"/>
    <col min="676" max="686" width="6" bestFit="1" customWidth="1"/>
    <col min="687" max="687" width="4" bestFit="1" customWidth="1"/>
    <col min="688" max="689" width="6" bestFit="1" customWidth="1"/>
    <col min="690" max="690" width="4" bestFit="1" customWidth="1"/>
    <col min="691" max="691" width="6" bestFit="1" customWidth="1"/>
    <col min="692" max="692" width="4" bestFit="1" customWidth="1"/>
    <col min="693" max="696" width="6" bestFit="1" customWidth="1"/>
    <col min="697" max="698" width="4" bestFit="1" customWidth="1"/>
    <col min="699" max="699" width="6" bestFit="1" customWidth="1"/>
    <col min="700" max="701" width="4" bestFit="1" customWidth="1"/>
    <col min="702" max="710" width="6" bestFit="1" customWidth="1"/>
    <col min="711" max="711" width="4" bestFit="1" customWidth="1"/>
    <col min="712" max="713" width="6" bestFit="1" customWidth="1"/>
    <col min="714" max="714" width="4" bestFit="1" customWidth="1"/>
    <col min="715" max="719" width="6" bestFit="1" customWidth="1"/>
    <col min="720" max="721" width="4" bestFit="1" customWidth="1"/>
    <col min="722" max="728" width="6" bestFit="1" customWidth="1"/>
    <col min="729" max="729" width="4" bestFit="1" customWidth="1"/>
    <col min="730" max="730" width="6.44140625" bestFit="1" customWidth="1"/>
    <col min="731" max="744" width="5" bestFit="1" customWidth="1"/>
    <col min="745" max="745" width="3" bestFit="1" customWidth="1"/>
    <col min="746" max="755" width="5" bestFit="1" customWidth="1"/>
    <col min="756" max="756" width="3" bestFit="1" customWidth="1"/>
    <col min="757" max="776" width="5" bestFit="1" customWidth="1"/>
    <col min="777" max="777" width="3" bestFit="1" customWidth="1"/>
    <col min="778" max="784" width="5" bestFit="1" customWidth="1"/>
    <col min="785" max="785" width="3" bestFit="1" customWidth="1"/>
    <col min="786" max="797" width="5" bestFit="1" customWidth="1"/>
    <col min="798" max="798" width="3" bestFit="1" customWidth="1"/>
    <col min="799" max="805" width="5" bestFit="1" customWidth="1"/>
    <col min="806" max="806" width="3" bestFit="1" customWidth="1"/>
    <col min="807" max="811" width="5" bestFit="1" customWidth="1"/>
    <col min="812" max="815" width="6" bestFit="1" customWidth="1"/>
    <col min="816" max="816" width="4" bestFit="1" customWidth="1"/>
    <col min="817" max="818" width="6" bestFit="1" customWidth="1"/>
    <col min="819" max="819" width="4" bestFit="1" customWidth="1"/>
    <col min="820" max="822" width="6" bestFit="1" customWidth="1"/>
    <col min="823" max="823" width="4" bestFit="1" customWidth="1"/>
    <col min="824" max="830" width="6" bestFit="1" customWidth="1"/>
    <col min="831" max="831" width="4" bestFit="1" customWidth="1"/>
    <col min="832" max="832" width="6" bestFit="1" customWidth="1"/>
    <col min="833" max="833" width="4" bestFit="1" customWidth="1"/>
    <col min="834" max="835" width="6" bestFit="1" customWidth="1"/>
    <col min="836" max="836" width="4" bestFit="1" customWidth="1"/>
    <col min="837" max="837" width="6" bestFit="1" customWidth="1"/>
    <col min="838" max="838" width="4" bestFit="1" customWidth="1"/>
    <col min="839" max="847" width="6" bestFit="1" customWidth="1"/>
    <col min="848" max="848" width="4" bestFit="1" customWidth="1"/>
    <col min="849" max="857" width="6" bestFit="1" customWidth="1"/>
    <col min="858" max="858" width="4" bestFit="1" customWidth="1"/>
    <col min="859" max="873" width="6" bestFit="1" customWidth="1"/>
    <col min="874" max="874" width="4" bestFit="1" customWidth="1"/>
    <col min="875" max="881" width="6" bestFit="1" customWidth="1"/>
    <col min="882" max="882" width="4" bestFit="1" customWidth="1"/>
    <col min="883" max="889" width="6" bestFit="1" customWidth="1"/>
    <col min="890" max="890" width="4" bestFit="1" customWidth="1"/>
    <col min="891" max="898" width="6" bestFit="1" customWidth="1"/>
    <col min="899" max="899" width="4" bestFit="1" customWidth="1"/>
    <col min="900" max="903" width="6" bestFit="1" customWidth="1"/>
    <col min="904" max="904" width="4" bestFit="1" customWidth="1"/>
    <col min="905" max="915" width="6" bestFit="1" customWidth="1"/>
    <col min="916" max="916" width="4" bestFit="1" customWidth="1"/>
    <col min="917" max="949" width="6" bestFit="1" customWidth="1"/>
    <col min="950" max="950" width="4" bestFit="1" customWidth="1"/>
    <col min="951" max="952" width="6" bestFit="1" customWidth="1"/>
    <col min="953" max="953" width="4" bestFit="1" customWidth="1"/>
    <col min="954" max="962" width="6" bestFit="1" customWidth="1"/>
    <col min="963" max="963" width="4" bestFit="1" customWidth="1"/>
    <col min="964" max="979" width="6" bestFit="1" customWidth="1"/>
    <col min="980" max="980" width="4" bestFit="1" customWidth="1"/>
    <col min="981" max="1001" width="6" bestFit="1" customWidth="1"/>
    <col min="1002" max="1002" width="4" bestFit="1" customWidth="1"/>
    <col min="1003" max="1006" width="6" bestFit="1" customWidth="1"/>
    <col min="1007" max="1007" width="4" bestFit="1" customWidth="1"/>
    <col min="1008" max="1026" width="6" bestFit="1" customWidth="1"/>
    <col min="1027" max="1027" width="4" bestFit="1" customWidth="1"/>
    <col min="1028" max="1029" width="6" bestFit="1" customWidth="1"/>
    <col min="1030" max="1030" width="4" bestFit="1" customWidth="1"/>
    <col min="1031" max="1032" width="6" bestFit="1" customWidth="1"/>
    <col min="1033" max="1033" width="4" bestFit="1" customWidth="1"/>
    <col min="1034" max="1034" width="6.44140625" bestFit="1" customWidth="1"/>
    <col min="1035" max="1042" width="5" bestFit="1" customWidth="1"/>
    <col min="1043" max="1043" width="3" bestFit="1" customWidth="1"/>
    <col min="1044" max="1045" width="5" bestFit="1" customWidth="1"/>
    <col min="1046" max="1046" width="3" bestFit="1" customWidth="1"/>
    <col min="1047" max="1047" width="5" bestFit="1" customWidth="1"/>
    <col min="1048" max="1048" width="3" bestFit="1" customWidth="1"/>
    <col min="1049" max="1052" width="5" bestFit="1" customWidth="1"/>
    <col min="1053" max="1053" width="3" bestFit="1" customWidth="1"/>
    <col min="1054" max="1057" width="5" bestFit="1" customWidth="1"/>
    <col min="1058" max="1059" width="3" bestFit="1" customWidth="1"/>
    <col min="1060" max="1061" width="5" bestFit="1" customWidth="1"/>
    <col min="1062" max="1062" width="3" bestFit="1" customWidth="1"/>
    <col min="1063" max="1064" width="5" bestFit="1" customWidth="1"/>
    <col min="1065" max="1065" width="3" bestFit="1" customWidth="1"/>
    <col min="1066" max="1066" width="5" bestFit="1" customWidth="1"/>
    <col min="1067" max="1067" width="3" bestFit="1" customWidth="1"/>
    <col min="1068" max="1070" width="5" bestFit="1" customWidth="1"/>
    <col min="1071" max="1071" width="4" bestFit="1" customWidth="1"/>
    <col min="1072" max="1075" width="6" bestFit="1" customWidth="1"/>
    <col min="1076" max="1076" width="4" bestFit="1" customWidth="1"/>
    <col min="1077" max="1081" width="6" bestFit="1" customWidth="1"/>
    <col min="1082" max="1082" width="4" bestFit="1" customWidth="1"/>
    <col min="1083" max="1088" width="6" bestFit="1" customWidth="1"/>
    <col min="1089" max="1089" width="4" bestFit="1" customWidth="1"/>
    <col min="1090" max="1092" width="6" bestFit="1" customWidth="1"/>
    <col min="1093" max="1093" width="4" bestFit="1" customWidth="1"/>
    <col min="1094" max="1102" width="6" bestFit="1" customWidth="1"/>
    <col min="1103" max="1103" width="4" bestFit="1" customWidth="1"/>
    <col min="1104" max="1112" width="6" bestFit="1" customWidth="1"/>
    <col min="1113" max="1113" width="4" bestFit="1" customWidth="1"/>
    <col min="1114" max="1115" width="6" bestFit="1" customWidth="1"/>
    <col min="1116" max="1117" width="4" bestFit="1" customWidth="1"/>
    <col min="1118" max="1120" width="6" bestFit="1" customWidth="1"/>
    <col min="1121" max="1121" width="4" bestFit="1" customWidth="1"/>
    <col min="1122" max="1123" width="6" bestFit="1" customWidth="1"/>
    <col min="1124" max="1124" width="4" bestFit="1" customWidth="1"/>
    <col min="1125" max="1126" width="6" bestFit="1" customWidth="1"/>
    <col min="1127" max="1127" width="4" bestFit="1" customWidth="1"/>
    <col min="1128" max="1128" width="6" bestFit="1" customWidth="1"/>
    <col min="1129" max="1129" width="4" bestFit="1" customWidth="1"/>
    <col min="1130" max="1131" width="6" bestFit="1" customWidth="1"/>
    <col min="1132" max="1132" width="4" bestFit="1" customWidth="1"/>
    <col min="1133" max="1136" width="6" bestFit="1" customWidth="1"/>
    <col min="1137" max="1137" width="4" bestFit="1" customWidth="1"/>
    <col min="1138" max="1144" width="6" bestFit="1" customWidth="1"/>
    <col min="1145" max="1145" width="4" bestFit="1" customWidth="1"/>
    <col min="1146" max="1152" width="6" bestFit="1" customWidth="1"/>
    <col min="1153" max="1153" width="4" bestFit="1" customWidth="1"/>
    <col min="1154" max="1159" width="6" bestFit="1" customWidth="1"/>
    <col min="1160" max="1160" width="4" bestFit="1" customWidth="1"/>
    <col min="1161" max="1167" width="6" bestFit="1" customWidth="1"/>
    <col min="1168" max="1168" width="4" bestFit="1" customWidth="1"/>
    <col min="1169" max="1170" width="6" bestFit="1" customWidth="1"/>
    <col min="1171" max="1172" width="4" bestFit="1" customWidth="1"/>
    <col min="1173" max="1175" width="6" bestFit="1" customWidth="1"/>
    <col min="1176" max="1176" width="4" bestFit="1" customWidth="1"/>
    <col min="1177" max="1177" width="6" bestFit="1" customWidth="1"/>
    <col min="1178" max="1178" width="4" bestFit="1" customWidth="1"/>
    <col min="1179" max="1189" width="6" bestFit="1" customWidth="1"/>
    <col min="1190" max="1190" width="4" bestFit="1" customWidth="1"/>
    <col min="1191" max="1193" width="6" bestFit="1" customWidth="1"/>
    <col min="1194" max="1194" width="4" bestFit="1" customWidth="1"/>
    <col min="1195" max="1198" width="6" bestFit="1" customWidth="1"/>
    <col min="1199" max="1199" width="4" bestFit="1" customWidth="1"/>
    <col min="1200" max="1202" width="6" bestFit="1" customWidth="1"/>
    <col min="1203" max="1203" width="4" bestFit="1" customWidth="1"/>
    <col min="1204" max="1210" width="6" bestFit="1" customWidth="1"/>
    <col min="1211" max="1212" width="4" bestFit="1" customWidth="1"/>
    <col min="1213" max="1219" width="6" bestFit="1" customWidth="1"/>
    <col min="1220" max="1220" width="4" bestFit="1" customWidth="1"/>
    <col min="1221" max="1230" width="6" bestFit="1" customWidth="1"/>
    <col min="1231" max="1231" width="4" bestFit="1" customWidth="1"/>
    <col min="1232" max="1238" width="6" bestFit="1" customWidth="1"/>
    <col min="1239" max="1239" width="4" bestFit="1" customWidth="1"/>
    <col min="1240" max="1248" width="6" bestFit="1" customWidth="1"/>
    <col min="1249" max="1249" width="4" bestFit="1" customWidth="1"/>
    <col min="1250" max="1250" width="6" bestFit="1" customWidth="1"/>
    <col min="1251" max="1252" width="4" bestFit="1" customWidth="1"/>
    <col min="1253" max="1253" width="6.44140625" bestFit="1" customWidth="1"/>
    <col min="1254" max="1254" width="3.6640625" bestFit="1" customWidth="1"/>
    <col min="1255" max="1255" width="5" bestFit="1" customWidth="1"/>
    <col min="1256" max="1258" width="3" bestFit="1" customWidth="1"/>
    <col min="1259" max="1259" width="5" bestFit="1" customWidth="1"/>
    <col min="1260" max="1260" width="3" bestFit="1" customWidth="1"/>
    <col min="1261" max="1262" width="5" bestFit="1" customWidth="1"/>
    <col min="1263" max="1263" width="3" bestFit="1" customWidth="1"/>
    <col min="1264" max="1264" width="5" bestFit="1" customWidth="1"/>
    <col min="1265" max="1265" width="6" bestFit="1" customWidth="1"/>
    <col min="1266" max="1268" width="4" bestFit="1" customWidth="1"/>
    <col min="1269" max="1271" width="6" bestFit="1" customWidth="1"/>
    <col min="1272" max="1272" width="4" bestFit="1" customWidth="1"/>
    <col min="1273" max="1273" width="6" bestFit="1" customWidth="1"/>
    <col min="1274" max="1274" width="4" bestFit="1" customWidth="1"/>
    <col min="1275" max="1275" width="6" bestFit="1" customWidth="1"/>
    <col min="1276" max="1276" width="4" bestFit="1" customWidth="1"/>
    <col min="1277" max="1278" width="6" bestFit="1" customWidth="1"/>
    <col min="1279" max="1279" width="4" bestFit="1" customWidth="1"/>
    <col min="1280" max="1280" width="6" bestFit="1" customWidth="1"/>
    <col min="1281" max="1281" width="4" bestFit="1" customWidth="1"/>
    <col min="1282" max="1282" width="6" bestFit="1" customWidth="1"/>
    <col min="1283" max="1283" width="4" bestFit="1" customWidth="1"/>
    <col min="1284" max="1285" width="6" bestFit="1" customWidth="1"/>
    <col min="1286" max="1287" width="4" bestFit="1" customWidth="1"/>
    <col min="1288" max="1288" width="6" bestFit="1" customWidth="1"/>
    <col min="1289" max="1289" width="4" bestFit="1" customWidth="1"/>
    <col min="1290" max="1290" width="6" bestFit="1" customWidth="1"/>
    <col min="1291" max="1291" width="4" bestFit="1" customWidth="1"/>
    <col min="1292" max="1292" width="6" bestFit="1" customWidth="1"/>
    <col min="1293" max="1293" width="4" bestFit="1" customWidth="1"/>
    <col min="1294" max="1296" width="6" bestFit="1" customWidth="1"/>
    <col min="1297" max="1298" width="4" bestFit="1" customWidth="1"/>
    <col min="1299" max="1299" width="6" bestFit="1" customWidth="1"/>
    <col min="1300" max="1300" width="4" bestFit="1" customWidth="1"/>
    <col min="1301" max="1301" width="6" bestFit="1" customWidth="1"/>
    <col min="1302" max="1303" width="4" bestFit="1" customWidth="1"/>
    <col min="1304" max="1304" width="6" bestFit="1" customWidth="1"/>
    <col min="1305" max="1305" width="4" bestFit="1" customWidth="1"/>
    <col min="1306" max="1307" width="6" bestFit="1" customWidth="1"/>
    <col min="1308" max="1308" width="4" bestFit="1" customWidth="1"/>
    <col min="1309" max="1309" width="6" bestFit="1" customWidth="1"/>
    <col min="1310" max="1310" width="4" bestFit="1" customWidth="1"/>
    <col min="1311" max="1311" width="6" bestFit="1" customWidth="1"/>
    <col min="1312" max="1314" width="4" bestFit="1" customWidth="1"/>
    <col min="1315" max="1315" width="6" bestFit="1" customWidth="1"/>
    <col min="1316" max="1317" width="4" bestFit="1" customWidth="1"/>
    <col min="1318" max="1320" width="6" bestFit="1" customWidth="1"/>
    <col min="1321" max="1322" width="4" bestFit="1" customWidth="1"/>
    <col min="1323" max="1323" width="6" bestFit="1" customWidth="1"/>
    <col min="1324" max="1324" width="4" bestFit="1" customWidth="1"/>
    <col min="1325" max="1325" width="6" bestFit="1" customWidth="1"/>
    <col min="1326" max="1326" width="4" bestFit="1" customWidth="1"/>
    <col min="1327" max="1328" width="6" bestFit="1" customWidth="1"/>
    <col min="1329" max="1331" width="4" bestFit="1" customWidth="1"/>
    <col min="1332" max="1332" width="6" bestFit="1" customWidth="1"/>
    <col min="1333" max="1336" width="4" bestFit="1" customWidth="1"/>
    <col min="1337" max="1339" width="6" bestFit="1" customWidth="1"/>
    <col min="1340" max="1340" width="4" bestFit="1" customWidth="1"/>
    <col min="1341" max="1342" width="6" bestFit="1" customWidth="1"/>
    <col min="1343" max="1343" width="4" bestFit="1" customWidth="1"/>
    <col min="1344" max="1345" width="6" bestFit="1" customWidth="1"/>
    <col min="1346" max="1346" width="4" bestFit="1" customWidth="1"/>
    <col min="1347" max="1348" width="6" bestFit="1" customWidth="1"/>
    <col min="1349" max="1349" width="4" bestFit="1" customWidth="1"/>
    <col min="1350" max="1350" width="6" bestFit="1" customWidth="1"/>
    <col min="1351" max="1351" width="4" bestFit="1" customWidth="1"/>
    <col min="1352" max="1355" width="6" bestFit="1" customWidth="1"/>
    <col min="1356" max="1356" width="4" bestFit="1" customWidth="1"/>
    <col min="1357" max="1360" width="6" bestFit="1" customWidth="1"/>
    <col min="1361" max="1361" width="4" bestFit="1" customWidth="1"/>
    <col min="1362" max="1365" width="6" bestFit="1" customWidth="1"/>
    <col min="1366" max="1367" width="4" bestFit="1" customWidth="1"/>
    <col min="1368" max="1368" width="6" bestFit="1" customWidth="1"/>
    <col min="1369" max="1370" width="4" bestFit="1" customWidth="1"/>
    <col min="1371" max="1371" width="6" bestFit="1" customWidth="1"/>
    <col min="1372" max="1372" width="4" bestFit="1" customWidth="1"/>
    <col min="1373" max="1374" width="6" bestFit="1" customWidth="1"/>
    <col min="1375" max="1376" width="4" bestFit="1" customWidth="1"/>
    <col min="1377" max="1378" width="6" bestFit="1" customWidth="1"/>
    <col min="1379" max="1379" width="4" bestFit="1" customWidth="1"/>
    <col min="1380" max="1380" width="6" bestFit="1" customWidth="1"/>
    <col min="1381" max="1383" width="4" bestFit="1" customWidth="1"/>
    <col min="1384" max="1384" width="6" bestFit="1" customWidth="1"/>
    <col min="1385" max="1385" width="4" bestFit="1" customWidth="1"/>
    <col min="1386" max="1388" width="6" bestFit="1" customWidth="1"/>
    <col min="1389" max="1391" width="4" bestFit="1" customWidth="1"/>
    <col min="1392" max="1392" width="6" bestFit="1" customWidth="1"/>
    <col min="1393" max="1393" width="4" bestFit="1" customWidth="1"/>
    <col min="1394" max="1394" width="6" bestFit="1" customWidth="1"/>
    <col min="1395" max="1396" width="4" bestFit="1" customWidth="1"/>
    <col min="1397" max="1397" width="6" bestFit="1" customWidth="1"/>
    <col min="1398" max="1400" width="4" bestFit="1" customWidth="1"/>
    <col min="1401" max="1401" width="6" bestFit="1" customWidth="1"/>
    <col min="1402" max="1402" width="4" bestFit="1" customWidth="1"/>
    <col min="1403" max="1403" width="6" bestFit="1" customWidth="1"/>
    <col min="1404" max="1404" width="4" bestFit="1" customWidth="1"/>
    <col min="1405" max="1406" width="6" bestFit="1" customWidth="1"/>
    <col min="1407" max="1407" width="4" bestFit="1" customWidth="1"/>
    <col min="1408" max="1408" width="6" bestFit="1" customWidth="1"/>
    <col min="1409" max="1413" width="4" bestFit="1" customWidth="1"/>
    <col min="1414" max="1414" width="6" bestFit="1" customWidth="1"/>
    <col min="1415" max="1415" width="4" bestFit="1" customWidth="1"/>
    <col min="1416" max="1416" width="6" bestFit="1" customWidth="1"/>
    <col min="1417" max="1419" width="4" bestFit="1" customWidth="1"/>
    <col min="1420" max="1420" width="6" bestFit="1" customWidth="1"/>
    <col min="1421" max="1422" width="4" bestFit="1" customWidth="1"/>
    <col min="1423" max="1424" width="6" bestFit="1" customWidth="1"/>
    <col min="1425" max="1425" width="6.44140625" bestFit="1" customWidth="1"/>
    <col min="1426" max="1427" width="5" bestFit="1" customWidth="1"/>
    <col min="1428" max="1428" width="3" bestFit="1" customWidth="1"/>
    <col min="1429" max="1429" width="5" bestFit="1" customWidth="1"/>
    <col min="1430" max="1430" width="4" bestFit="1" customWidth="1"/>
    <col min="1431" max="1446" width="6" bestFit="1" customWidth="1"/>
    <col min="1447" max="1448" width="4" bestFit="1" customWidth="1"/>
    <col min="1449" max="1449" width="6" bestFit="1" customWidth="1"/>
    <col min="1450" max="1450" width="4" bestFit="1" customWidth="1"/>
    <col min="1451" max="1457" width="6" bestFit="1" customWidth="1"/>
    <col min="1458" max="1458" width="4" bestFit="1" customWidth="1"/>
    <col min="1459" max="1459" width="6" bestFit="1" customWidth="1"/>
    <col min="1460" max="1460" width="4" bestFit="1" customWidth="1"/>
    <col min="1461" max="1462" width="6" bestFit="1" customWidth="1"/>
    <col min="1463" max="1463" width="4" bestFit="1" customWidth="1"/>
    <col min="1464" max="1464" width="6" bestFit="1" customWidth="1"/>
    <col min="1465" max="1465" width="4" bestFit="1" customWidth="1"/>
    <col min="1466" max="1469" width="6" bestFit="1" customWidth="1"/>
    <col min="1470" max="1471" width="4" bestFit="1" customWidth="1"/>
    <col min="1472" max="1472" width="6" bestFit="1" customWidth="1"/>
    <col min="1473" max="1473" width="4" bestFit="1" customWidth="1"/>
    <col min="1474" max="1474" width="6" bestFit="1" customWidth="1"/>
    <col min="1475" max="1475" width="4" bestFit="1" customWidth="1"/>
    <col min="1476" max="1483" width="6" bestFit="1" customWidth="1"/>
    <col min="1484" max="1484" width="4" bestFit="1" customWidth="1"/>
    <col min="1485" max="1490" width="6" bestFit="1" customWidth="1"/>
    <col min="1491" max="1491" width="4" bestFit="1" customWidth="1"/>
    <col min="1492" max="1504" width="6" bestFit="1" customWidth="1"/>
    <col min="1505" max="1505" width="4" bestFit="1" customWidth="1"/>
    <col min="1506" max="1514" width="6" bestFit="1" customWidth="1"/>
    <col min="1515" max="1515" width="4" bestFit="1" customWidth="1"/>
    <col min="1516" max="1516" width="6" bestFit="1" customWidth="1"/>
    <col min="1517" max="1517" width="4" bestFit="1" customWidth="1"/>
    <col min="1518" max="1522" width="6" bestFit="1" customWidth="1"/>
    <col min="1523" max="1523" width="4" bestFit="1" customWidth="1"/>
    <col min="1524" max="1530" width="6" bestFit="1" customWidth="1"/>
    <col min="1531" max="1533" width="4" bestFit="1" customWidth="1"/>
    <col min="1534" max="1536" width="6" bestFit="1" customWidth="1"/>
    <col min="1537" max="1537" width="6.44140625" bestFit="1" customWidth="1"/>
    <col min="1538" max="1538" width="5" bestFit="1" customWidth="1"/>
    <col min="1539" max="1539" width="3" bestFit="1" customWidth="1"/>
    <col min="1540" max="1547" width="6" bestFit="1" customWidth="1"/>
    <col min="1548" max="1548" width="4" bestFit="1" customWidth="1"/>
    <col min="1549" max="1555" width="6" bestFit="1" customWidth="1"/>
    <col min="1556" max="1556" width="4" bestFit="1" customWidth="1"/>
    <col min="1557" max="1562" width="6" bestFit="1" customWidth="1"/>
    <col min="1563" max="1563" width="4" bestFit="1" customWidth="1"/>
    <col min="1564" max="1570" width="6" bestFit="1" customWidth="1"/>
    <col min="1571" max="1571" width="4" bestFit="1" customWidth="1"/>
    <col min="1572" max="1572" width="6" bestFit="1" customWidth="1"/>
    <col min="1573" max="1573" width="4" bestFit="1" customWidth="1"/>
    <col min="1574" max="1581" width="6" bestFit="1" customWidth="1"/>
    <col min="1582" max="1582" width="4" bestFit="1" customWidth="1"/>
    <col min="1583" max="1602" width="6" bestFit="1" customWidth="1"/>
    <col min="1603" max="1603" width="4" bestFit="1" customWidth="1"/>
    <col min="1604" max="1617" width="6" bestFit="1" customWidth="1"/>
    <col min="1618" max="1618" width="4" bestFit="1" customWidth="1"/>
    <col min="1619" max="1622" width="6" bestFit="1" customWidth="1"/>
    <col min="1623" max="1623" width="4" bestFit="1" customWidth="1"/>
    <col min="1624" max="1636" width="6" bestFit="1" customWidth="1"/>
    <col min="1637" max="1637" width="4" bestFit="1" customWidth="1"/>
    <col min="1638" max="1641" width="6" bestFit="1" customWidth="1"/>
    <col min="1642" max="1642" width="5" bestFit="1" customWidth="1"/>
    <col min="1643" max="1643" width="6.44140625" bestFit="1" customWidth="1"/>
    <col min="1644" max="1645" width="5" bestFit="1" customWidth="1"/>
    <col min="1646" max="1646" width="3" bestFit="1" customWidth="1"/>
    <col min="1647" max="1648" width="6" bestFit="1" customWidth="1"/>
    <col min="1649" max="1649" width="4" bestFit="1" customWidth="1"/>
    <col min="1650" max="1655" width="6" bestFit="1" customWidth="1"/>
    <col min="1656" max="1656" width="4" bestFit="1" customWidth="1"/>
    <col min="1657" max="1657" width="6" bestFit="1" customWidth="1"/>
    <col min="1658" max="1658" width="4" bestFit="1" customWidth="1"/>
    <col min="1659" max="1660" width="6" bestFit="1" customWidth="1"/>
    <col min="1661" max="1662" width="4" bestFit="1" customWidth="1"/>
    <col min="1663" max="1666" width="6" bestFit="1" customWidth="1"/>
    <col min="1667" max="1668" width="4" bestFit="1" customWidth="1"/>
    <col min="1669" max="1669" width="6" bestFit="1" customWidth="1"/>
    <col min="1670" max="1671" width="4" bestFit="1" customWidth="1"/>
    <col min="1672" max="1672" width="6" bestFit="1" customWidth="1"/>
    <col min="1673" max="1673" width="4" bestFit="1" customWidth="1"/>
    <col min="1674" max="1674" width="6" bestFit="1" customWidth="1"/>
    <col min="1675" max="1675" width="4" bestFit="1" customWidth="1"/>
    <col min="1676" max="1679" width="6" bestFit="1" customWidth="1"/>
    <col min="1680" max="1680" width="4" bestFit="1" customWidth="1"/>
    <col min="1681" max="1683" width="6" bestFit="1" customWidth="1"/>
    <col min="1684" max="1684" width="4" bestFit="1" customWidth="1"/>
    <col min="1685" max="1685" width="6" bestFit="1" customWidth="1"/>
    <col min="1686" max="1686" width="4" bestFit="1" customWidth="1"/>
    <col min="1687" max="1698" width="6" bestFit="1" customWidth="1"/>
    <col min="1699" max="1699" width="4" bestFit="1" customWidth="1"/>
    <col min="1700" max="1703" width="6" bestFit="1" customWidth="1"/>
    <col min="1704" max="1704" width="4" bestFit="1" customWidth="1"/>
    <col min="1705" max="1705" width="6" bestFit="1" customWidth="1"/>
    <col min="1706" max="1706" width="4" bestFit="1" customWidth="1"/>
    <col min="1707" max="1709" width="6" bestFit="1" customWidth="1"/>
    <col min="1710" max="1710" width="7" bestFit="1" customWidth="1"/>
    <col min="1711" max="1711" width="6.44140625" bestFit="1" customWidth="1"/>
    <col min="1712" max="1749" width="6" bestFit="1" customWidth="1"/>
    <col min="1750" max="1750" width="4" bestFit="1" customWidth="1"/>
    <col min="1751" max="1754" width="6" bestFit="1" customWidth="1"/>
    <col min="1755" max="1755" width="4" bestFit="1" customWidth="1"/>
    <col min="1756" max="1756" width="6" bestFit="1" customWidth="1"/>
    <col min="1757" max="1757" width="4" bestFit="1" customWidth="1"/>
    <col min="1758" max="1761" width="7" bestFit="1" customWidth="1"/>
    <col min="1762" max="1762" width="6.44140625" bestFit="1" customWidth="1"/>
    <col min="1763" max="1763" width="4.6640625" bestFit="1" customWidth="1"/>
    <col min="1764" max="1805" width="4" bestFit="1" customWidth="1"/>
    <col min="1806" max="1815" width="5" bestFit="1" customWidth="1"/>
    <col min="1816" max="1816" width="7.44140625" bestFit="1" customWidth="1"/>
    <col min="1817" max="1825" width="6" bestFit="1" customWidth="1"/>
    <col min="1826" max="1826" width="4" bestFit="1" customWidth="1"/>
    <col min="1827" max="1833" width="6" bestFit="1" customWidth="1"/>
    <col min="1834" max="1834" width="4" bestFit="1" customWidth="1"/>
    <col min="1835" max="1849" width="6" bestFit="1" customWidth="1"/>
    <col min="1850" max="1852" width="7" bestFit="1" customWidth="1"/>
    <col min="1853" max="1853" width="7.44140625" bestFit="1" customWidth="1"/>
    <col min="1854" max="1858" width="6" bestFit="1" customWidth="1"/>
    <col min="1859" max="1859" width="4" bestFit="1" customWidth="1"/>
    <col min="1860" max="1882" width="6" bestFit="1" customWidth="1"/>
    <col min="1883" max="1883" width="5" bestFit="1" customWidth="1"/>
    <col min="1884" max="1884" width="7" bestFit="1" customWidth="1"/>
    <col min="1885" max="1885" width="5" bestFit="1" customWidth="1"/>
    <col min="1886" max="1886" width="7.44140625" bestFit="1" customWidth="1"/>
    <col min="1887" max="1894" width="6" bestFit="1" customWidth="1"/>
    <col min="1895" max="1895" width="4" bestFit="1" customWidth="1"/>
    <col min="1896" max="1904" width="6" bestFit="1" customWidth="1"/>
    <col min="1905" max="1908" width="7" bestFit="1" customWidth="1"/>
    <col min="1909" max="1909" width="7.44140625" bestFit="1" customWidth="1"/>
    <col min="1910" max="1910" width="6" bestFit="1" customWidth="1"/>
    <col min="1911" max="1911" width="4" bestFit="1" customWidth="1"/>
    <col min="1912" max="1916" width="6" bestFit="1" customWidth="1"/>
    <col min="1917" max="1918" width="4" bestFit="1" customWidth="1"/>
    <col min="1919" max="1919" width="6" bestFit="1" customWidth="1"/>
    <col min="1920" max="1920" width="4" bestFit="1" customWidth="1"/>
    <col min="1921" max="1922" width="6" bestFit="1" customWidth="1"/>
    <col min="1923" max="1925" width="7" bestFit="1" customWidth="1"/>
    <col min="1926" max="1926" width="5" bestFit="1" customWidth="1"/>
    <col min="1927" max="1927" width="7.44140625" bestFit="1" customWidth="1"/>
    <col min="1928" max="1928" width="4.6640625" bestFit="1" customWidth="1"/>
    <col min="1929" max="1934" width="4" bestFit="1" customWidth="1"/>
    <col min="1935" max="1936" width="6" bestFit="1" customWidth="1"/>
    <col min="1937" max="1937" width="4" bestFit="1" customWidth="1"/>
    <col min="1938" max="1939" width="5" bestFit="1" customWidth="1"/>
    <col min="1940" max="1942" width="7" bestFit="1" customWidth="1"/>
    <col min="1943" max="1943" width="7.44140625" bestFit="1" customWidth="1"/>
    <col min="1944" max="1944" width="6" bestFit="1" customWidth="1"/>
    <col min="1945" max="1945" width="4" bestFit="1" customWidth="1"/>
    <col min="1946" max="1946" width="6" bestFit="1" customWidth="1"/>
    <col min="1947" max="1947" width="4" bestFit="1" customWidth="1"/>
    <col min="1948" max="1948" width="6" bestFit="1" customWidth="1"/>
    <col min="1949" max="1949" width="4" bestFit="1" customWidth="1"/>
    <col min="1950" max="1952" width="6" bestFit="1" customWidth="1"/>
    <col min="1953" max="1956" width="7" bestFit="1" customWidth="1"/>
    <col min="1957" max="1957" width="7.44140625" bestFit="1" customWidth="1"/>
    <col min="1958" max="1961" width="6" bestFit="1" customWidth="1"/>
    <col min="1962" max="1964" width="7" bestFit="1" customWidth="1"/>
    <col min="1965" max="1966" width="5" bestFit="1" customWidth="1"/>
    <col min="1967" max="1967" width="7" bestFit="1" customWidth="1"/>
    <col min="1968" max="1968" width="7.44140625" bestFit="1" customWidth="1"/>
    <col min="1969" max="1975" width="6" bestFit="1" customWidth="1"/>
    <col min="1976" max="1976" width="4" bestFit="1" customWidth="1"/>
    <col min="1977" max="1978" width="7" bestFit="1" customWidth="1"/>
    <col min="1979" max="1979" width="7.44140625" bestFit="1" customWidth="1"/>
    <col min="1980" max="1984" width="6" bestFit="1" customWidth="1"/>
    <col min="1985" max="1985" width="7" bestFit="1" customWidth="1"/>
    <col min="1986" max="1986" width="5" bestFit="1" customWidth="1"/>
    <col min="1987" max="1992" width="7" bestFit="1" customWidth="1"/>
    <col min="1993" max="1993" width="7.44140625" bestFit="1" customWidth="1"/>
    <col min="1994" max="1994" width="4.6640625" bestFit="1" customWidth="1"/>
    <col min="1995" max="1995" width="4" bestFit="1" customWidth="1"/>
    <col min="1996" max="1997" width="5" bestFit="1" customWidth="1"/>
    <col min="1998" max="1998" width="7.44140625" bestFit="1" customWidth="1"/>
    <col min="1999" max="2000" width="6" bestFit="1" customWidth="1"/>
    <col min="2001" max="2002" width="7" bestFit="1" customWidth="1"/>
    <col min="2003" max="2003" width="7.44140625" bestFit="1" customWidth="1"/>
    <col min="2004" max="2004" width="6" bestFit="1" customWidth="1"/>
    <col min="2005" max="2005" width="7" bestFit="1" customWidth="1"/>
    <col min="2006" max="2007" width="5" bestFit="1" customWidth="1"/>
    <col min="2008" max="2008" width="7.44140625" bestFit="1" customWidth="1"/>
    <col min="2009" max="2010" width="6" bestFit="1" customWidth="1"/>
    <col min="2011" max="2012" width="7" bestFit="1" customWidth="1"/>
    <col min="2013" max="2013" width="7.44140625" bestFit="1" customWidth="1"/>
    <col min="2014" max="2014" width="6" bestFit="1" customWidth="1"/>
    <col min="2015" max="2016" width="5" bestFit="1" customWidth="1"/>
    <col min="2017" max="2017" width="7.44140625" bestFit="1" customWidth="1"/>
    <col min="2018" max="2019" width="5" bestFit="1" customWidth="1"/>
    <col min="2020" max="2020" width="7" bestFit="1" customWidth="1"/>
    <col min="2021" max="2021" width="7.44140625" bestFit="1" customWidth="1"/>
    <col min="2022" max="2024" width="6" bestFit="1" customWidth="1"/>
    <col min="2025" max="2025" width="7" bestFit="1" customWidth="1"/>
    <col min="2026" max="2026" width="7.44140625" bestFit="1" customWidth="1"/>
    <col min="2027" max="2028" width="7" bestFit="1" customWidth="1"/>
    <col min="2029" max="2029" width="5" bestFit="1" customWidth="1"/>
    <col min="2030" max="2030" width="7" bestFit="1" customWidth="1"/>
    <col min="2031" max="2031" width="7.44140625" bestFit="1" customWidth="1"/>
    <col min="2032" max="2033" width="6" bestFit="1" customWidth="1"/>
    <col min="2034" max="2034" width="5" bestFit="1" customWidth="1"/>
    <col min="2035" max="2035" width="7" bestFit="1" customWidth="1"/>
    <col min="2036" max="2036" width="5" bestFit="1" customWidth="1"/>
    <col min="2037" max="2037" width="7.44140625" bestFit="1" customWidth="1"/>
    <col min="2038" max="2038" width="6" bestFit="1" customWidth="1"/>
    <col min="2039" max="2039" width="7" bestFit="1" customWidth="1"/>
    <col min="2040" max="2040" width="7.44140625" bestFit="1" customWidth="1"/>
    <col min="2041" max="2041" width="4.6640625" bestFit="1" customWidth="1"/>
    <col min="2042" max="2044" width="5" bestFit="1" customWidth="1"/>
    <col min="2045" max="2045" width="7.44140625" bestFit="1" customWidth="1"/>
    <col min="2046" max="2046" width="6" bestFit="1" customWidth="1"/>
    <col min="2047" max="2047" width="7.44140625" bestFit="1" customWidth="1"/>
    <col min="2048" max="2048" width="6" bestFit="1" customWidth="1"/>
    <col min="2049" max="2049" width="7.44140625" bestFit="1" customWidth="1"/>
    <col min="2050" max="2050" width="7" bestFit="1" customWidth="1"/>
    <col min="2051" max="2051" width="7.44140625" bestFit="1" customWidth="1"/>
    <col min="2052" max="2053" width="7" bestFit="1" customWidth="1"/>
    <col min="2054" max="2054" width="7.44140625" bestFit="1" customWidth="1"/>
    <col min="2055" max="2055" width="5" bestFit="1" customWidth="1"/>
    <col min="2056" max="2056" width="7" bestFit="1" customWidth="1"/>
    <col min="2057" max="2057" width="7.44140625" bestFit="1" customWidth="1"/>
    <col min="2058" max="2059" width="7" bestFit="1" customWidth="1"/>
    <col min="2060" max="2060" width="7.44140625" bestFit="1" customWidth="1"/>
    <col min="2061" max="2061" width="6" bestFit="1" customWidth="1"/>
    <col min="2062" max="2062" width="7.44140625" bestFit="1" customWidth="1"/>
    <col min="2063" max="2063" width="5" bestFit="1" customWidth="1"/>
    <col min="2064" max="2064" width="7.44140625" bestFit="1" customWidth="1"/>
    <col min="2065" max="2065" width="7" bestFit="1" customWidth="1"/>
    <col min="2066" max="2066" width="7.44140625" bestFit="1" customWidth="1"/>
    <col min="2067" max="2067" width="7" bestFit="1" customWidth="1"/>
    <col min="2068" max="2068" width="7.44140625" bestFit="1" customWidth="1"/>
    <col min="2069" max="2069" width="7" bestFit="1" customWidth="1"/>
    <col min="2070" max="2070" width="7.44140625" bestFit="1" customWidth="1"/>
    <col min="2071" max="2071" width="5" bestFit="1" customWidth="1"/>
    <col min="2072" max="2072" width="7.44140625" bestFit="1" customWidth="1"/>
    <col min="2073" max="2073" width="7" bestFit="1" customWidth="1"/>
    <col min="2074" max="2074" width="7.44140625" bestFit="1" customWidth="1"/>
    <col min="2075" max="2075" width="7" bestFit="1" customWidth="1"/>
    <col min="2076" max="2076" width="7.44140625" bestFit="1" customWidth="1"/>
    <col min="2077" max="2077" width="7" bestFit="1" customWidth="1"/>
    <col min="2078" max="2078" width="7.44140625" bestFit="1" customWidth="1"/>
    <col min="2079" max="2079" width="7" bestFit="1" customWidth="1"/>
    <col min="2080" max="2080" width="7.44140625" bestFit="1" customWidth="1"/>
    <col min="2081" max="2081" width="5" bestFit="1" customWidth="1"/>
    <col min="2082" max="2082" width="7.44140625" bestFit="1" customWidth="1"/>
    <col min="2083" max="2083" width="7" bestFit="1" customWidth="1"/>
    <col min="2084" max="2084" width="7.44140625" bestFit="1" customWidth="1"/>
    <col min="2085" max="2085" width="10.5546875" bestFit="1" customWidth="1"/>
  </cols>
  <sheetData>
    <row r="2" spans="1:12" x14ac:dyDescent="0.3">
      <c r="F2" s="19" t="s">
        <v>2573</v>
      </c>
      <c r="G2" s="19"/>
      <c r="H2" s="19"/>
      <c r="J2" s="20" t="s">
        <v>2574</v>
      </c>
      <c r="K2" s="20"/>
      <c r="L2" s="20"/>
    </row>
    <row r="3" spans="1:12" x14ac:dyDescent="0.3">
      <c r="A3" s="13" t="s">
        <v>10</v>
      </c>
      <c r="B3" s="13" t="s">
        <v>11</v>
      </c>
      <c r="C3" t="s">
        <v>2553</v>
      </c>
      <c r="D3" t="s">
        <v>2554</v>
      </c>
      <c r="F3" s="19" t="str">
        <f>A3</f>
        <v>State</v>
      </c>
      <c r="G3" s="19" t="str">
        <f t="shared" ref="G3:I3" si="0">B3</f>
        <v>County</v>
      </c>
      <c r="H3" s="19" t="str">
        <f t="shared" si="0"/>
        <v>Sum of Quantity</v>
      </c>
      <c r="J3" s="20" t="str">
        <f>A3</f>
        <v>State</v>
      </c>
      <c r="K3" s="20" t="str">
        <f>B3</f>
        <v>County</v>
      </c>
      <c r="L3" s="20" t="str">
        <f>D3</f>
        <v>Sum of Amount</v>
      </c>
    </row>
    <row r="4" spans="1:12" x14ac:dyDescent="0.3">
      <c r="A4" t="s">
        <v>19</v>
      </c>
      <c r="B4" t="s">
        <v>115</v>
      </c>
      <c r="C4" s="12">
        <v>579</v>
      </c>
      <c r="D4" s="12">
        <v>31884.999999999996</v>
      </c>
      <c r="F4" s="19" t="str">
        <f>A4</f>
        <v>California</v>
      </c>
      <c r="G4" s="19" t="str">
        <f>B4</f>
        <v>Alameda County</v>
      </c>
      <c r="H4" s="19">
        <f>C4</f>
        <v>579</v>
      </c>
      <c r="J4" s="20" t="str">
        <f t="shared" ref="J4:J61" si="1">A4</f>
        <v>California</v>
      </c>
      <c r="K4" s="20" t="str">
        <f t="shared" ref="K4:K61" si="2">B4</f>
        <v>Alameda County</v>
      </c>
      <c r="L4" s="20">
        <f t="shared" ref="L4:L61" si="3">D4</f>
        <v>31884.999999999996</v>
      </c>
    </row>
    <row r="5" spans="1:12" x14ac:dyDescent="0.3">
      <c r="A5" t="s">
        <v>19</v>
      </c>
      <c r="B5" t="s">
        <v>20</v>
      </c>
      <c r="C5" s="12">
        <v>1</v>
      </c>
      <c r="D5" s="12">
        <v>10.9</v>
      </c>
      <c r="F5" s="19" t="str">
        <f t="shared" ref="F5:F61" si="4">A5</f>
        <v>California</v>
      </c>
      <c r="G5" s="19" t="str">
        <f t="shared" ref="G5:G61" si="5">B5</f>
        <v>Alpine County</v>
      </c>
      <c r="H5" s="19">
        <f t="shared" ref="H5:H61" si="6">C5</f>
        <v>1</v>
      </c>
      <c r="J5" s="20" t="str">
        <f t="shared" si="1"/>
        <v>California</v>
      </c>
      <c r="K5" s="20" t="str">
        <f t="shared" si="2"/>
        <v>Alpine County</v>
      </c>
      <c r="L5" s="20">
        <f t="shared" si="3"/>
        <v>10.9</v>
      </c>
    </row>
    <row r="6" spans="1:12" x14ac:dyDescent="0.3">
      <c r="A6" t="s">
        <v>19</v>
      </c>
      <c r="B6" t="s">
        <v>641</v>
      </c>
      <c r="C6" s="12">
        <v>9</v>
      </c>
      <c r="D6" s="12">
        <v>800.3</v>
      </c>
      <c r="F6" s="19" t="str">
        <f t="shared" si="4"/>
        <v>California</v>
      </c>
      <c r="G6" s="19" t="str">
        <f t="shared" si="5"/>
        <v>Amador County</v>
      </c>
      <c r="H6" s="19">
        <f t="shared" si="6"/>
        <v>9</v>
      </c>
      <c r="J6" s="20" t="str">
        <f t="shared" si="1"/>
        <v>California</v>
      </c>
      <c r="K6" s="20" t="str">
        <f t="shared" si="2"/>
        <v>Amador County</v>
      </c>
      <c r="L6" s="20">
        <f t="shared" si="3"/>
        <v>800.3</v>
      </c>
    </row>
    <row r="7" spans="1:12" x14ac:dyDescent="0.3">
      <c r="A7" t="s">
        <v>19</v>
      </c>
      <c r="B7" t="s">
        <v>967</v>
      </c>
      <c r="C7" s="12">
        <v>35</v>
      </c>
      <c r="D7" s="12">
        <v>1062.5999999999999</v>
      </c>
      <c r="F7" s="19" t="str">
        <f t="shared" si="4"/>
        <v>California</v>
      </c>
      <c r="G7" s="19" t="str">
        <f t="shared" si="5"/>
        <v>Butte County</v>
      </c>
      <c r="H7" s="19">
        <f t="shared" si="6"/>
        <v>35</v>
      </c>
      <c r="J7" s="20" t="str">
        <f t="shared" si="1"/>
        <v>California</v>
      </c>
      <c r="K7" s="20" t="str">
        <f t="shared" si="2"/>
        <v>Butte County</v>
      </c>
      <c r="L7" s="20">
        <f t="shared" si="3"/>
        <v>1062.5999999999999</v>
      </c>
    </row>
    <row r="8" spans="1:12" x14ac:dyDescent="0.3">
      <c r="A8" t="s">
        <v>19</v>
      </c>
      <c r="B8" t="s">
        <v>84</v>
      </c>
      <c r="C8" s="12">
        <v>12</v>
      </c>
      <c r="D8" s="12">
        <v>326.20000000000005</v>
      </c>
      <c r="F8" s="19" t="str">
        <f t="shared" si="4"/>
        <v>California</v>
      </c>
      <c r="G8" s="19" t="str">
        <f t="shared" si="5"/>
        <v>Calaveras County</v>
      </c>
      <c r="H8" s="19">
        <f t="shared" si="6"/>
        <v>12</v>
      </c>
      <c r="J8" s="20" t="str">
        <f t="shared" si="1"/>
        <v>California</v>
      </c>
      <c r="K8" s="20" t="str">
        <f t="shared" si="2"/>
        <v>Calaveras County</v>
      </c>
      <c r="L8" s="20">
        <f t="shared" si="3"/>
        <v>326.20000000000005</v>
      </c>
    </row>
    <row r="9" spans="1:12" x14ac:dyDescent="0.3">
      <c r="A9" t="s">
        <v>19</v>
      </c>
      <c r="B9" t="s">
        <v>1383</v>
      </c>
      <c r="C9" s="12">
        <v>4</v>
      </c>
      <c r="D9" s="12">
        <v>167.5</v>
      </c>
      <c r="F9" s="19" t="str">
        <f t="shared" si="4"/>
        <v>California</v>
      </c>
      <c r="G9" s="19" t="str">
        <f t="shared" si="5"/>
        <v>Colusa County</v>
      </c>
      <c r="H9" s="19">
        <f t="shared" si="6"/>
        <v>4</v>
      </c>
      <c r="J9" s="20" t="str">
        <f t="shared" si="1"/>
        <v>California</v>
      </c>
      <c r="K9" s="20" t="str">
        <f t="shared" si="2"/>
        <v>Colusa County</v>
      </c>
      <c r="L9" s="20">
        <f t="shared" si="3"/>
        <v>167.5</v>
      </c>
    </row>
    <row r="10" spans="1:12" x14ac:dyDescent="0.3">
      <c r="A10" t="s">
        <v>19</v>
      </c>
      <c r="B10" t="s">
        <v>24</v>
      </c>
      <c r="C10" s="12">
        <v>341</v>
      </c>
      <c r="D10" s="12">
        <v>16168.7</v>
      </c>
      <c r="F10" s="19" t="str">
        <f t="shared" si="4"/>
        <v>California</v>
      </c>
      <c r="G10" s="19" t="str">
        <f t="shared" si="5"/>
        <v>Contra Costa County</v>
      </c>
      <c r="H10" s="19">
        <f t="shared" si="6"/>
        <v>341</v>
      </c>
      <c r="J10" s="20" t="str">
        <f t="shared" si="1"/>
        <v>California</v>
      </c>
      <c r="K10" s="20" t="str">
        <f t="shared" si="2"/>
        <v>Contra Costa County</v>
      </c>
      <c r="L10" s="20">
        <f t="shared" si="3"/>
        <v>16168.7</v>
      </c>
    </row>
    <row r="11" spans="1:12" x14ac:dyDescent="0.3">
      <c r="A11" t="s">
        <v>19</v>
      </c>
      <c r="B11" t="s">
        <v>2204</v>
      </c>
      <c r="C11" s="12">
        <v>13</v>
      </c>
      <c r="D11" s="12">
        <v>322.40000000000003</v>
      </c>
      <c r="F11" s="19" t="str">
        <f t="shared" si="4"/>
        <v>California</v>
      </c>
      <c r="G11" s="19" t="str">
        <f t="shared" si="5"/>
        <v>Del Norte County</v>
      </c>
      <c r="H11" s="19">
        <f t="shared" si="6"/>
        <v>13</v>
      </c>
      <c r="J11" s="20" t="str">
        <f t="shared" si="1"/>
        <v>California</v>
      </c>
      <c r="K11" s="20" t="str">
        <f t="shared" si="2"/>
        <v>Del Norte County</v>
      </c>
      <c r="L11" s="20">
        <f t="shared" si="3"/>
        <v>322.40000000000003</v>
      </c>
    </row>
    <row r="12" spans="1:12" x14ac:dyDescent="0.3">
      <c r="A12" t="s">
        <v>19</v>
      </c>
      <c r="B12" t="s">
        <v>437</v>
      </c>
      <c r="C12" s="12">
        <v>31</v>
      </c>
      <c r="D12" s="12">
        <v>2092.8000000000002</v>
      </c>
      <c r="F12" s="19" t="str">
        <f t="shared" si="4"/>
        <v>California</v>
      </c>
      <c r="G12" s="19" t="str">
        <f t="shared" si="5"/>
        <v>El Dorado County</v>
      </c>
      <c r="H12" s="19">
        <f t="shared" si="6"/>
        <v>31</v>
      </c>
      <c r="J12" s="20" t="str">
        <f t="shared" si="1"/>
        <v>California</v>
      </c>
      <c r="K12" s="20" t="str">
        <f t="shared" si="2"/>
        <v>El Dorado County</v>
      </c>
      <c r="L12" s="20">
        <f t="shared" si="3"/>
        <v>2092.8000000000002</v>
      </c>
    </row>
    <row r="13" spans="1:12" x14ac:dyDescent="0.3">
      <c r="A13" t="s">
        <v>19</v>
      </c>
      <c r="B13" t="s">
        <v>28</v>
      </c>
      <c r="C13" s="12">
        <v>279</v>
      </c>
      <c r="D13" s="12">
        <v>12662.500000000002</v>
      </c>
      <c r="F13" s="19" t="str">
        <f t="shared" si="4"/>
        <v>California</v>
      </c>
      <c r="G13" s="19" t="str">
        <f t="shared" si="5"/>
        <v>Fresno County</v>
      </c>
      <c r="H13" s="19">
        <f t="shared" si="6"/>
        <v>279</v>
      </c>
      <c r="J13" s="20" t="str">
        <f t="shared" si="1"/>
        <v>California</v>
      </c>
      <c r="K13" s="20" t="str">
        <f t="shared" si="2"/>
        <v>Fresno County</v>
      </c>
      <c r="L13" s="20">
        <f t="shared" si="3"/>
        <v>12662.500000000002</v>
      </c>
    </row>
    <row r="14" spans="1:12" x14ac:dyDescent="0.3">
      <c r="A14" t="s">
        <v>19</v>
      </c>
      <c r="B14" t="s">
        <v>208</v>
      </c>
      <c r="C14" s="12">
        <v>9</v>
      </c>
      <c r="D14" s="12">
        <v>343.2</v>
      </c>
      <c r="F14" s="19" t="str">
        <f t="shared" si="4"/>
        <v>California</v>
      </c>
      <c r="G14" s="19" t="str">
        <f t="shared" si="5"/>
        <v>Glenn County</v>
      </c>
      <c r="H14" s="19">
        <f t="shared" si="6"/>
        <v>9</v>
      </c>
      <c r="J14" s="20" t="str">
        <f t="shared" si="1"/>
        <v>California</v>
      </c>
      <c r="K14" s="20" t="str">
        <f t="shared" si="2"/>
        <v>Glenn County</v>
      </c>
      <c r="L14" s="20">
        <f t="shared" si="3"/>
        <v>343.2</v>
      </c>
    </row>
    <row r="15" spans="1:12" x14ac:dyDescent="0.3">
      <c r="A15" t="s">
        <v>19</v>
      </c>
      <c r="B15" t="s">
        <v>587</v>
      </c>
      <c r="C15" s="12">
        <v>49</v>
      </c>
      <c r="D15" s="12">
        <v>2188.2999999999997</v>
      </c>
      <c r="F15" s="19" t="str">
        <f t="shared" si="4"/>
        <v>California</v>
      </c>
      <c r="G15" s="19" t="str">
        <f t="shared" si="5"/>
        <v>Humboldt County</v>
      </c>
      <c r="H15" s="19">
        <f t="shared" si="6"/>
        <v>49</v>
      </c>
      <c r="J15" s="20" t="str">
        <f t="shared" si="1"/>
        <v>California</v>
      </c>
      <c r="K15" s="20" t="str">
        <f t="shared" si="2"/>
        <v>Humboldt County</v>
      </c>
      <c r="L15" s="20">
        <f t="shared" si="3"/>
        <v>2188.2999999999997</v>
      </c>
    </row>
    <row r="16" spans="1:12" x14ac:dyDescent="0.3">
      <c r="A16" t="s">
        <v>19</v>
      </c>
      <c r="B16" t="s">
        <v>331</v>
      </c>
      <c r="C16" s="12">
        <v>59</v>
      </c>
      <c r="D16" s="12">
        <v>2661.5999999999995</v>
      </c>
      <c r="F16" s="19" t="str">
        <f t="shared" si="4"/>
        <v>California</v>
      </c>
      <c r="G16" s="19" t="str">
        <f t="shared" si="5"/>
        <v>Imperial County</v>
      </c>
      <c r="H16" s="19">
        <f t="shared" si="6"/>
        <v>59</v>
      </c>
      <c r="J16" s="20" t="str">
        <f t="shared" si="1"/>
        <v>California</v>
      </c>
      <c r="K16" s="20" t="str">
        <f t="shared" si="2"/>
        <v>Imperial County</v>
      </c>
      <c r="L16" s="20">
        <f t="shared" si="3"/>
        <v>2661.5999999999995</v>
      </c>
    </row>
    <row r="17" spans="1:12" x14ac:dyDescent="0.3">
      <c r="A17" t="s">
        <v>19</v>
      </c>
      <c r="B17" t="s">
        <v>86</v>
      </c>
      <c r="C17" s="12">
        <v>8</v>
      </c>
      <c r="D17" s="12">
        <v>887.5</v>
      </c>
      <c r="F17" s="19" t="str">
        <f t="shared" si="4"/>
        <v>California</v>
      </c>
      <c r="G17" s="19" t="str">
        <f t="shared" si="5"/>
        <v>Inyo County</v>
      </c>
      <c r="H17" s="19">
        <f t="shared" si="6"/>
        <v>8</v>
      </c>
      <c r="J17" s="20" t="str">
        <f t="shared" si="1"/>
        <v>California</v>
      </c>
      <c r="K17" s="20" t="str">
        <f t="shared" si="2"/>
        <v>Inyo County</v>
      </c>
      <c r="L17" s="20">
        <f t="shared" si="3"/>
        <v>887.5</v>
      </c>
    </row>
    <row r="18" spans="1:12" x14ac:dyDescent="0.3">
      <c r="A18" t="s">
        <v>19</v>
      </c>
      <c r="B18" t="s">
        <v>147</v>
      </c>
      <c r="C18" s="12">
        <v>222</v>
      </c>
      <c r="D18" s="12">
        <v>11354.199999999993</v>
      </c>
      <c r="F18" s="19" t="str">
        <f t="shared" si="4"/>
        <v>California</v>
      </c>
      <c r="G18" s="19" t="str">
        <f t="shared" si="5"/>
        <v>Kern County</v>
      </c>
      <c r="H18" s="19">
        <f t="shared" si="6"/>
        <v>222</v>
      </c>
      <c r="J18" s="20" t="str">
        <f t="shared" si="1"/>
        <v>California</v>
      </c>
      <c r="K18" s="20" t="str">
        <f t="shared" si="2"/>
        <v>Kern County</v>
      </c>
      <c r="L18" s="20">
        <f t="shared" si="3"/>
        <v>11354.199999999993</v>
      </c>
    </row>
    <row r="19" spans="1:12" x14ac:dyDescent="0.3">
      <c r="A19" t="s">
        <v>19</v>
      </c>
      <c r="B19" t="s">
        <v>334</v>
      </c>
      <c r="C19" s="12">
        <v>36</v>
      </c>
      <c r="D19" s="12">
        <v>1558.4</v>
      </c>
      <c r="F19" s="19" t="str">
        <f t="shared" si="4"/>
        <v>California</v>
      </c>
      <c r="G19" s="19" t="str">
        <f t="shared" si="5"/>
        <v>Kings County</v>
      </c>
      <c r="H19" s="19">
        <f t="shared" si="6"/>
        <v>36</v>
      </c>
      <c r="J19" s="20" t="str">
        <f t="shared" si="1"/>
        <v>California</v>
      </c>
      <c r="K19" s="20" t="str">
        <f t="shared" si="2"/>
        <v>Kings County</v>
      </c>
      <c r="L19" s="20">
        <f t="shared" si="3"/>
        <v>1558.4</v>
      </c>
    </row>
    <row r="20" spans="1:12" x14ac:dyDescent="0.3">
      <c r="A20" t="s">
        <v>19</v>
      </c>
      <c r="B20" t="s">
        <v>949</v>
      </c>
      <c r="C20" s="12">
        <v>30</v>
      </c>
      <c r="D20" s="12">
        <v>2223.9</v>
      </c>
      <c r="F20" s="19" t="str">
        <f t="shared" si="4"/>
        <v>California</v>
      </c>
      <c r="G20" s="19" t="str">
        <f t="shared" si="5"/>
        <v>Lake County</v>
      </c>
      <c r="H20" s="19">
        <f t="shared" si="6"/>
        <v>30</v>
      </c>
      <c r="J20" s="20" t="str">
        <f t="shared" si="1"/>
        <v>California</v>
      </c>
      <c r="K20" s="20" t="str">
        <f t="shared" si="2"/>
        <v>Lake County</v>
      </c>
      <c r="L20" s="20">
        <f t="shared" si="3"/>
        <v>2223.9</v>
      </c>
    </row>
    <row r="21" spans="1:12" x14ac:dyDescent="0.3">
      <c r="A21" t="s">
        <v>19</v>
      </c>
      <c r="B21" t="s">
        <v>1426</v>
      </c>
      <c r="C21" s="12">
        <v>1</v>
      </c>
      <c r="D21" s="12">
        <v>26.2</v>
      </c>
      <c r="F21" s="19" t="str">
        <f t="shared" si="4"/>
        <v>California</v>
      </c>
      <c r="G21" s="19" t="str">
        <f t="shared" si="5"/>
        <v>Lassen County</v>
      </c>
      <c r="H21" s="19">
        <f t="shared" si="6"/>
        <v>1</v>
      </c>
      <c r="J21" s="20" t="str">
        <f t="shared" si="1"/>
        <v>California</v>
      </c>
      <c r="K21" s="20" t="str">
        <f t="shared" si="2"/>
        <v>Lassen County</v>
      </c>
      <c r="L21" s="20">
        <f t="shared" si="3"/>
        <v>26.2</v>
      </c>
    </row>
    <row r="22" spans="1:12" x14ac:dyDescent="0.3">
      <c r="A22" t="s">
        <v>19</v>
      </c>
      <c r="B22" t="s">
        <v>33</v>
      </c>
      <c r="C22" s="12">
        <v>3991</v>
      </c>
      <c r="D22" s="12">
        <v>215551.19999999981</v>
      </c>
      <c r="F22" s="19" t="str">
        <f t="shared" si="4"/>
        <v>California</v>
      </c>
      <c r="G22" s="19" t="str">
        <f t="shared" si="5"/>
        <v>Los Angeles County</v>
      </c>
      <c r="H22" s="19">
        <f t="shared" si="6"/>
        <v>3991</v>
      </c>
      <c r="J22" s="20" t="str">
        <f t="shared" si="1"/>
        <v>California</v>
      </c>
      <c r="K22" s="20" t="str">
        <f t="shared" si="2"/>
        <v>Los Angeles County</v>
      </c>
      <c r="L22" s="20">
        <f t="shared" si="3"/>
        <v>215551.19999999981</v>
      </c>
    </row>
    <row r="23" spans="1:12" x14ac:dyDescent="0.3">
      <c r="A23" t="s">
        <v>19</v>
      </c>
      <c r="B23" t="s">
        <v>364</v>
      </c>
      <c r="C23" s="12">
        <v>45</v>
      </c>
      <c r="D23" s="12">
        <v>2687.3999999999996</v>
      </c>
      <c r="F23" s="19" t="str">
        <f t="shared" si="4"/>
        <v>California</v>
      </c>
      <c r="G23" s="19" t="str">
        <f t="shared" si="5"/>
        <v>Madera County</v>
      </c>
      <c r="H23" s="19">
        <f t="shared" si="6"/>
        <v>45</v>
      </c>
      <c r="J23" s="20" t="str">
        <f t="shared" si="1"/>
        <v>California</v>
      </c>
      <c r="K23" s="20" t="str">
        <f t="shared" si="2"/>
        <v>Madera County</v>
      </c>
      <c r="L23" s="20">
        <f t="shared" si="3"/>
        <v>2687.3999999999996</v>
      </c>
    </row>
    <row r="24" spans="1:12" x14ac:dyDescent="0.3">
      <c r="A24" t="s">
        <v>19</v>
      </c>
      <c r="B24" t="s">
        <v>545</v>
      </c>
      <c r="C24" s="12">
        <v>39</v>
      </c>
      <c r="D24" s="12">
        <v>1463.3000000000002</v>
      </c>
      <c r="F24" s="19" t="str">
        <f t="shared" si="4"/>
        <v>California</v>
      </c>
      <c r="G24" s="19" t="str">
        <f t="shared" si="5"/>
        <v>Marin County</v>
      </c>
      <c r="H24" s="19">
        <f t="shared" si="6"/>
        <v>39</v>
      </c>
      <c r="J24" s="20" t="str">
        <f t="shared" si="1"/>
        <v>California</v>
      </c>
      <c r="K24" s="20" t="str">
        <f t="shared" si="2"/>
        <v>Marin County</v>
      </c>
      <c r="L24" s="20">
        <f t="shared" si="3"/>
        <v>1463.3000000000002</v>
      </c>
    </row>
    <row r="25" spans="1:12" x14ac:dyDescent="0.3">
      <c r="A25" t="s">
        <v>19</v>
      </c>
      <c r="B25" t="s">
        <v>416</v>
      </c>
      <c r="C25" s="12">
        <v>6</v>
      </c>
      <c r="D25" s="12">
        <v>445.79999999999995</v>
      </c>
      <c r="F25" s="19" t="str">
        <f t="shared" si="4"/>
        <v>California</v>
      </c>
      <c r="G25" s="19" t="str">
        <f t="shared" si="5"/>
        <v>Mariposa County</v>
      </c>
      <c r="H25" s="19">
        <f t="shared" si="6"/>
        <v>6</v>
      </c>
      <c r="J25" s="20" t="str">
        <f t="shared" si="1"/>
        <v>California</v>
      </c>
      <c r="K25" s="20" t="str">
        <f t="shared" si="2"/>
        <v>Mariposa County</v>
      </c>
      <c r="L25" s="20">
        <f t="shared" si="3"/>
        <v>445.79999999999995</v>
      </c>
    </row>
    <row r="26" spans="1:12" x14ac:dyDescent="0.3">
      <c r="A26" t="s">
        <v>19</v>
      </c>
      <c r="B26" t="s">
        <v>258</v>
      </c>
      <c r="C26" s="12">
        <v>9</v>
      </c>
      <c r="D26" s="12">
        <v>273.59999999999997</v>
      </c>
      <c r="F26" s="19" t="str">
        <f t="shared" si="4"/>
        <v>California</v>
      </c>
      <c r="G26" s="19" t="str">
        <f t="shared" si="5"/>
        <v>Mendocino County</v>
      </c>
      <c r="H26" s="19">
        <f t="shared" si="6"/>
        <v>9</v>
      </c>
      <c r="J26" s="20" t="str">
        <f t="shared" si="1"/>
        <v>California</v>
      </c>
      <c r="K26" s="20" t="str">
        <f t="shared" si="2"/>
        <v>Mendocino County</v>
      </c>
      <c r="L26" s="20">
        <f t="shared" si="3"/>
        <v>273.59999999999997</v>
      </c>
    </row>
    <row r="27" spans="1:12" x14ac:dyDescent="0.3">
      <c r="A27" t="s">
        <v>19</v>
      </c>
      <c r="B27" t="s">
        <v>186</v>
      </c>
      <c r="C27" s="12">
        <v>60</v>
      </c>
      <c r="D27" s="12">
        <v>2690.4</v>
      </c>
      <c r="F27" s="19" t="str">
        <f t="shared" si="4"/>
        <v>California</v>
      </c>
      <c r="G27" s="19" t="str">
        <f t="shared" si="5"/>
        <v>Merced County</v>
      </c>
      <c r="H27" s="19">
        <f t="shared" si="6"/>
        <v>60</v>
      </c>
      <c r="J27" s="20" t="str">
        <f t="shared" si="1"/>
        <v>California</v>
      </c>
      <c r="K27" s="20" t="str">
        <f t="shared" si="2"/>
        <v>Merced County</v>
      </c>
      <c r="L27" s="20">
        <f t="shared" si="3"/>
        <v>2690.4</v>
      </c>
    </row>
    <row r="28" spans="1:12" x14ac:dyDescent="0.3">
      <c r="A28" t="s">
        <v>19</v>
      </c>
      <c r="B28" t="s">
        <v>392</v>
      </c>
      <c r="C28" s="12">
        <v>2</v>
      </c>
      <c r="D28" s="12">
        <v>28.4</v>
      </c>
      <c r="F28" s="19" t="str">
        <f t="shared" si="4"/>
        <v>California</v>
      </c>
      <c r="G28" s="19" t="str">
        <f t="shared" si="5"/>
        <v>Modoc County</v>
      </c>
      <c r="H28" s="19">
        <f t="shared" si="6"/>
        <v>2</v>
      </c>
      <c r="J28" s="20" t="str">
        <f t="shared" si="1"/>
        <v>California</v>
      </c>
      <c r="K28" s="20" t="str">
        <f t="shared" si="2"/>
        <v>Modoc County</v>
      </c>
      <c r="L28" s="20">
        <f t="shared" si="3"/>
        <v>28.4</v>
      </c>
    </row>
    <row r="29" spans="1:12" x14ac:dyDescent="0.3">
      <c r="A29" t="s">
        <v>19</v>
      </c>
      <c r="B29" t="s">
        <v>670</v>
      </c>
      <c r="C29" s="12">
        <v>4</v>
      </c>
      <c r="D29" s="12">
        <v>204.8</v>
      </c>
      <c r="F29" s="19" t="str">
        <f t="shared" si="4"/>
        <v>California</v>
      </c>
      <c r="G29" s="19" t="str">
        <f t="shared" si="5"/>
        <v>Mono County</v>
      </c>
      <c r="H29" s="19">
        <f t="shared" si="6"/>
        <v>4</v>
      </c>
      <c r="J29" s="20" t="str">
        <f t="shared" si="1"/>
        <v>California</v>
      </c>
      <c r="K29" s="20" t="str">
        <f t="shared" si="2"/>
        <v>Mono County</v>
      </c>
      <c r="L29" s="20">
        <f t="shared" si="3"/>
        <v>204.8</v>
      </c>
    </row>
    <row r="30" spans="1:12" x14ac:dyDescent="0.3">
      <c r="A30" t="s">
        <v>19</v>
      </c>
      <c r="B30" t="s">
        <v>802</v>
      </c>
      <c r="C30" s="12">
        <v>31</v>
      </c>
      <c r="D30" s="12">
        <v>1607.8999999999999</v>
      </c>
      <c r="F30" s="19" t="str">
        <f t="shared" si="4"/>
        <v>California</v>
      </c>
      <c r="G30" s="19" t="str">
        <f t="shared" si="5"/>
        <v>Monterey County</v>
      </c>
      <c r="H30" s="19">
        <f t="shared" si="6"/>
        <v>31</v>
      </c>
      <c r="J30" s="20" t="str">
        <f t="shared" si="1"/>
        <v>California</v>
      </c>
      <c r="K30" s="20" t="str">
        <f t="shared" si="2"/>
        <v>Monterey County</v>
      </c>
      <c r="L30" s="20">
        <f t="shared" si="3"/>
        <v>1607.8999999999999</v>
      </c>
    </row>
    <row r="31" spans="1:12" x14ac:dyDescent="0.3">
      <c r="A31" t="s">
        <v>19</v>
      </c>
      <c r="B31" t="s">
        <v>98</v>
      </c>
      <c r="C31" s="12">
        <v>88</v>
      </c>
      <c r="D31" s="12">
        <v>6444.9</v>
      </c>
      <c r="F31" s="19" t="str">
        <f t="shared" si="4"/>
        <v>California</v>
      </c>
      <c r="G31" s="19" t="str">
        <f t="shared" si="5"/>
        <v>Napa County</v>
      </c>
      <c r="H31" s="19">
        <f t="shared" si="6"/>
        <v>88</v>
      </c>
      <c r="J31" s="20" t="str">
        <f t="shared" si="1"/>
        <v>California</v>
      </c>
      <c r="K31" s="20" t="str">
        <f t="shared" si="2"/>
        <v>Napa County</v>
      </c>
      <c r="L31" s="20">
        <f t="shared" si="3"/>
        <v>6444.9</v>
      </c>
    </row>
    <row r="32" spans="1:12" x14ac:dyDescent="0.3">
      <c r="A32" t="s">
        <v>19</v>
      </c>
      <c r="B32" t="s">
        <v>49</v>
      </c>
      <c r="C32" s="12">
        <v>25</v>
      </c>
      <c r="D32" s="12">
        <v>1809.3</v>
      </c>
      <c r="F32" s="19" t="str">
        <f t="shared" si="4"/>
        <v>California</v>
      </c>
      <c r="G32" s="19" t="str">
        <f t="shared" si="5"/>
        <v>Nevada County</v>
      </c>
      <c r="H32" s="19">
        <f t="shared" si="6"/>
        <v>25</v>
      </c>
      <c r="J32" s="20" t="str">
        <f t="shared" si="1"/>
        <v>California</v>
      </c>
      <c r="K32" s="20" t="str">
        <f t="shared" si="2"/>
        <v>Nevada County</v>
      </c>
      <c r="L32" s="20">
        <f t="shared" si="3"/>
        <v>1809.3</v>
      </c>
    </row>
    <row r="33" spans="1:12" x14ac:dyDescent="0.3">
      <c r="A33" t="s">
        <v>19</v>
      </c>
      <c r="B33" t="s">
        <v>188</v>
      </c>
      <c r="C33" s="12">
        <v>178</v>
      </c>
      <c r="D33" s="12">
        <v>9680.399999999996</v>
      </c>
      <c r="F33" s="19" t="str">
        <f t="shared" si="4"/>
        <v>California</v>
      </c>
      <c r="G33" s="19" t="str">
        <f t="shared" si="5"/>
        <v>Orange County</v>
      </c>
      <c r="H33" s="19">
        <f t="shared" si="6"/>
        <v>178</v>
      </c>
      <c r="J33" s="20" t="str">
        <f t="shared" si="1"/>
        <v>California</v>
      </c>
      <c r="K33" s="20" t="str">
        <f t="shared" si="2"/>
        <v>Orange County</v>
      </c>
      <c r="L33" s="20">
        <f t="shared" si="3"/>
        <v>9680.399999999996</v>
      </c>
    </row>
    <row r="34" spans="1:12" x14ac:dyDescent="0.3">
      <c r="A34" t="s">
        <v>19</v>
      </c>
      <c r="B34" t="s">
        <v>52</v>
      </c>
      <c r="C34" s="12">
        <v>141</v>
      </c>
      <c r="D34" s="12">
        <v>9414.7999999999993</v>
      </c>
      <c r="F34" s="19" t="str">
        <f t="shared" si="4"/>
        <v>California</v>
      </c>
      <c r="G34" s="19" t="str">
        <f t="shared" si="5"/>
        <v>Placer County</v>
      </c>
      <c r="H34" s="19">
        <f t="shared" si="6"/>
        <v>141</v>
      </c>
      <c r="J34" s="20" t="str">
        <f t="shared" si="1"/>
        <v>California</v>
      </c>
      <c r="K34" s="20" t="str">
        <f t="shared" si="2"/>
        <v>Placer County</v>
      </c>
      <c r="L34" s="20">
        <f t="shared" si="3"/>
        <v>9414.7999999999993</v>
      </c>
    </row>
    <row r="35" spans="1:12" x14ac:dyDescent="0.3">
      <c r="A35" t="s">
        <v>19</v>
      </c>
      <c r="B35" t="s">
        <v>338</v>
      </c>
      <c r="C35" s="12">
        <v>6</v>
      </c>
      <c r="D35" s="12">
        <v>206.1</v>
      </c>
      <c r="F35" s="19" t="str">
        <f t="shared" si="4"/>
        <v>California</v>
      </c>
      <c r="G35" s="19" t="str">
        <f t="shared" si="5"/>
        <v>Plumas County</v>
      </c>
      <c r="H35" s="19">
        <f t="shared" si="6"/>
        <v>6</v>
      </c>
      <c r="J35" s="20" t="str">
        <f t="shared" si="1"/>
        <v>California</v>
      </c>
      <c r="K35" s="20" t="str">
        <f t="shared" si="2"/>
        <v>Plumas County</v>
      </c>
      <c r="L35" s="20">
        <f t="shared" si="3"/>
        <v>206.1</v>
      </c>
    </row>
    <row r="36" spans="1:12" x14ac:dyDescent="0.3">
      <c r="A36" t="s">
        <v>19</v>
      </c>
      <c r="B36" t="s">
        <v>158</v>
      </c>
      <c r="C36" s="12">
        <v>178</v>
      </c>
      <c r="D36" s="12">
        <v>7691.3</v>
      </c>
      <c r="F36" s="19" t="str">
        <f t="shared" si="4"/>
        <v>California</v>
      </c>
      <c r="G36" s="19" t="str">
        <f t="shared" si="5"/>
        <v>Riverside County</v>
      </c>
      <c r="H36" s="19">
        <f t="shared" si="6"/>
        <v>178</v>
      </c>
      <c r="J36" s="20" t="str">
        <f t="shared" si="1"/>
        <v>California</v>
      </c>
      <c r="K36" s="20" t="str">
        <f t="shared" si="2"/>
        <v>Riverside County</v>
      </c>
      <c r="L36" s="20">
        <f t="shared" si="3"/>
        <v>7691.3</v>
      </c>
    </row>
    <row r="37" spans="1:12" x14ac:dyDescent="0.3">
      <c r="A37" t="s">
        <v>19</v>
      </c>
      <c r="B37" t="s">
        <v>55</v>
      </c>
      <c r="C37" s="12">
        <v>699</v>
      </c>
      <c r="D37" s="12">
        <v>37784.900000000016</v>
      </c>
      <c r="F37" s="19" t="str">
        <f t="shared" si="4"/>
        <v>California</v>
      </c>
      <c r="G37" s="19" t="str">
        <f t="shared" si="5"/>
        <v>Sacramento County</v>
      </c>
      <c r="H37" s="19">
        <f t="shared" si="6"/>
        <v>699</v>
      </c>
      <c r="J37" s="20" t="str">
        <f t="shared" si="1"/>
        <v>California</v>
      </c>
      <c r="K37" s="20" t="str">
        <f t="shared" si="2"/>
        <v>Sacramento County</v>
      </c>
      <c r="L37" s="20">
        <f t="shared" si="3"/>
        <v>37784.900000000016</v>
      </c>
    </row>
    <row r="38" spans="1:12" x14ac:dyDescent="0.3">
      <c r="A38" t="s">
        <v>19</v>
      </c>
      <c r="B38" t="s">
        <v>342</v>
      </c>
      <c r="C38" s="12">
        <v>23</v>
      </c>
      <c r="D38" s="12">
        <v>1129.7</v>
      </c>
      <c r="F38" s="19" t="str">
        <f t="shared" si="4"/>
        <v>California</v>
      </c>
      <c r="G38" s="19" t="str">
        <f t="shared" si="5"/>
        <v>San Benito County</v>
      </c>
      <c r="H38" s="19">
        <f t="shared" si="6"/>
        <v>23</v>
      </c>
      <c r="J38" s="20" t="str">
        <f t="shared" si="1"/>
        <v>California</v>
      </c>
      <c r="K38" s="20" t="str">
        <f t="shared" si="2"/>
        <v>San Benito County</v>
      </c>
      <c r="L38" s="20">
        <f t="shared" si="3"/>
        <v>1129.7</v>
      </c>
    </row>
    <row r="39" spans="1:12" x14ac:dyDescent="0.3">
      <c r="A39" t="s">
        <v>19</v>
      </c>
      <c r="B39" t="s">
        <v>59</v>
      </c>
      <c r="C39" s="12">
        <v>356</v>
      </c>
      <c r="D39" s="12">
        <v>20988.9</v>
      </c>
      <c r="F39" s="19" t="str">
        <f t="shared" si="4"/>
        <v>California</v>
      </c>
      <c r="G39" s="19" t="str">
        <f t="shared" si="5"/>
        <v>San Bernardino County</v>
      </c>
      <c r="H39" s="19">
        <f t="shared" si="6"/>
        <v>356</v>
      </c>
      <c r="J39" s="20" t="str">
        <f t="shared" si="1"/>
        <v>California</v>
      </c>
      <c r="K39" s="20" t="str">
        <f t="shared" si="2"/>
        <v>San Bernardino County</v>
      </c>
      <c r="L39" s="20">
        <f t="shared" si="3"/>
        <v>20988.9</v>
      </c>
    </row>
    <row r="40" spans="1:12" x14ac:dyDescent="0.3">
      <c r="A40" t="s">
        <v>19</v>
      </c>
      <c r="B40" t="s">
        <v>62</v>
      </c>
      <c r="C40" s="12">
        <v>1768</v>
      </c>
      <c r="D40" s="12">
        <v>98367.099999999977</v>
      </c>
      <c r="F40" s="19" t="str">
        <f t="shared" si="4"/>
        <v>California</v>
      </c>
      <c r="G40" s="19" t="str">
        <f t="shared" si="5"/>
        <v>San Diego County</v>
      </c>
      <c r="H40" s="19">
        <f t="shared" si="6"/>
        <v>1768</v>
      </c>
      <c r="J40" s="20" t="str">
        <f t="shared" si="1"/>
        <v>California</v>
      </c>
      <c r="K40" s="20" t="str">
        <f t="shared" si="2"/>
        <v>San Diego County</v>
      </c>
      <c r="L40" s="20">
        <f t="shared" si="3"/>
        <v>98367.099999999977</v>
      </c>
    </row>
    <row r="41" spans="1:12" x14ac:dyDescent="0.3">
      <c r="A41" t="s">
        <v>19</v>
      </c>
      <c r="B41" t="s">
        <v>103</v>
      </c>
      <c r="C41" s="12">
        <v>307</v>
      </c>
      <c r="D41" s="12">
        <v>21911.9</v>
      </c>
      <c r="F41" s="19" t="str">
        <f t="shared" si="4"/>
        <v>California</v>
      </c>
      <c r="G41" s="19" t="str">
        <f t="shared" si="5"/>
        <v>San Francisco</v>
      </c>
      <c r="H41" s="19">
        <f t="shared" si="6"/>
        <v>307</v>
      </c>
      <c r="J41" s="20" t="str">
        <f t="shared" si="1"/>
        <v>California</v>
      </c>
      <c r="K41" s="20" t="str">
        <f t="shared" si="2"/>
        <v>San Francisco</v>
      </c>
      <c r="L41" s="20">
        <f t="shared" si="3"/>
        <v>21911.9</v>
      </c>
    </row>
    <row r="42" spans="1:12" x14ac:dyDescent="0.3">
      <c r="A42" t="s">
        <v>19</v>
      </c>
      <c r="B42" t="s">
        <v>201</v>
      </c>
      <c r="C42" s="12">
        <v>117</v>
      </c>
      <c r="D42" s="12">
        <v>5441.2</v>
      </c>
      <c r="F42" s="19" t="str">
        <f t="shared" si="4"/>
        <v>California</v>
      </c>
      <c r="G42" s="19" t="str">
        <f t="shared" si="5"/>
        <v>San Joaquin County</v>
      </c>
      <c r="H42" s="19">
        <f t="shared" si="6"/>
        <v>117</v>
      </c>
      <c r="J42" s="20" t="str">
        <f t="shared" si="1"/>
        <v>California</v>
      </c>
      <c r="K42" s="20" t="str">
        <f t="shared" si="2"/>
        <v>San Joaquin County</v>
      </c>
      <c r="L42" s="20">
        <f t="shared" si="3"/>
        <v>5441.2</v>
      </c>
    </row>
    <row r="43" spans="1:12" x14ac:dyDescent="0.3">
      <c r="A43" t="s">
        <v>19</v>
      </c>
      <c r="B43" t="s">
        <v>429</v>
      </c>
      <c r="C43" s="12">
        <v>13</v>
      </c>
      <c r="D43" s="12">
        <v>392.8</v>
      </c>
      <c r="F43" s="19" t="str">
        <f t="shared" si="4"/>
        <v>California</v>
      </c>
      <c r="G43" s="19" t="str">
        <f t="shared" si="5"/>
        <v>San Luis Obispo County</v>
      </c>
      <c r="H43" s="19">
        <f t="shared" si="6"/>
        <v>13</v>
      </c>
      <c r="J43" s="20" t="str">
        <f t="shared" si="1"/>
        <v>California</v>
      </c>
      <c r="K43" s="20" t="str">
        <f t="shared" si="2"/>
        <v>San Luis Obispo County</v>
      </c>
      <c r="L43" s="20">
        <f t="shared" si="3"/>
        <v>392.8</v>
      </c>
    </row>
    <row r="44" spans="1:12" x14ac:dyDescent="0.3">
      <c r="A44" t="s">
        <v>19</v>
      </c>
      <c r="B44" t="s">
        <v>72</v>
      </c>
      <c r="C44" s="12">
        <v>364</v>
      </c>
      <c r="D44" s="12">
        <v>16172.000000000005</v>
      </c>
      <c r="F44" s="19" t="str">
        <f t="shared" si="4"/>
        <v>California</v>
      </c>
      <c r="G44" s="19" t="str">
        <f t="shared" si="5"/>
        <v>San Mateo County</v>
      </c>
      <c r="H44" s="19">
        <f t="shared" si="6"/>
        <v>364</v>
      </c>
      <c r="J44" s="20" t="str">
        <f t="shared" si="1"/>
        <v>California</v>
      </c>
      <c r="K44" s="20" t="str">
        <f t="shared" si="2"/>
        <v>San Mateo County</v>
      </c>
      <c r="L44" s="20">
        <f t="shared" si="3"/>
        <v>16172.000000000005</v>
      </c>
    </row>
    <row r="45" spans="1:12" x14ac:dyDescent="0.3">
      <c r="A45" t="s">
        <v>19</v>
      </c>
      <c r="B45" t="s">
        <v>74</v>
      </c>
      <c r="C45" s="12">
        <v>95</v>
      </c>
      <c r="D45" s="12">
        <v>4334.9999999999991</v>
      </c>
      <c r="F45" s="19" t="str">
        <f t="shared" si="4"/>
        <v>California</v>
      </c>
      <c r="G45" s="19" t="str">
        <f t="shared" si="5"/>
        <v>Santa Barbara County</v>
      </c>
      <c r="H45" s="19">
        <f t="shared" si="6"/>
        <v>95</v>
      </c>
      <c r="J45" s="20" t="str">
        <f t="shared" si="1"/>
        <v>California</v>
      </c>
      <c r="K45" s="20" t="str">
        <f t="shared" si="2"/>
        <v>Santa Barbara County</v>
      </c>
      <c r="L45" s="20">
        <f t="shared" si="3"/>
        <v>4334.9999999999991</v>
      </c>
    </row>
    <row r="46" spans="1:12" x14ac:dyDescent="0.3">
      <c r="A46" t="s">
        <v>19</v>
      </c>
      <c r="B46" t="s">
        <v>77</v>
      </c>
      <c r="C46" s="12">
        <v>737</v>
      </c>
      <c r="D46" s="12">
        <v>37449.000000000007</v>
      </c>
      <c r="F46" s="19" t="str">
        <f t="shared" si="4"/>
        <v>California</v>
      </c>
      <c r="G46" s="19" t="str">
        <f t="shared" si="5"/>
        <v>Santa Clara County</v>
      </c>
      <c r="H46" s="19">
        <f t="shared" si="6"/>
        <v>737</v>
      </c>
      <c r="J46" s="20" t="str">
        <f t="shared" si="1"/>
        <v>California</v>
      </c>
      <c r="K46" s="20" t="str">
        <f t="shared" si="2"/>
        <v>Santa Clara County</v>
      </c>
      <c r="L46" s="20">
        <f t="shared" si="3"/>
        <v>37449.000000000007</v>
      </c>
    </row>
    <row r="47" spans="1:12" x14ac:dyDescent="0.3">
      <c r="A47" t="s">
        <v>19</v>
      </c>
      <c r="B47" t="s">
        <v>309</v>
      </c>
      <c r="C47" s="12">
        <v>39</v>
      </c>
      <c r="D47" s="12">
        <v>2447.5</v>
      </c>
      <c r="F47" s="19" t="str">
        <f t="shared" si="4"/>
        <v>California</v>
      </c>
      <c r="G47" s="19" t="str">
        <f t="shared" si="5"/>
        <v>Santa Cruz County</v>
      </c>
      <c r="H47" s="19">
        <f t="shared" si="6"/>
        <v>39</v>
      </c>
      <c r="J47" s="20" t="str">
        <f t="shared" si="1"/>
        <v>California</v>
      </c>
      <c r="K47" s="20" t="str">
        <f t="shared" si="2"/>
        <v>Santa Cruz County</v>
      </c>
      <c r="L47" s="20">
        <f t="shared" si="3"/>
        <v>2447.5</v>
      </c>
    </row>
    <row r="48" spans="1:12" x14ac:dyDescent="0.3">
      <c r="A48" t="s">
        <v>19</v>
      </c>
      <c r="B48" t="s">
        <v>1116</v>
      </c>
      <c r="C48" s="12">
        <v>56</v>
      </c>
      <c r="D48" s="12">
        <v>3391.1</v>
      </c>
      <c r="F48" s="19" t="str">
        <f t="shared" si="4"/>
        <v>California</v>
      </c>
      <c r="G48" s="19" t="str">
        <f t="shared" si="5"/>
        <v>Shasta County</v>
      </c>
      <c r="H48" s="19">
        <f t="shared" si="6"/>
        <v>56</v>
      </c>
      <c r="J48" s="20" t="str">
        <f t="shared" si="1"/>
        <v>California</v>
      </c>
      <c r="K48" s="20" t="str">
        <f t="shared" si="2"/>
        <v>Shasta County</v>
      </c>
      <c r="L48" s="20">
        <f t="shared" si="3"/>
        <v>3391.1</v>
      </c>
    </row>
    <row r="49" spans="1:12" x14ac:dyDescent="0.3">
      <c r="A49" t="s">
        <v>19</v>
      </c>
      <c r="B49" t="s">
        <v>700</v>
      </c>
      <c r="C49" s="12">
        <v>2</v>
      </c>
      <c r="D49" s="12">
        <v>30.8</v>
      </c>
      <c r="F49" s="19" t="str">
        <f t="shared" si="4"/>
        <v>California</v>
      </c>
      <c r="G49" s="19" t="str">
        <f t="shared" si="5"/>
        <v>Sierra County</v>
      </c>
      <c r="H49" s="19">
        <f t="shared" si="6"/>
        <v>2</v>
      </c>
      <c r="J49" s="20" t="str">
        <f t="shared" si="1"/>
        <v>California</v>
      </c>
      <c r="K49" s="20" t="str">
        <f t="shared" si="2"/>
        <v>Sierra County</v>
      </c>
      <c r="L49" s="20">
        <f t="shared" si="3"/>
        <v>30.8</v>
      </c>
    </row>
    <row r="50" spans="1:12" x14ac:dyDescent="0.3">
      <c r="A50" t="s">
        <v>19</v>
      </c>
      <c r="B50" t="s">
        <v>268</v>
      </c>
      <c r="C50" s="12">
        <v>8</v>
      </c>
      <c r="D50" s="12">
        <v>332.3</v>
      </c>
      <c r="F50" s="19" t="str">
        <f t="shared" si="4"/>
        <v>California</v>
      </c>
      <c r="G50" s="19" t="str">
        <f t="shared" si="5"/>
        <v>Siskiyou County</v>
      </c>
      <c r="H50" s="19">
        <f t="shared" si="6"/>
        <v>8</v>
      </c>
      <c r="J50" s="20" t="str">
        <f t="shared" si="1"/>
        <v>California</v>
      </c>
      <c r="K50" s="20" t="str">
        <f t="shared" si="2"/>
        <v>Siskiyou County</v>
      </c>
      <c r="L50" s="20">
        <f t="shared" si="3"/>
        <v>332.3</v>
      </c>
    </row>
    <row r="51" spans="1:12" x14ac:dyDescent="0.3">
      <c r="A51" t="s">
        <v>19</v>
      </c>
      <c r="B51" t="s">
        <v>377</v>
      </c>
      <c r="C51" s="12">
        <v>52</v>
      </c>
      <c r="D51" s="12">
        <v>3175.9999999999995</v>
      </c>
      <c r="F51" s="19" t="str">
        <f t="shared" si="4"/>
        <v>California</v>
      </c>
      <c r="G51" s="19" t="str">
        <f t="shared" si="5"/>
        <v>Solano County</v>
      </c>
      <c r="H51" s="19">
        <f t="shared" si="6"/>
        <v>52</v>
      </c>
      <c r="J51" s="20" t="str">
        <f t="shared" si="1"/>
        <v>California</v>
      </c>
      <c r="K51" s="20" t="str">
        <f t="shared" si="2"/>
        <v>Solano County</v>
      </c>
      <c r="L51" s="20">
        <f t="shared" si="3"/>
        <v>3175.9999999999995</v>
      </c>
    </row>
    <row r="52" spans="1:12" x14ac:dyDescent="0.3">
      <c r="A52" t="s">
        <v>19</v>
      </c>
      <c r="B52" t="s">
        <v>108</v>
      </c>
      <c r="C52" s="12">
        <v>295</v>
      </c>
      <c r="D52" s="12">
        <v>20939.600000000002</v>
      </c>
      <c r="F52" s="19" t="str">
        <f t="shared" si="4"/>
        <v>California</v>
      </c>
      <c r="G52" s="19" t="str">
        <f t="shared" si="5"/>
        <v>Sonoma County</v>
      </c>
      <c r="H52" s="19">
        <f t="shared" si="6"/>
        <v>295</v>
      </c>
      <c r="J52" s="20" t="str">
        <f t="shared" si="1"/>
        <v>California</v>
      </c>
      <c r="K52" s="20" t="str">
        <f t="shared" si="2"/>
        <v>Sonoma County</v>
      </c>
      <c r="L52" s="20">
        <f t="shared" si="3"/>
        <v>20939.600000000002</v>
      </c>
    </row>
    <row r="53" spans="1:12" x14ac:dyDescent="0.3">
      <c r="A53" t="s">
        <v>19</v>
      </c>
      <c r="B53" t="s">
        <v>110</v>
      </c>
      <c r="C53" s="12">
        <v>195</v>
      </c>
      <c r="D53" s="12">
        <v>10185.899999999996</v>
      </c>
      <c r="F53" s="19" t="str">
        <f t="shared" si="4"/>
        <v>California</v>
      </c>
      <c r="G53" s="19" t="str">
        <f t="shared" si="5"/>
        <v>Stanislaus County</v>
      </c>
      <c r="H53" s="19">
        <f t="shared" si="6"/>
        <v>195</v>
      </c>
      <c r="J53" s="20" t="str">
        <f t="shared" si="1"/>
        <v>California</v>
      </c>
      <c r="K53" s="20" t="str">
        <f t="shared" si="2"/>
        <v>Stanislaus County</v>
      </c>
      <c r="L53" s="20">
        <f t="shared" si="3"/>
        <v>10185.899999999996</v>
      </c>
    </row>
    <row r="54" spans="1:12" x14ac:dyDescent="0.3">
      <c r="A54" t="s">
        <v>19</v>
      </c>
      <c r="B54" t="s">
        <v>292</v>
      </c>
      <c r="C54" s="12">
        <v>20</v>
      </c>
      <c r="D54" s="12">
        <v>958.7</v>
      </c>
      <c r="F54" s="19" t="str">
        <f t="shared" si="4"/>
        <v>California</v>
      </c>
      <c r="G54" s="19" t="str">
        <f t="shared" si="5"/>
        <v>Sutter County</v>
      </c>
      <c r="H54" s="19">
        <f t="shared" si="6"/>
        <v>20</v>
      </c>
      <c r="J54" s="20" t="str">
        <f t="shared" si="1"/>
        <v>California</v>
      </c>
      <c r="K54" s="20" t="str">
        <f t="shared" si="2"/>
        <v>Sutter County</v>
      </c>
      <c r="L54" s="20">
        <f t="shared" si="3"/>
        <v>958.7</v>
      </c>
    </row>
    <row r="55" spans="1:12" x14ac:dyDescent="0.3">
      <c r="A55" t="s">
        <v>19</v>
      </c>
      <c r="B55" t="s">
        <v>79</v>
      </c>
      <c r="C55" s="12">
        <v>6</v>
      </c>
      <c r="D55" s="12">
        <v>323</v>
      </c>
      <c r="F55" s="19" t="str">
        <f t="shared" si="4"/>
        <v>California</v>
      </c>
      <c r="G55" s="19" t="str">
        <f t="shared" si="5"/>
        <v>Tehama County</v>
      </c>
      <c r="H55" s="19">
        <f t="shared" si="6"/>
        <v>6</v>
      </c>
      <c r="J55" s="20" t="str">
        <f t="shared" si="1"/>
        <v>California</v>
      </c>
      <c r="K55" s="20" t="str">
        <f t="shared" si="2"/>
        <v>Tehama County</v>
      </c>
      <c r="L55" s="20">
        <f t="shared" si="3"/>
        <v>323</v>
      </c>
    </row>
    <row r="56" spans="1:12" x14ac:dyDescent="0.3">
      <c r="A56" t="s">
        <v>19</v>
      </c>
      <c r="B56" t="s">
        <v>608</v>
      </c>
      <c r="C56" s="12">
        <v>5</v>
      </c>
      <c r="D56" s="12">
        <v>167.70000000000002</v>
      </c>
      <c r="F56" s="19" t="str">
        <f t="shared" si="4"/>
        <v>California</v>
      </c>
      <c r="G56" s="19" t="str">
        <f t="shared" si="5"/>
        <v>Trinity County</v>
      </c>
      <c r="H56" s="19">
        <f t="shared" si="6"/>
        <v>5</v>
      </c>
      <c r="J56" s="20" t="str">
        <f t="shared" si="1"/>
        <v>California</v>
      </c>
      <c r="K56" s="20" t="str">
        <f t="shared" si="2"/>
        <v>Trinity County</v>
      </c>
      <c r="L56" s="20">
        <f t="shared" si="3"/>
        <v>167.70000000000002</v>
      </c>
    </row>
    <row r="57" spans="1:12" x14ac:dyDescent="0.3">
      <c r="A57" t="s">
        <v>19</v>
      </c>
      <c r="B57" t="s">
        <v>113</v>
      </c>
      <c r="C57" s="12">
        <v>94</v>
      </c>
      <c r="D57" s="12">
        <v>3978.5</v>
      </c>
      <c r="F57" s="19" t="str">
        <f t="shared" si="4"/>
        <v>California</v>
      </c>
      <c r="G57" s="19" t="str">
        <f t="shared" si="5"/>
        <v>Tulare County</v>
      </c>
      <c r="H57" s="19">
        <f t="shared" si="6"/>
        <v>94</v>
      </c>
      <c r="J57" s="20" t="str">
        <f t="shared" si="1"/>
        <v>California</v>
      </c>
      <c r="K57" s="20" t="str">
        <f t="shared" si="2"/>
        <v>Tulare County</v>
      </c>
      <c r="L57" s="20">
        <f t="shared" si="3"/>
        <v>3978.5</v>
      </c>
    </row>
    <row r="58" spans="1:12" x14ac:dyDescent="0.3">
      <c r="A58" t="s">
        <v>19</v>
      </c>
      <c r="B58" t="s">
        <v>997</v>
      </c>
      <c r="C58" s="12">
        <v>28</v>
      </c>
      <c r="D58" s="12">
        <v>1405</v>
      </c>
      <c r="F58" s="19" t="str">
        <f t="shared" si="4"/>
        <v>California</v>
      </c>
      <c r="G58" s="19" t="str">
        <f t="shared" si="5"/>
        <v>Tuolumne County</v>
      </c>
      <c r="H58" s="19">
        <f t="shared" si="6"/>
        <v>28</v>
      </c>
      <c r="J58" s="20" t="str">
        <f t="shared" si="1"/>
        <v>California</v>
      </c>
      <c r="K58" s="20" t="str">
        <f t="shared" si="2"/>
        <v>Tuolumne County</v>
      </c>
      <c r="L58" s="20">
        <f t="shared" si="3"/>
        <v>1405</v>
      </c>
    </row>
    <row r="59" spans="1:12" x14ac:dyDescent="0.3">
      <c r="A59" t="s">
        <v>19</v>
      </c>
      <c r="B59" t="s">
        <v>82</v>
      </c>
      <c r="C59" s="12">
        <v>179</v>
      </c>
      <c r="D59" s="12">
        <v>9869.0999999999985</v>
      </c>
      <c r="F59" s="19" t="str">
        <f t="shared" si="4"/>
        <v>California</v>
      </c>
      <c r="G59" s="19" t="str">
        <f t="shared" si="5"/>
        <v>Ventura County</v>
      </c>
      <c r="H59" s="19">
        <f t="shared" si="6"/>
        <v>179</v>
      </c>
      <c r="J59" s="20" t="str">
        <f t="shared" si="1"/>
        <v>California</v>
      </c>
      <c r="K59" s="20" t="str">
        <f t="shared" si="2"/>
        <v>Ventura County</v>
      </c>
      <c r="L59" s="20">
        <f t="shared" si="3"/>
        <v>9869.0999999999985</v>
      </c>
    </row>
    <row r="60" spans="1:12" x14ac:dyDescent="0.3">
      <c r="A60" t="s">
        <v>19</v>
      </c>
      <c r="B60" t="s">
        <v>243</v>
      </c>
      <c r="C60" s="12">
        <v>15</v>
      </c>
      <c r="D60" s="12">
        <v>615.29999999999995</v>
      </c>
      <c r="F60" s="19" t="str">
        <f t="shared" si="4"/>
        <v>California</v>
      </c>
      <c r="G60" s="19" t="str">
        <f t="shared" si="5"/>
        <v>Yolo County</v>
      </c>
      <c r="H60" s="19">
        <f t="shared" si="6"/>
        <v>15</v>
      </c>
      <c r="J60" s="20" t="str">
        <f t="shared" si="1"/>
        <v>California</v>
      </c>
      <c r="K60" s="20" t="str">
        <f t="shared" si="2"/>
        <v>Yolo County</v>
      </c>
      <c r="L60" s="20">
        <f t="shared" si="3"/>
        <v>615.29999999999995</v>
      </c>
    </row>
    <row r="61" spans="1:12" x14ac:dyDescent="0.3">
      <c r="A61" t="s">
        <v>19</v>
      </c>
      <c r="B61" t="s">
        <v>1911</v>
      </c>
      <c r="C61" s="12">
        <v>3</v>
      </c>
      <c r="D61" s="12">
        <v>285</v>
      </c>
      <c r="F61" s="19" t="str">
        <f t="shared" si="4"/>
        <v>California</v>
      </c>
      <c r="G61" s="19" t="str">
        <f t="shared" si="5"/>
        <v>Yuba County</v>
      </c>
      <c r="H61" s="19">
        <f t="shared" si="6"/>
        <v>3</v>
      </c>
      <c r="J61" s="20" t="str">
        <f t="shared" si="1"/>
        <v>California</v>
      </c>
      <c r="K61" s="20" t="str">
        <f t="shared" si="2"/>
        <v>Yuba County</v>
      </c>
      <c r="L61" s="20">
        <f t="shared" si="3"/>
        <v>285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3A81-0EC4-4FF7-BE9D-A9701D78C515}">
  <dimension ref="A3:J20"/>
  <sheetViews>
    <sheetView workbookViewId="0">
      <selection activeCell="M10" sqref="M10"/>
    </sheetView>
  </sheetViews>
  <sheetFormatPr defaultRowHeight="14.4" x14ac:dyDescent="0.3"/>
  <cols>
    <col min="1" max="1" width="13.88671875" bestFit="1" customWidth="1"/>
    <col min="2" max="2" width="12.21875" bestFit="1" customWidth="1"/>
    <col min="9" max="9" width="12.44140625" bestFit="1" customWidth="1"/>
    <col min="10" max="10" width="12.21875" bestFit="1" customWidth="1"/>
  </cols>
  <sheetData>
    <row r="3" spans="1:10" x14ac:dyDescent="0.3">
      <c r="A3" s="13" t="s">
        <v>2563</v>
      </c>
      <c r="B3" t="s">
        <v>2552</v>
      </c>
      <c r="I3" s="13" t="s">
        <v>2563</v>
      </c>
      <c r="J3" t="s">
        <v>2552</v>
      </c>
    </row>
    <row r="4" spans="1:10" x14ac:dyDescent="0.3">
      <c r="A4" s="14">
        <v>0</v>
      </c>
      <c r="B4" s="12">
        <v>175</v>
      </c>
      <c r="I4" s="14">
        <v>1</v>
      </c>
      <c r="J4" s="12">
        <v>21</v>
      </c>
    </row>
    <row r="5" spans="1:10" x14ac:dyDescent="0.3">
      <c r="A5" s="14">
        <v>1</v>
      </c>
      <c r="B5" s="12">
        <v>888</v>
      </c>
      <c r="I5" s="14">
        <v>2</v>
      </c>
      <c r="J5" s="12">
        <v>127</v>
      </c>
    </row>
    <row r="6" spans="1:10" x14ac:dyDescent="0.3">
      <c r="A6" s="14">
        <v>2</v>
      </c>
      <c r="B6" s="12">
        <v>538</v>
      </c>
      <c r="I6" s="14">
        <v>3</v>
      </c>
      <c r="J6" s="12">
        <v>495</v>
      </c>
    </row>
    <row r="7" spans="1:10" x14ac:dyDescent="0.3">
      <c r="A7" s="14">
        <v>3</v>
      </c>
      <c r="B7" s="12">
        <v>344</v>
      </c>
      <c r="I7" s="14">
        <v>4</v>
      </c>
      <c r="J7" s="12">
        <v>1036</v>
      </c>
    </row>
    <row r="8" spans="1:10" x14ac:dyDescent="0.3">
      <c r="A8" s="14">
        <v>4</v>
      </c>
      <c r="B8" s="12">
        <v>200</v>
      </c>
      <c r="I8" s="14">
        <v>5</v>
      </c>
      <c r="J8" s="12">
        <v>721</v>
      </c>
    </row>
    <row r="9" spans="1:10" x14ac:dyDescent="0.3">
      <c r="A9" s="14">
        <v>5</v>
      </c>
      <c r="B9" s="12">
        <v>94</v>
      </c>
      <c r="I9" s="14" t="s">
        <v>2564</v>
      </c>
      <c r="J9" s="12">
        <v>2400</v>
      </c>
    </row>
    <row r="10" spans="1:10" x14ac:dyDescent="0.3">
      <c r="A10" s="14" t="s">
        <v>2575</v>
      </c>
      <c r="B10" s="12">
        <v>161</v>
      </c>
    </row>
    <row r="11" spans="1:10" x14ac:dyDescent="0.3">
      <c r="A11" s="4">
        <v>6</v>
      </c>
      <c r="B11" s="12">
        <v>51</v>
      </c>
    </row>
    <row r="12" spans="1:10" x14ac:dyDescent="0.3">
      <c r="A12" s="4">
        <v>7</v>
      </c>
      <c r="B12" s="12">
        <v>32</v>
      </c>
    </row>
    <row r="13" spans="1:10" x14ac:dyDescent="0.3">
      <c r="A13" s="4">
        <v>8</v>
      </c>
      <c r="B13" s="12">
        <v>23</v>
      </c>
    </row>
    <row r="14" spans="1:10" x14ac:dyDescent="0.3">
      <c r="A14" s="4">
        <v>9</v>
      </c>
      <c r="B14" s="12">
        <v>9</v>
      </c>
    </row>
    <row r="15" spans="1:10" x14ac:dyDescent="0.3">
      <c r="A15" s="4">
        <v>10</v>
      </c>
      <c r="B15" s="12">
        <v>8</v>
      </c>
    </row>
    <row r="16" spans="1:10" x14ac:dyDescent="0.3">
      <c r="A16" s="4">
        <v>11</v>
      </c>
      <c r="B16" s="12">
        <v>11</v>
      </c>
    </row>
    <row r="17" spans="1:2" x14ac:dyDescent="0.3">
      <c r="A17" s="4">
        <v>12</v>
      </c>
      <c r="B17" s="12">
        <v>4</v>
      </c>
    </row>
    <row r="18" spans="1:2" x14ac:dyDescent="0.3">
      <c r="A18" s="4">
        <v>13</v>
      </c>
      <c r="B18" s="12">
        <v>10</v>
      </c>
    </row>
    <row r="19" spans="1:2" x14ac:dyDescent="0.3">
      <c r="A19" s="4">
        <v>14</v>
      </c>
      <c r="B19" s="12">
        <v>13</v>
      </c>
    </row>
    <row r="20" spans="1:2" x14ac:dyDescent="0.3">
      <c r="A20" s="14" t="s">
        <v>2564</v>
      </c>
      <c r="B20" s="12">
        <v>2400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506A-3745-48E8-B122-40859F30BC7D}">
  <dimension ref="A1:O2401"/>
  <sheetViews>
    <sheetView topLeftCell="A2" workbookViewId="0">
      <selection activeCell="E2" sqref="E2"/>
    </sheetView>
  </sheetViews>
  <sheetFormatPr defaultRowHeight="14.4" x14ac:dyDescent="0.3"/>
  <cols>
    <col min="2" max="2" width="19.109375" bestFit="1" customWidth="1"/>
    <col min="3" max="3" width="8.109375" bestFit="1" customWidth="1"/>
    <col min="4" max="4" width="9.109375" bestFit="1" customWidth="1"/>
    <col min="5" max="5" width="7.44140625" bestFit="1" customWidth="1"/>
    <col min="6" max="6" width="10" bestFit="1" customWidth="1"/>
    <col min="7" max="7" width="9.44140625" bestFit="1" customWidth="1"/>
    <col min="8" max="8" width="15.6640625" bestFit="1" customWidth="1"/>
    <col min="9" max="9" width="10.6640625" bestFit="1" customWidth="1"/>
    <col min="10" max="10" width="7.77734375" bestFit="1" customWidth="1"/>
    <col min="11" max="11" width="8.77734375" bestFit="1" customWidth="1"/>
    <col min="12" max="12" width="19.6640625" bestFit="1" customWidth="1"/>
    <col min="13" max="13" width="13.33203125" bestFit="1" customWidth="1"/>
    <col min="14" max="14" width="9.33203125" bestFit="1" customWidth="1"/>
    <col min="15" max="15" width="12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</row>
    <row r="2" spans="1:15" x14ac:dyDescent="0.3">
      <c r="A2" t="s">
        <v>15</v>
      </c>
      <c r="B2" t="s">
        <v>16</v>
      </c>
      <c r="C2">
        <v>1</v>
      </c>
      <c r="D2">
        <v>10.9</v>
      </c>
      <c r="E2">
        <v>10.9</v>
      </c>
      <c r="F2" s="1">
        <v>45658</v>
      </c>
      <c r="G2" s="1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f>orders[[#This Row],[Ship Date]]-orders[[#This Row],[Order Date]]</f>
        <v>5</v>
      </c>
      <c r="N2">
        <f>WEEKNUM(orders[[#This Row],[Order Date]])</f>
        <v>1</v>
      </c>
      <c r="O2" t="str" cm="1">
        <f t="array" ref="O2">_xlfn.IFS(orders[[#This Row],[Customer Gender]]="M","Male", orders[[#This Row],[Customer Gender]]="F","Female", orders[[#This Row],[Customer Gender]]="O","Other", TRUE,"Unknown")</f>
        <v>Unknown</v>
      </c>
    </row>
    <row r="3" spans="1:15" x14ac:dyDescent="0.3">
      <c r="A3" t="s">
        <v>21</v>
      </c>
      <c r="B3" t="s">
        <v>22</v>
      </c>
      <c r="C3">
        <v>2</v>
      </c>
      <c r="D3">
        <v>30.6</v>
      </c>
      <c r="E3">
        <v>61.2</v>
      </c>
      <c r="F3" s="1">
        <v>45658</v>
      </c>
      <c r="G3" s="1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f>orders[[#This Row],[Ship Date]]-orders[[#This Row],[Order Date]]</f>
        <v>2</v>
      </c>
      <c r="N3">
        <f>WEEKNUM(orders[[#This Row],[Order Date]])</f>
        <v>1</v>
      </c>
      <c r="O3" t="str" cm="1">
        <f t="array" ref="O3">_xlfn.IFS(orders[[#This Row],[Customer Gender]]="M","Male", orders[[#This Row],[Customer Gender]]="F","Female", orders[[#This Row],[Customer Gender]]="O","Other", TRUE,"Unknown")</f>
        <v>Male</v>
      </c>
    </row>
    <row r="4" spans="1:15" x14ac:dyDescent="0.3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1">
        <v>45658</v>
      </c>
      <c r="G4" s="1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f>orders[[#This Row],[Ship Date]]-orders[[#This Row],[Order Date]]</f>
        <v>3</v>
      </c>
      <c r="N4">
        <f>WEEKNUM(orders[[#This Row],[Order Date]])</f>
        <v>1</v>
      </c>
      <c r="O4" t="str" cm="1">
        <f t="array" ref="O4">_xlfn.IFS(orders[[#This Row],[Customer Gender]]="M","Male", orders[[#This Row],[Customer Gender]]="F","Female", orders[[#This Row],[Customer Gender]]="O","Other", TRUE,"Unknown")</f>
        <v>Female</v>
      </c>
    </row>
    <row r="5" spans="1:15" x14ac:dyDescent="0.3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1">
        <v>45658</v>
      </c>
      <c r="G5" s="1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f>orders[[#This Row],[Ship Date]]-orders[[#This Row],[Order Date]]</f>
        <v>1</v>
      </c>
      <c r="N5">
        <f>WEEKNUM(orders[[#This Row],[Order Date]])</f>
        <v>1</v>
      </c>
      <c r="O5" t="str" cm="1">
        <f t="array" ref="O5">_xlfn.IFS(orders[[#This Row],[Customer Gender]]="M","Male", orders[[#This Row],[Customer Gender]]="F","Female", orders[[#This Row],[Customer Gender]]="O","Other", TRUE,"Unknown")</f>
        <v>Female</v>
      </c>
    </row>
    <row r="6" spans="1:15" x14ac:dyDescent="0.3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1">
        <v>45658</v>
      </c>
      <c r="G6" s="1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f>orders[[#This Row],[Ship Date]]-orders[[#This Row],[Order Date]]</f>
        <v>3</v>
      </c>
      <c r="N6">
        <f>WEEKNUM(orders[[#This Row],[Order Date]])</f>
        <v>1</v>
      </c>
      <c r="O6" t="str" cm="1">
        <f t="array" ref="O6">_xlfn.IFS(orders[[#This Row],[Customer Gender]]="M","Male", orders[[#This Row],[Customer Gender]]="F","Female", orders[[#This Row],[Customer Gender]]="O","Other", TRUE,"Unknown")</f>
        <v>Female</v>
      </c>
    </row>
    <row r="7" spans="1:15" x14ac:dyDescent="0.3">
      <c r="A7" t="s">
        <v>34</v>
      </c>
      <c r="B7" t="s">
        <v>22</v>
      </c>
      <c r="C7">
        <v>12</v>
      </c>
      <c r="D7">
        <v>83.5</v>
      </c>
      <c r="E7">
        <v>1002</v>
      </c>
      <c r="F7" s="1">
        <v>45658</v>
      </c>
      <c r="G7" s="1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f>orders[[#This Row],[Ship Date]]-orders[[#This Row],[Order Date]]</f>
        <v>3</v>
      </c>
      <c r="N7">
        <f>WEEKNUM(orders[[#This Row],[Order Date]])</f>
        <v>1</v>
      </c>
      <c r="O7" t="str" cm="1">
        <f t="array" ref="O7">_xlfn.IFS(orders[[#This Row],[Customer Gender]]="M","Male", orders[[#This Row],[Customer Gender]]="F","Female", orders[[#This Row],[Customer Gender]]="O","Other", TRUE,"Unknown")</f>
        <v>Male</v>
      </c>
    </row>
    <row r="8" spans="1:15" x14ac:dyDescent="0.3">
      <c r="A8" t="s">
        <v>36</v>
      </c>
      <c r="B8" t="s">
        <v>37</v>
      </c>
      <c r="C8">
        <v>1</v>
      </c>
      <c r="D8">
        <v>55.3</v>
      </c>
      <c r="E8">
        <v>55.3</v>
      </c>
      <c r="F8" s="1">
        <v>45658</v>
      </c>
      <c r="G8" s="1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f>orders[[#This Row],[Ship Date]]-orders[[#This Row],[Order Date]]</f>
        <v>1</v>
      </c>
      <c r="N8">
        <f>WEEKNUM(orders[[#This Row],[Order Date]])</f>
        <v>1</v>
      </c>
      <c r="O8" t="str" cm="1">
        <f t="array" ref="O8">_xlfn.IFS(orders[[#This Row],[Customer Gender]]="M","Male", orders[[#This Row],[Customer Gender]]="F","Female", orders[[#This Row],[Customer Gender]]="O","Other", TRUE,"Unknown")</f>
        <v>Female</v>
      </c>
    </row>
    <row r="9" spans="1:15" x14ac:dyDescent="0.3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1">
        <v>45658</v>
      </c>
      <c r="G9" s="1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f>orders[[#This Row],[Ship Date]]-orders[[#This Row],[Order Date]]</f>
        <v>1</v>
      </c>
      <c r="N9">
        <f>WEEKNUM(orders[[#This Row],[Order Date]])</f>
        <v>1</v>
      </c>
      <c r="O9" t="str" cm="1">
        <f t="array" ref="O9">_xlfn.IFS(orders[[#This Row],[Customer Gender]]="M","Male", orders[[#This Row],[Customer Gender]]="F","Female", orders[[#This Row],[Customer Gender]]="O","Other", TRUE,"Unknown")</f>
        <v>Male</v>
      </c>
    </row>
    <row r="10" spans="1:15" x14ac:dyDescent="0.3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1">
        <v>45658</v>
      </c>
      <c r="G10" s="1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f>orders[[#This Row],[Ship Date]]-orders[[#This Row],[Order Date]]</f>
        <v>1</v>
      </c>
      <c r="N10">
        <f>WEEKNUM(orders[[#This Row],[Order Date]])</f>
        <v>1</v>
      </c>
      <c r="O10" t="str" cm="1">
        <f t="array" ref="O10">_xlfn.IFS(orders[[#This Row],[Customer Gender]]="M","Male", orders[[#This Row],[Customer Gender]]="F","Female", orders[[#This Row],[Customer Gender]]="O","Other", TRUE,"Unknown")</f>
        <v>Female</v>
      </c>
    </row>
    <row r="11" spans="1:15" x14ac:dyDescent="0.3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1">
        <v>45658</v>
      </c>
      <c r="G11" s="1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f>orders[[#This Row],[Ship Date]]-orders[[#This Row],[Order Date]]</f>
        <v>3</v>
      </c>
      <c r="N11">
        <f>WEEKNUM(orders[[#This Row],[Order Date]])</f>
        <v>1</v>
      </c>
      <c r="O11" t="str" cm="1">
        <f t="array" ref="O11">_xlfn.IFS(orders[[#This Row],[Customer Gender]]="M","Male", orders[[#This Row],[Customer Gender]]="F","Female", orders[[#This Row],[Customer Gender]]="O","Other", TRUE,"Unknown")</f>
        <v>Male</v>
      </c>
    </row>
    <row r="12" spans="1:15" x14ac:dyDescent="0.3">
      <c r="A12" t="s">
        <v>45</v>
      </c>
      <c r="B12" t="s">
        <v>46</v>
      </c>
      <c r="C12">
        <v>2</v>
      </c>
      <c r="D12">
        <v>54.4</v>
      </c>
      <c r="E12">
        <v>108.8</v>
      </c>
      <c r="F12" s="1">
        <v>45658</v>
      </c>
      <c r="G12" s="1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f>orders[[#This Row],[Ship Date]]-orders[[#This Row],[Order Date]]</f>
        <v>6</v>
      </c>
      <c r="N12">
        <f>WEEKNUM(orders[[#This Row],[Order Date]])</f>
        <v>1</v>
      </c>
      <c r="O12" t="str" cm="1">
        <f t="array" ref="O12">_xlfn.IFS(orders[[#This Row],[Customer Gender]]="M","Male", orders[[#This Row],[Customer Gender]]="F","Female", orders[[#This Row],[Customer Gender]]="O","Other", TRUE,"Unknown")</f>
        <v>Female</v>
      </c>
    </row>
    <row r="13" spans="1:15" x14ac:dyDescent="0.3">
      <c r="A13" t="s">
        <v>47</v>
      </c>
      <c r="B13" t="s">
        <v>46</v>
      </c>
      <c r="C13">
        <v>2</v>
      </c>
      <c r="D13">
        <v>49</v>
      </c>
      <c r="E13">
        <v>98</v>
      </c>
      <c r="F13" s="1">
        <v>45658</v>
      </c>
      <c r="G13" s="1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f>orders[[#This Row],[Ship Date]]-orders[[#This Row],[Order Date]]</f>
        <v>2</v>
      </c>
      <c r="N13">
        <f>WEEKNUM(orders[[#This Row],[Order Date]])</f>
        <v>1</v>
      </c>
      <c r="O13" t="str" cm="1">
        <f t="array" ref="O13">_xlfn.IFS(orders[[#This Row],[Customer Gender]]="M","Male", orders[[#This Row],[Customer Gender]]="F","Female", orders[[#This Row],[Customer Gender]]="O","Other", TRUE,"Unknown")</f>
        <v>Female</v>
      </c>
    </row>
    <row r="14" spans="1:15" x14ac:dyDescent="0.3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1">
        <v>45658</v>
      </c>
      <c r="G14" s="1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f>orders[[#This Row],[Ship Date]]-orders[[#This Row],[Order Date]]</f>
        <v>4</v>
      </c>
      <c r="N14">
        <f>WEEKNUM(orders[[#This Row],[Order Date]])</f>
        <v>1</v>
      </c>
      <c r="O14" t="str" cm="1">
        <f t="array" ref="O14">_xlfn.IFS(orders[[#This Row],[Customer Gender]]="M","Male", orders[[#This Row],[Customer Gender]]="F","Female", orders[[#This Row],[Customer Gender]]="O","Other", TRUE,"Unknown")</f>
        <v>Female</v>
      </c>
    </row>
    <row r="15" spans="1:15" x14ac:dyDescent="0.3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1">
        <v>45658</v>
      </c>
      <c r="G15" s="1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f>orders[[#This Row],[Ship Date]]-orders[[#This Row],[Order Date]]</f>
        <v>7</v>
      </c>
      <c r="N15">
        <f>WEEKNUM(orders[[#This Row],[Order Date]])</f>
        <v>1</v>
      </c>
      <c r="O15" t="str" cm="1">
        <f t="array" ref="O15">_xlfn.IFS(orders[[#This Row],[Customer Gender]]="M","Male", orders[[#This Row],[Customer Gender]]="F","Female", orders[[#This Row],[Customer Gender]]="O","Other", TRUE,"Unknown")</f>
        <v>Male</v>
      </c>
    </row>
    <row r="16" spans="1:15" x14ac:dyDescent="0.3">
      <c r="A16" t="s">
        <v>53</v>
      </c>
      <c r="B16" t="s">
        <v>54</v>
      </c>
      <c r="C16">
        <v>1</v>
      </c>
      <c r="D16">
        <v>66.7</v>
      </c>
      <c r="E16">
        <v>66.7</v>
      </c>
      <c r="F16" s="1">
        <v>45658</v>
      </c>
      <c r="G16" s="1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f>orders[[#This Row],[Ship Date]]-orders[[#This Row],[Order Date]]</f>
        <v>3</v>
      </c>
      <c r="N16">
        <f>WEEKNUM(orders[[#This Row],[Order Date]])</f>
        <v>1</v>
      </c>
      <c r="O16" t="str" cm="1">
        <f t="array" ref="O16">_xlfn.IFS(orders[[#This Row],[Customer Gender]]="M","Male", orders[[#This Row],[Customer Gender]]="F","Female", orders[[#This Row],[Customer Gender]]="O","Other", TRUE,"Unknown")</f>
        <v>Male</v>
      </c>
    </row>
    <row r="17" spans="1:15" x14ac:dyDescent="0.3">
      <c r="A17" t="s">
        <v>56</v>
      </c>
      <c r="B17" t="s">
        <v>46</v>
      </c>
      <c r="C17">
        <v>10</v>
      </c>
      <c r="D17">
        <v>30.9</v>
      </c>
      <c r="E17">
        <v>309</v>
      </c>
      <c r="F17" s="1">
        <v>45658</v>
      </c>
      <c r="G17" s="1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f>orders[[#This Row],[Ship Date]]-orders[[#This Row],[Order Date]]</f>
        <v>1</v>
      </c>
      <c r="N17">
        <f>WEEKNUM(orders[[#This Row],[Order Date]])</f>
        <v>1</v>
      </c>
      <c r="O17" t="str" cm="1">
        <f t="array" ref="O17">_xlfn.IFS(orders[[#This Row],[Customer Gender]]="M","Male", orders[[#This Row],[Customer Gender]]="F","Female", orders[[#This Row],[Customer Gender]]="O","Other", TRUE,"Unknown")</f>
        <v>Male</v>
      </c>
    </row>
    <row r="18" spans="1:15" x14ac:dyDescent="0.3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1">
        <v>45658</v>
      </c>
      <c r="G18" s="1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f>orders[[#This Row],[Ship Date]]-orders[[#This Row],[Order Date]]</f>
        <v>1</v>
      </c>
      <c r="N18">
        <f>WEEKNUM(orders[[#This Row],[Order Date]])</f>
        <v>1</v>
      </c>
      <c r="O18" t="str" cm="1">
        <f t="array" ref="O18">_xlfn.IFS(orders[[#This Row],[Customer Gender]]="M","Male", orders[[#This Row],[Customer Gender]]="F","Female", orders[[#This Row],[Customer Gender]]="O","Other", TRUE,"Unknown")</f>
        <v>Female</v>
      </c>
    </row>
    <row r="19" spans="1:15" x14ac:dyDescent="0.3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1">
        <v>45658</v>
      </c>
      <c r="G19" s="1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f>orders[[#This Row],[Ship Date]]-orders[[#This Row],[Order Date]]</f>
        <v>3</v>
      </c>
      <c r="N19">
        <f>WEEKNUM(orders[[#This Row],[Order Date]])</f>
        <v>1</v>
      </c>
      <c r="O19" t="str" cm="1">
        <f t="array" ref="O19">_xlfn.IFS(orders[[#This Row],[Customer Gender]]="M","Male", orders[[#This Row],[Customer Gender]]="F","Female", orders[[#This Row],[Customer Gender]]="O","Other", TRUE,"Unknown")</f>
        <v>Female</v>
      </c>
    </row>
    <row r="20" spans="1:15" x14ac:dyDescent="0.3">
      <c r="A20" t="s">
        <v>60</v>
      </c>
      <c r="B20" t="s">
        <v>39</v>
      </c>
      <c r="C20">
        <v>8</v>
      </c>
      <c r="D20">
        <v>51.1</v>
      </c>
      <c r="E20">
        <v>408.8</v>
      </c>
      <c r="F20" s="1">
        <v>45658</v>
      </c>
      <c r="G20" s="1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f>orders[[#This Row],[Ship Date]]-orders[[#This Row],[Order Date]]</f>
        <v>3</v>
      </c>
      <c r="N20">
        <f>WEEKNUM(orders[[#This Row],[Order Date]])</f>
        <v>1</v>
      </c>
      <c r="O20" t="str" cm="1">
        <f t="array" ref="O20">_xlfn.IFS(orders[[#This Row],[Customer Gender]]="M","Male", orders[[#This Row],[Customer Gender]]="F","Female", orders[[#This Row],[Customer Gender]]="O","Other", TRUE,"Unknown")</f>
        <v>Female</v>
      </c>
    </row>
    <row r="21" spans="1:15" x14ac:dyDescent="0.3">
      <c r="A21" t="s">
        <v>61</v>
      </c>
      <c r="B21" t="s">
        <v>46</v>
      </c>
      <c r="C21">
        <v>1</v>
      </c>
      <c r="D21">
        <v>25.2</v>
      </c>
      <c r="E21">
        <v>25.2</v>
      </c>
      <c r="F21" s="1">
        <v>45658</v>
      </c>
      <c r="G21" s="1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f>orders[[#This Row],[Ship Date]]-orders[[#This Row],[Order Date]]</f>
        <v>1</v>
      </c>
      <c r="N21">
        <f>WEEKNUM(orders[[#This Row],[Order Date]])</f>
        <v>1</v>
      </c>
      <c r="O21" t="str" cm="1">
        <f t="array" ref="O21">_xlfn.IFS(orders[[#This Row],[Customer Gender]]="M","Male", orders[[#This Row],[Customer Gender]]="F","Female", orders[[#This Row],[Customer Gender]]="O","Other", TRUE,"Unknown")</f>
        <v>Female</v>
      </c>
    </row>
    <row r="22" spans="1:15" x14ac:dyDescent="0.3">
      <c r="A22" t="s">
        <v>63</v>
      </c>
      <c r="B22" t="s">
        <v>46</v>
      </c>
      <c r="C22">
        <v>5</v>
      </c>
      <c r="D22">
        <v>43.8</v>
      </c>
      <c r="E22">
        <v>219</v>
      </c>
      <c r="F22" s="1">
        <v>45658</v>
      </c>
      <c r="G22" s="1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f>orders[[#This Row],[Ship Date]]-orders[[#This Row],[Order Date]]</f>
        <v>3</v>
      </c>
      <c r="N22">
        <f>WEEKNUM(orders[[#This Row],[Order Date]])</f>
        <v>1</v>
      </c>
      <c r="O22" t="str" cm="1">
        <f t="array" ref="O22">_xlfn.IFS(orders[[#This Row],[Customer Gender]]="M","Male", orders[[#This Row],[Customer Gender]]="F","Female", orders[[#This Row],[Customer Gender]]="O","Other", TRUE,"Unknown")</f>
        <v>Female</v>
      </c>
    </row>
    <row r="23" spans="1:15" x14ac:dyDescent="0.3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1">
        <v>45658</v>
      </c>
      <c r="G23" s="1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f>orders[[#This Row],[Ship Date]]-orders[[#This Row],[Order Date]]</f>
        <v>1</v>
      </c>
      <c r="N23">
        <f>WEEKNUM(orders[[#This Row],[Order Date]])</f>
        <v>1</v>
      </c>
      <c r="O23" t="str" cm="1">
        <f t="array" ref="O23">_xlfn.IFS(orders[[#This Row],[Customer Gender]]="M","Male", orders[[#This Row],[Customer Gender]]="F","Female", orders[[#This Row],[Customer Gender]]="O","Other", TRUE,"Unknown")</f>
        <v>Female</v>
      </c>
    </row>
    <row r="24" spans="1:15" x14ac:dyDescent="0.3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1">
        <v>45658</v>
      </c>
      <c r="G24" s="1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f>orders[[#This Row],[Ship Date]]-orders[[#This Row],[Order Date]]</f>
        <v>1</v>
      </c>
      <c r="N24">
        <f>WEEKNUM(orders[[#This Row],[Order Date]])</f>
        <v>1</v>
      </c>
      <c r="O24" t="str" cm="1">
        <f t="array" ref="O24">_xlfn.IFS(orders[[#This Row],[Customer Gender]]="M","Male", orders[[#This Row],[Customer Gender]]="F","Female", orders[[#This Row],[Customer Gender]]="O","Other", TRUE,"Unknown")</f>
        <v>Male</v>
      </c>
    </row>
    <row r="25" spans="1:15" x14ac:dyDescent="0.3">
      <c r="A25" t="s">
        <v>66</v>
      </c>
      <c r="B25" t="s">
        <v>67</v>
      </c>
      <c r="C25">
        <v>8</v>
      </c>
      <c r="D25">
        <v>26.4</v>
      </c>
      <c r="E25">
        <v>211.2</v>
      </c>
      <c r="F25" s="1">
        <v>45658</v>
      </c>
      <c r="G25" s="1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f>orders[[#This Row],[Ship Date]]-orders[[#This Row],[Order Date]]</f>
        <v>1</v>
      </c>
      <c r="N25">
        <f>WEEKNUM(orders[[#This Row],[Order Date]])</f>
        <v>1</v>
      </c>
      <c r="O25" t="str" cm="1">
        <f t="array" ref="O25">_xlfn.IFS(orders[[#This Row],[Customer Gender]]="M","Male", orders[[#This Row],[Customer Gender]]="F","Female", orders[[#This Row],[Customer Gender]]="O","Other", TRUE,"Unknown")</f>
        <v>Female</v>
      </c>
    </row>
    <row r="26" spans="1:15" x14ac:dyDescent="0.3">
      <c r="A26" t="s">
        <v>68</v>
      </c>
      <c r="B26" t="s">
        <v>69</v>
      </c>
      <c r="C26">
        <v>8</v>
      </c>
      <c r="D26">
        <v>88.8</v>
      </c>
      <c r="E26">
        <v>710.4</v>
      </c>
      <c r="F26" s="1">
        <v>45658</v>
      </c>
      <c r="G26" s="1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f>orders[[#This Row],[Ship Date]]-orders[[#This Row],[Order Date]]</f>
        <v>1</v>
      </c>
      <c r="N26">
        <f>WEEKNUM(orders[[#This Row],[Order Date]])</f>
        <v>1</v>
      </c>
      <c r="O26" t="str" cm="1">
        <f t="array" ref="O26">_xlfn.IFS(orders[[#This Row],[Customer Gender]]="M","Male", orders[[#This Row],[Customer Gender]]="F","Female", orders[[#This Row],[Customer Gender]]="O","Other", TRUE,"Unknown")</f>
        <v>Female</v>
      </c>
    </row>
    <row r="27" spans="1:15" x14ac:dyDescent="0.3">
      <c r="A27" t="s">
        <v>71</v>
      </c>
      <c r="B27" t="s">
        <v>16</v>
      </c>
      <c r="C27">
        <v>10</v>
      </c>
      <c r="D27">
        <v>17.5</v>
      </c>
      <c r="E27">
        <v>175</v>
      </c>
      <c r="F27" s="1">
        <v>45658</v>
      </c>
      <c r="G27" s="1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f>orders[[#This Row],[Ship Date]]-orders[[#This Row],[Order Date]]</f>
        <v>1</v>
      </c>
      <c r="N27">
        <f>WEEKNUM(orders[[#This Row],[Order Date]])</f>
        <v>1</v>
      </c>
      <c r="O27" t="str" cm="1">
        <f t="array" ref="O27">_xlfn.IFS(orders[[#This Row],[Customer Gender]]="M","Male", orders[[#This Row],[Customer Gender]]="F","Female", orders[[#This Row],[Customer Gender]]="O","Other", TRUE,"Unknown")</f>
        <v>Female</v>
      </c>
    </row>
    <row r="28" spans="1:15" x14ac:dyDescent="0.3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1">
        <v>45658</v>
      </c>
      <c r="G28" s="1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f>orders[[#This Row],[Ship Date]]-orders[[#This Row],[Order Date]]</f>
        <v>3</v>
      </c>
      <c r="N28">
        <f>WEEKNUM(orders[[#This Row],[Order Date]])</f>
        <v>1</v>
      </c>
      <c r="O28" t="str" cm="1">
        <f t="array" ref="O28">_xlfn.IFS(orders[[#This Row],[Customer Gender]]="M","Male", orders[[#This Row],[Customer Gender]]="F","Female", orders[[#This Row],[Customer Gender]]="O","Other", TRUE,"Unknown")</f>
        <v>Male</v>
      </c>
    </row>
    <row r="29" spans="1:15" x14ac:dyDescent="0.3">
      <c r="A29" t="s">
        <v>75</v>
      </c>
      <c r="B29" t="s">
        <v>76</v>
      </c>
      <c r="C29">
        <v>4</v>
      </c>
      <c r="D29">
        <v>57.2</v>
      </c>
      <c r="E29">
        <v>228.8</v>
      </c>
      <c r="F29" s="1">
        <v>45658</v>
      </c>
      <c r="G29" s="1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f>orders[[#This Row],[Ship Date]]-orders[[#This Row],[Order Date]]</f>
        <v>2</v>
      </c>
      <c r="N29">
        <f>WEEKNUM(orders[[#This Row],[Order Date]])</f>
        <v>1</v>
      </c>
      <c r="O29" t="str" cm="1">
        <f t="array" ref="O29">_xlfn.IFS(orders[[#This Row],[Customer Gender]]="M","Male", orders[[#This Row],[Customer Gender]]="F","Female", orders[[#This Row],[Customer Gender]]="O","Other", TRUE,"Unknown")</f>
        <v>Unknown</v>
      </c>
    </row>
    <row r="30" spans="1:15" x14ac:dyDescent="0.3">
      <c r="A30" t="s">
        <v>78</v>
      </c>
      <c r="B30" t="s">
        <v>39</v>
      </c>
      <c r="C30">
        <v>5</v>
      </c>
      <c r="D30">
        <v>50.9</v>
      </c>
      <c r="E30">
        <v>254.5</v>
      </c>
      <c r="F30" s="1">
        <v>45658</v>
      </c>
      <c r="G30" s="1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f>orders[[#This Row],[Ship Date]]-orders[[#This Row],[Order Date]]</f>
        <v>6</v>
      </c>
      <c r="N30">
        <f>WEEKNUM(orders[[#This Row],[Order Date]])</f>
        <v>1</v>
      </c>
      <c r="O30" t="str" cm="1">
        <f t="array" ref="O30">_xlfn.IFS(orders[[#This Row],[Customer Gender]]="M","Male", orders[[#This Row],[Customer Gender]]="F","Female", orders[[#This Row],[Customer Gender]]="O","Other", TRUE,"Unknown")</f>
        <v>Unknown</v>
      </c>
    </row>
    <row r="31" spans="1:15" x14ac:dyDescent="0.3">
      <c r="A31" t="s">
        <v>80</v>
      </c>
      <c r="B31" t="s">
        <v>81</v>
      </c>
      <c r="C31">
        <v>7</v>
      </c>
      <c r="D31">
        <v>41</v>
      </c>
      <c r="E31">
        <v>287</v>
      </c>
      <c r="F31" s="1">
        <v>45658</v>
      </c>
      <c r="G31" s="1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f>orders[[#This Row],[Ship Date]]-orders[[#This Row],[Order Date]]</f>
        <v>4</v>
      </c>
      <c r="N31">
        <f>WEEKNUM(orders[[#This Row],[Order Date]])</f>
        <v>1</v>
      </c>
      <c r="O31" t="str" cm="1">
        <f t="array" ref="O31">_xlfn.IFS(orders[[#This Row],[Customer Gender]]="M","Male", orders[[#This Row],[Customer Gender]]="F","Female", orders[[#This Row],[Customer Gender]]="O","Other", TRUE,"Unknown")</f>
        <v>Female</v>
      </c>
    </row>
    <row r="32" spans="1:15" x14ac:dyDescent="0.3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1">
        <v>45658</v>
      </c>
      <c r="G32" s="1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f>orders[[#This Row],[Ship Date]]-orders[[#This Row],[Order Date]]</f>
        <v>4</v>
      </c>
      <c r="N32">
        <f>WEEKNUM(orders[[#This Row],[Order Date]])</f>
        <v>1</v>
      </c>
      <c r="O32" t="str" cm="1">
        <f t="array" ref="O32">_xlfn.IFS(orders[[#This Row],[Customer Gender]]="M","Male", orders[[#This Row],[Customer Gender]]="F","Female", orders[[#This Row],[Customer Gender]]="O","Other", TRUE,"Unknown")</f>
        <v>Male</v>
      </c>
    </row>
    <row r="33" spans="1:15" x14ac:dyDescent="0.3">
      <c r="A33" t="s">
        <v>85</v>
      </c>
      <c r="B33" t="s">
        <v>26</v>
      </c>
      <c r="C33">
        <v>5</v>
      </c>
      <c r="D33">
        <v>166.1</v>
      </c>
      <c r="E33">
        <v>830.5</v>
      </c>
      <c r="F33" s="1">
        <v>45658</v>
      </c>
      <c r="G33" s="1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f>orders[[#This Row],[Ship Date]]-orders[[#This Row],[Order Date]]</f>
        <v>3</v>
      </c>
      <c r="N33">
        <f>WEEKNUM(orders[[#This Row],[Order Date]])</f>
        <v>1</v>
      </c>
      <c r="O33" t="str" cm="1">
        <f t="array" ref="O33">_xlfn.IFS(orders[[#This Row],[Customer Gender]]="M","Male", orders[[#This Row],[Customer Gender]]="F","Female", orders[[#This Row],[Customer Gender]]="O","Other", TRUE,"Unknown")</f>
        <v>Male</v>
      </c>
    </row>
    <row r="34" spans="1:15" x14ac:dyDescent="0.3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1">
        <v>45658</v>
      </c>
      <c r="G34" s="1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f>orders[[#This Row],[Ship Date]]-orders[[#This Row],[Order Date]]</f>
        <v>1</v>
      </c>
      <c r="N34">
        <f>WEEKNUM(orders[[#This Row],[Order Date]])</f>
        <v>1</v>
      </c>
      <c r="O34" t="str" cm="1">
        <f t="array" ref="O34">_xlfn.IFS(orders[[#This Row],[Customer Gender]]="M","Male", orders[[#This Row],[Customer Gender]]="F","Female", orders[[#This Row],[Customer Gender]]="O","Other", TRUE,"Unknown")</f>
        <v>Male</v>
      </c>
    </row>
    <row r="35" spans="1:15" x14ac:dyDescent="0.3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1">
        <v>45658</v>
      </c>
      <c r="G35" s="1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f>orders[[#This Row],[Ship Date]]-orders[[#This Row],[Order Date]]</f>
        <v>2</v>
      </c>
      <c r="N35">
        <f>WEEKNUM(orders[[#This Row],[Order Date]])</f>
        <v>1</v>
      </c>
      <c r="O35" t="str" cm="1">
        <f t="array" ref="O35">_xlfn.IFS(orders[[#This Row],[Customer Gender]]="M","Male", orders[[#This Row],[Customer Gender]]="F","Female", orders[[#This Row],[Customer Gender]]="O","Other", TRUE,"Unknown")</f>
        <v>Other</v>
      </c>
    </row>
    <row r="36" spans="1:15" x14ac:dyDescent="0.3">
      <c r="A36" t="s">
        <v>90</v>
      </c>
      <c r="B36" t="s">
        <v>67</v>
      </c>
      <c r="C36">
        <v>2</v>
      </c>
      <c r="D36">
        <v>32</v>
      </c>
      <c r="E36">
        <v>64</v>
      </c>
      <c r="F36" s="1">
        <v>45658</v>
      </c>
      <c r="G36" s="1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f>orders[[#This Row],[Ship Date]]-orders[[#This Row],[Order Date]]</f>
        <v>3</v>
      </c>
      <c r="N36">
        <f>WEEKNUM(orders[[#This Row],[Order Date]])</f>
        <v>1</v>
      </c>
      <c r="O36" t="str" cm="1">
        <f t="array" ref="O36">_xlfn.IFS(orders[[#This Row],[Customer Gender]]="M","Male", orders[[#This Row],[Customer Gender]]="F","Female", orders[[#This Row],[Customer Gender]]="O","Other", TRUE,"Unknown")</f>
        <v>Male</v>
      </c>
    </row>
    <row r="37" spans="1:15" x14ac:dyDescent="0.3">
      <c r="A37" t="s">
        <v>91</v>
      </c>
      <c r="B37" t="s">
        <v>44</v>
      </c>
      <c r="C37">
        <v>2</v>
      </c>
      <c r="D37">
        <v>15.8</v>
      </c>
      <c r="E37">
        <v>31.6</v>
      </c>
      <c r="F37" s="1">
        <v>45658</v>
      </c>
      <c r="G37" s="1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f>orders[[#This Row],[Ship Date]]-orders[[#This Row],[Order Date]]</f>
        <v>1</v>
      </c>
      <c r="N37">
        <f>WEEKNUM(orders[[#This Row],[Order Date]])</f>
        <v>1</v>
      </c>
      <c r="O37" t="str" cm="1">
        <f t="array" ref="O37">_xlfn.IFS(orders[[#This Row],[Customer Gender]]="M","Male", orders[[#This Row],[Customer Gender]]="F","Female", orders[[#This Row],[Customer Gender]]="O","Other", TRUE,"Unknown")</f>
        <v>Male</v>
      </c>
    </row>
    <row r="38" spans="1:15" x14ac:dyDescent="0.3">
      <c r="A38" t="s">
        <v>92</v>
      </c>
      <c r="B38" t="s">
        <v>26</v>
      </c>
      <c r="C38">
        <v>17</v>
      </c>
      <c r="D38">
        <v>203.1</v>
      </c>
      <c r="E38">
        <v>3452.7</v>
      </c>
      <c r="F38" s="1">
        <v>45658</v>
      </c>
      <c r="G38" s="1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f>orders[[#This Row],[Ship Date]]-orders[[#This Row],[Order Date]]</f>
        <v>4</v>
      </c>
      <c r="N38">
        <f>WEEKNUM(orders[[#This Row],[Order Date]])</f>
        <v>1</v>
      </c>
      <c r="O38" t="str" cm="1">
        <f t="array" ref="O38">_xlfn.IFS(orders[[#This Row],[Customer Gender]]="M","Male", orders[[#This Row],[Customer Gender]]="F","Female", orders[[#This Row],[Customer Gender]]="O","Other", TRUE,"Unknown")</f>
        <v>Male</v>
      </c>
    </row>
    <row r="39" spans="1:15" x14ac:dyDescent="0.3">
      <c r="A39" t="s">
        <v>93</v>
      </c>
      <c r="B39" t="s">
        <v>42</v>
      </c>
      <c r="C39">
        <v>13</v>
      </c>
      <c r="D39">
        <v>39</v>
      </c>
      <c r="E39">
        <v>507</v>
      </c>
      <c r="F39" s="1">
        <v>45658</v>
      </c>
      <c r="G39" s="1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f>orders[[#This Row],[Ship Date]]-orders[[#This Row],[Order Date]]</f>
        <v>6</v>
      </c>
      <c r="N39">
        <f>WEEKNUM(orders[[#This Row],[Order Date]])</f>
        <v>1</v>
      </c>
      <c r="O39" t="str" cm="1">
        <f t="array" ref="O39">_xlfn.IFS(orders[[#This Row],[Customer Gender]]="M","Male", orders[[#This Row],[Customer Gender]]="F","Female", orders[[#This Row],[Customer Gender]]="O","Other", TRUE,"Unknown")</f>
        <v>Male</v>
      </c>
    </row>
    <row r="40" spans="1:15" x14ac:dyDescent="0.3">
      <c r="A40" t="s">
        <v>94</v>
      </c>
      <c r="B40" t="s">
        <v>54</v>
      </c>
      <c r="C40">
        <v>1</v>
      </c>
      <c r="D40">
        <v>26.5</v>
      </c>
      <c r="E40">
        <v>26.5</v>
      </c>
      <c r="F40" s="1">
        <v>45659</v>
      </c>
      <c r="G40" s="1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f>orders[[#This Row],[Ship Date]]-orders[[#This Row],[Order Date]]</f>
        <v>1</v>
      </c>
      <c r="N40">
        <f>WEEKNUM(orders[[#This Row],[Order Date]])</f>
        <v>1</v>
      </c>
      <c r="O40" t="str" cm="1">
        <f t="array" ref="O40">_xlfn.IFS(orders[[#This Row],[Customer Gender]]="M","Male", orders[[#This Row],[Customer Gender]]="F","Female", orders[[#This Row],[Customer Gender]]="O","Other", TRUE,"Unknown")</f>
        <v>Male</v>
      </c>
    </row>
    <row r="41" spans="1:15" x14ac:dyDescent="0.3">
      <c r="A41" t="s">
        <v>95</v>
      </c>
      <c r="B41" t="s">
        <v>37</v>
      </c>
      <c r="C41">
        <v>1</v>
      </c>
      <c r="D41">
        <v>43.1</v>
      </c>
      <c r="E41">
        <v>43.1</v>
      </c>
      <c r="F41" s="1">
        <v>45659</v>
      </c>
      <c r="G41" s="1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f>orders[[#This Row],[Ship Date]]-orders[[#This Row],[Order Date]]</f>
        <v>1</v>
      </c>
      <c r="N41">
        <f>WEEKNUM(orders[[#This Row],[Order Date]])</f>
        <v>1</v>
      </c>
      <c r="O41" t="str" cm="1">
        <f t="array" ref="O41">_xlfn.IFS(orders[[#This Row],[Customer Gender]]="M","Male", orders[[#This Row],[Customer Gender]]="F","Female", orders[[#This Row],[Customer Gender]]="O","Other", TRUE,"Unknown")</f>
        <v>Female</v>
      </c>
    </row>
    <row r="42" spans="1:15" x14ac:dyDescent="0.3">
      <c r="A42" t="s">
        <v>96</v>
      </c>
      <c r="B42" t="s">
        <v>22</v>
      </c>
      <c r="C42">
        <v>3</v>
      </c>
      <c r="D42">
        <v>139</v>
      </c>
      <c r="E42">
        <v>417</v>
      </c>
      <c r="F42" s="1">
        <v>45659</v>
      </c>
      <c r="G42" s="1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f>orders[[#This Row],[Ship Date]]-orders[[#This Row],[Order Date]]</f>
        <v>1</v>
      </c>
      <c r="N42">
        <f>WEEKNUM(orders[[#This Row],[Order Date]])</f>
        <v>1</v>
      </c>
      <c r="O42" t="str" cm="1">
        <f t="array" ref="O42">_xlfn.IFS(orders[[#This Row],[Customer Gender]]="M","Male", orders[[#This Row],[Customer Gender]]="F","Female", orders[[#This Row],[Customer Gender]]="O","Other", TRUE,"Unknown")</f>
        <v>Female</v>
      </c>
    </row>
    <row r="43" spans="1:15" x14ac:dyDescent="0.3">
      <c r="A43" t="s">
        <v>97</v>
      </c>
      <c r="B43" t="s">
        <v>69</v>
      </c>
      <c r="C43">
        <v>1</v>
      </c>
      <c r="D43">
        <v>80.7</v>
      </c>
      <c r="E43">
        <v>80.7</v>
      </c>
      <c r="F43" s="1">
        <v>45659</v>
      </c>
      <c r="G43" s="1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f>orders[[#This Row],[Ship Date]]-orders[[#This Row],[Order Date]]</f>
        <v>1</v>
      </c>
      <c r="N43">
        <f>WEEKNUM(orders[[#This Row],[Order Date]])</f>
        <v>1</v>
      </c>
      <c r="O43" t="str" cm="1">
        <f t="array" ref="O43">_xlfn.IFS(orders[[#This Row],[Customer Gender]]="M","Male", orders[[#This Row],[Customer Gender]]="F","Female", orders[[#This Row],[Customer Gender]]="O","Other", TRUE,"Unknown")</f>
        <v>Male</v>
      </c>
    </row>
    <row r="44" spans="1:15" x14ac:dyDescent="0.3">
      <c r="A44" t="s">
        <v>99</v>
      </c>
      <c r="B44" t="s">
        <v>32</v>
      </c>
      <c r="C44">
        <v>2</v>
      </c>
      <c r="D44">
        <v>54.5</v>
      </c>
      <c r="E44">
        <v>109</v>
      </c>
      <c r="F44" s="1">
        <v>45659</v>
      </c>
      <c r="G44" s="1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f>orders[[#This Row],[Ship Date]]-orders[[#This Row],[Order Date]]</f>
        <v>2</v>
      </c>
      <c r="N44">
        <f>WEEKNUM(orders[[#This Row],[Order Date]])</f>
        <v>1</v>
      </c>
      <c r="O44" t="str" cm="1">
        <f t="array" ref="O44">_xlfn.IFS(orders[[#This Row],[Customer Gender]]="M","Male", orders[[#This Row],[Customer Gender]]="F","Female", orders[[#This Row],[Customer Gender]]="O","Other", TRUE,"Unknown")</f>
        <v>Male</v>
      </c>
    </row>
    <row r="45" spans="1:15" x14ac:dyDescent="0.3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1">
        <v>45659</v>
      </c>
      <c r="G45" s="1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f>orders[[#This Row],[Ship Date]]-orders[[#This Row],[Order Date]]</f>
        <v>0</v>
      </c>
      <c r="N45">
        <f>WEEKNUM(orders[[#This Row],[Order Date]])</f>
        <v>1</v>
      </c>
      <c r="O45" t="str" cm="1">
        <f t="array" ref="O45">_xlfn.IFS(orders[[#This Row],[Customer Gender]]="M","Male", orders[[#This Row],[Customer Gender]]="F","Female", orders[[#This Row],[Customer Gender]]="O","Other", TRUE,"Unknown")</f>
        <v>Female</v>
      </c>
    </row>
    <row r="46" spans="1:15" x14ac:dyDescent="0.3">
      <c r="A46" t="s">
        <v>101</v>
      </c>
      <c r="B46" t="s">
        <v>26</v>
      </c>
      <c r="C46">
        <v>4</v>
      </c>
      <c r="D46">
        <v>135.9</v>
      </c>
      <c r="E46">
        <v>543.6</v>
      </c>
      <c r="F46" s="1">
        <v>45659</v>
      </c>
      <c r="G46" s="1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f>orders[[#This Row],[Ship Date]]-orders[[#This Row],[Order Date]]</f>
        <v>1</v>
      </c>
      <c r="N46">
        <f>WEEKNUM(orders[[#This Row],[Order Date]])</f>
        <v>1</v>
      </c>
      <c r="O46" t="str" cm="1">
        <f t="array" ref="O46">_xlfn.IFS(orders[[#This Row],[Customer Gender]]="M","Male", orders[[#This Row],[Customer Gender]]="F","Female", orders[[#This Row],[Customer Gender]]="O","Other", TRUE,"Unknown")</f>
        <v>Female</v>
      </c>
    </row>
    <row r="47" spans="1:15" x14ac:dyDescent="0.3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1">
        <v>45659</v>
      </c>
      <c r="G47" s="1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f>orders[[#This Row],[Ship Date]]-orders[[#This Row],[Order Date]]</f>
        <v>1</v>
      </c>
      <c r="N47">
        <f>WEEKNUM(orders[[#This Row],[Order Date]])</f>
        <v>1</v>
      </c>
      <c r="O47" t="str" cm="1">
        <f t="array" ref="O47">_xlfn.IFS(orders[[#This Row],[Customer Gender]]="M","Male", orders[[#This Row],[Customer Gender]]="F","Female", orders[[#This Row],[Customer Gender]]="O","Other", TRUE,"Unknown")</f>
        <v>Female</v>
      </c>
    </row>
    <row r="48" spans="1:15" x14ac:dyDescent="0.3">
      <c r="A48" t="s">
        <v>104</v>
      </c>
      <c r="B48" t="s">
        <v>22</v>
      </c>
      <c r="C48">
        <v>5</v>
      </c>
      <c r="D48">
        <v>63.7</v>
      </c>
      <c r="E48">
        <v>318.5</v>
      </c>
      <c r="F48" s="1">
        <v>45659</v>
      </c>
      <c r="G48" s="1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f>orders[[#This Row],[Ship Date]]-orders[[#This Row],[Order Date]]</f>
        <v>1</v>
      </c>
      <c r="N48">
        <f>WEEKNUM(orders[[#This Row],[Order Date]])</f>
        <v>1</v>
      </c>
      <c r="O48" t="str" cm="1">
        <f t="array" ref="O48">_xlfn.IFS(orders[[#This Row],[Customer Gender]]="M","Male", orders[[#This Row],[Customer Gender]]="F","Female", orders[[#This Row],[Customer Gender]]="O","Other", TRUE,"Unknown")</f>
        <v>Male</v>
      </c>
    </row>
    <row r="49" spans="1:15" x14ac:dyDescent="0.3">
      <c r="A49" t="s">
        <v>105</v>
      </c>
      <c r="B49" t="s">
        <v>76</v>
      </c>
      <c r="C49">
        <v>1</v>
      </c>
      <c r="D49">
        <v>29.7</v>
      </c>
      <c r="E49">
        <v>29.7</v>
      </c>
      <c r="F49" s="1">
        <v>45659</v>
      </c>
      <c r="G49" s="1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f>orders[[#This Row],[Ship Date]]-orders[[#This Row],[Order Date]]</f>
        <v>2</v>
      </c>
      <c r="N49">
        <f>WEEKNUM(orders[[#This Row],[Order Date]])</f>
        <v>1</v>
      </c>
      <c r="O49" t="str" cm="1">
        <f t="array" ref="O49">_xlfn.IFS(orders[[#This Row],[Customer Gender]]="M","Male", orders[[#This Row],[Customer Gender]]="F","Female", orders[[#This Row],[Customer Gender]]="O","Other", TRUE,"Unknown")</f>
        <v>Female</v>
      </c>
    </row>
    <row r="50" spans="1:15" x14ac:dyDescent="0.3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1">
        <v>45659</v>
      </c>
      <c r="G50" s="1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f>orders[[#This Row],[Ship Date]]-orders[[#This Row],[Order Date]]</f>
        <v>9</v>
      </c>
      <c r="N50">
        <f>WEEKNUM(orders[[#This Row],[Order Date]])</f>
        <v>1</v>
      </c>
      <c r="O50" t="str" cm="1">
        <f t="array" ref="O50">_xlfn.IFS(orders[[#This Row],[Customer Gender]]="M","Male", orders[[#This Row],[Customer Gender]]="F","Female", orders[[#This Row],[Customer Gender]]="O","Other", TRUE,"Unknown")</f>
        <v>Female</v>
      </c>
    </row>
    <row r="51" spans="1:15" x14ac:dyDescent="0.3">
      <c r="A51" t="s">
        <v>107</v>
      </c>
      <c r="B51" t="s">
        <v>81</v>
      </c>
      <c r="C51">
        <v>1</v>
      </c>
      <c r="D51">
        <v>27</v>
      </c>
      <c r="E51">
        <v>27</v>
      </c>
      <c r="F51" s="1">
        <v>45659</v>
      </c>
      <c r="G51" s="1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f>orders[[#This Row],[Ship Date]]-orders[[#This Row],[Order Date]]</f>
        <v>2</v>
      </c>
      <c r="N51">
        <f>WEEKNUM(orders[[#This Row],[Order Date]])</f>
        <v>1</v>
      </c>
      <c r="O51" t="str" cm="1">
        <f t="array" ref="O51">_xlfn.IFS(orders[[#This Row],[Customer Gender]]="M","Male", orders[[#This Row],[Customer Gender]]="F","Female", orders[[#This Row],[Customer Gender]]="O","Other", TRUE,"Unknown")</f>
        <v>Female</v>
      </c>
    </row>
    <row r="52" spans="1:15" x14ac:dyDescent="0.3">
      <c r="A52" t="s">
        <v>109</v>
      </c>
      <c r="B52" t="s">
        <v>44</v>
      </c>
      <c r="C52">
        <v>1</v>
      </c>
      <c r="D52">
        <v>41.4</v>
      </c>
      <c r="E52">
        <v>41.4</v>
      </c>
      <c r="F52" s="1">
        <v>45659</v>
      </c>
      <c r="G52" s="1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f>orders[[#This Row],[Ship Date]]-orders[[#This Row],[Order Date]]</f>
        <v>1</v>
      </c>
      <c r="N52">
        <f>WEEKNUM(orders[[#This Row],[Order Date]])</f>
        <v>1</v>
      </c>
      <c r="O52" t="str" cm="1">
        <f t="array" ref="O52">_xlfn.IFS(orders[[#This Row],[Customer Gender]]="M","Male", orders[[#This Row],[Customer Gender]]="F","Female", orders[[#This Row],[Customer Gender]]="O","Other", TRUE,"Unknown")</f>
        <v>Male</v>
      </c>
    </row>
    <row r="53" spans="1:15" x14ac:dyDescent="0.3">
      <c r="A53" t="s">
        <v>111</v>
      </c>
      <c r="B53" t="s">
        <v>44</v>
      </c>
      <c r="C53">
        <v>2</v>
      </c>
      <c r="D53">
        <v>24.3</v>
      </c>
      <c r="E53">
        <v>48.6</v>
      </c>
      <c r="F53" s="1">
        <v>45659</v>
      </c>
      <c r="G53" s="1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f>orders[[#This Row],[Ship Date]]-orders[[#This Row],[Order Date]]</f>
        <v>3</v>
      </c>
      <c r="N53">
        <f>WEEKNUM(orders[[#This Row],[Order Date]])</f>
        <v>1</v>
      </c>
      <c r="O53" t="str" cm="1">
        <f t="array" ref="O53">_xlfn.IFS(orders[[#This Row],[Customer Gender]]="M","Male", orders[[#This Row],[Customer Gender]]="F","Female", orders[[#This Row],[Customer Gender]]="O","Other", TRUE,"Unknown")</f>
        <v>Female</v>
      </c>
    </row>
    <row r="54" spans="1:15" x14ac:dyDescent="0.3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1">
        <v>45659</v>
      </c>
      <c r="G54" s="1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f>orders[[#This Row],[Ship Date]]-orders[[#This Row],[Order Date]]</f>
        <v>2</v>
      </c>
      <c r="N54">
        <f>WEEKNUM(orders[[#This Row],[Order Date]])</f>
        <v>1</v>
      </c>
      <c r="O54" t="str" cm="1">
        <f t="array" ref="O54">_xlfn.IFS(orders[[#This Row],[Customer Gender]]="M","Male", orders[[#This Row],[Customer Gender]]="F","Female", orders[[#This Row],[Customer Gender]]="O","Other", TRUE,"Unknown")</f>
        <v>Male</v>
      </c>
    </row>
    <row r="55" spans="1:15" x14ac:dyDescent="0.3">
      <c r="A55" t="s">
        <v>114</v>
      </c>
      <c r="B55" t="s">
        <v>16</v>
      </c>
      <c r="C55">
        <v>2</v>
      </c>
      <c r="D55">
        <v>18</v>
      </c>
      <c r="E55">
        <v>36</v>
      </c>
      <c r="F55" s="1">
        <v>45659</v>
      </c>
      <c r="G55" s="1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f>orders[[#This Row],[Ship Date]]-orders[[#This Row],[Order Date]]</f>
        <v>1</v>
      </c>
      <c r="N55">
        <f>WEEKNUM(orders[[#This Row],[Order Date]])</f>
        <v>1</v>
      </c>
      <c r="O55" t="str" cm="1">
        <f t="array" ref="O55">_xlfn.IFS(orders[[#This Row],[Customer Gender]]="M","Male", orders[[#This Row],[Customer Gender]]="F","Female", orders[[#This Row],[Customer Gender]]="O","Other", TRUE,"Unknown")</f>
        <v>Female</v>
      </c>
    </row>
    <row r="56" spans="1:15" x14ac:dyDescent="0.3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1">
        <v>45659</v>
      </c>
      <c r="G56" s="1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f>orders[[#This Row],[Ship Date]]-orders[[#This Row],[Order Date]]</f>
        <v>3</v>
      </c>
      <c r="N56">
        <f>WEEKNUM(orders[[#This Row],[Order Date]])</f>
        <v>1</v>
      </c>
      <c r="O56" t="str" cm="1">
        <f t="array" ref="O56">_xlfn.IFS(orders[[#This Row],[Customer Gender]]="M","Male", orders[[#This Row],[Customer Gender]]="F","Female", orders[[#This Row],[Customer Gender]]="O","Other", TRUE,"Unknown")</f>
        <v>Male</v>
      </c>
    </row>
    <row r="57" spans="1:15" x14ac:dyDescent="0.3">
      <c r="A57" t="s">
        <v>117</v>
      </c>
      <c r="B57" t="s">
        <v>44</v>
      </c>
      <c r="C57">
        <v>8</v>
      </c>
      <c r="D57">
        <v>19.3</v>
      </c>
      <c r="E57">
        <v>154.4</v>
      </c>
      <c r="F57" s="1">
        <v>45659</v>
      </c>
      <c r="G57" s="1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f>orders[[#This Row],[Ship Date]]-orders[[#This Row],[Order Date]]</f>
        <v>1</v>
      </c>
      <c r="N57">
        <f>WEEKNUM(orders[[#This Row],[Order Date]])</f>
        <v>1</v>
      </c>
      <c r="O57" t="str" cm="1">
        <f t="array" ref="O57">_xlfn.IFS(orders[[#This Row],[Customer Gender]]="M","Male", orders[[#This Row],[Customer Gender]]="F","Female", orders[[#This Row],[Customer Gender]]="O","Other", TRUE,"Unknown")</f>
        <v>Male</v>
      </c>
    </row>
    <row r="58" spans="1:15" x14ac:dyDescent="0.3">
      <c r="A58" t="s">
        <v>118</v>
      </c>
      <c r="B58" t="s">
        <v>69</v>
      </c>
      <c r="C58">
        <v>13</v>
      </c>
      <c r="D58">
        <v>63.2</v>
      </c>
      <c r="E58">
        <v>821.6</v>
      </c>
      <c r="F58" s="1">
        <v>45659</v>
      </c>
      <c r="G58" s="1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f>orders[[#This Row],[Ship Date]]-orders[[#This Row],[Order Date]]</f>
        <v>1</v>
      </c>
      <c r="N58">
        <f>WEEKNUM(orders[[#This Row],[Order Date]])</f>
        <v>1</v>
      </c>
      <c r="O58" t="str" cm="1">
        <f t="array" ref="O58">_xlfn.IFS(orders[[#This Row],[Customer Gender]]="M","Male", orders[[#This Row],[Customer Gender]]="F","Female", orders[[#This Row],[Customer Gender]]="O","Other", TRUE,"Unknown")</f>
        <v>Female</v>
      </c>
    </row>
    <row r="59" spans="1:15" x14ac:dyDescent="0.3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1">
        <v>45660</v>
      </c>
      <c r="G59" s="1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f>orders[[#This Row],[Ship Date]]-orders[[#This Row],[Order Date]]</f>
        <v>8</v>
      </c>
      <c r="N59">
        <f>WEEKNUM(orders[[#This Row],[Order Date]])</f>
        <v>1</v>
      </c>
      <c r="O59" t="str" cm="1">
        <f t="array" ref="O59">_xlfn.IFS(orders[[#This Row],[Customer Gender]]="M","Male", orders[[#This Row],[Customer Gender]]="F","Female", orders[[#This Row],[Customer Gender]]="O","Other", TRUE,"Unknown")</f>
        <v>Female</v>
      </c>
    </row>
    <row r="60" spans="1:15" x14ac:dyDescent="0.3">
      <c r="A60" t="s">
        <v>120</v>
      </c>
      <c r="B60" t="s">
        <v>42</v>
      </c>
      <c r="C60">
        <v>2</v>
      </c>
      <c r="D60">
        <v>64.2</v>
      </c>
      <c r="E60">
        <v>128.4</v>
      </c>
      <c r="F60" s="1">
        <v>45660</v>
      </c>
      <c r="G60" s="1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f>orders[[#This Row],[Ship Date]]-orders[[#This Row],[Order Date]]</f>
        <v>1</v>
      </c>
      <c r="N60">
        <f>WEEKNUM(orders[[#This Row],[Order Date]])</f>
        <v>1</v>
      </c>
      <c r="O60" t="str" cm="1">
        <f t="array" ref="O60">_xlfn.IFS(orders[[#This Row],[Customer Gender]]="M","Male", orders[[#This Row],[Customer Gender]]="F","Female", orders[[#This Row],[Customer Gender]]="O","Other", TRUE,"Unknown")</f>
        <v>Male</v>
      </c>
    </row>
    <row r="61" spans="1:15" x14ac:dyDescent="0.3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1">
        <v>45660</v>
      </c>
      <c r="G61" s="1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f>orders[[#This Row],[Ship Date]]-orders[[#This Row],[Order Date]]</f>
        <v>3</v>
      </c>
      <c r="N61">
        <f>WEEKNUM(orders[[#This Row],[Order Date]])</f>
        <v>1</v>
      </c>
      <c r="O61" t="str" cm="1">
        <f t="array" ref="O61">_xlfn.IFS(orders[[#This Row],[Customer Gender]]="M","Male", orders[[#This Row],[Customer Gender]]="F","Female", orders[[#This Row],[Customer Gender]]="O","Other", TRUE,"Unknown")</f>
        <v>Female</v>
      </c>
    </row>
    <row r="62" spans="1:15" x14ac:dyDescent="0.3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1">
        <v>45660</v>
      </c>
      <c r="G62" s="1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f>orders[[#This Row],[Ship Date]]-orders[[#This Row],[Order Date]]</f>
        <v>2</v>
      </c>
      <c r="N62">
        <f>WEEKNUM(orders[[#This Row],[Order Date]])</f>
        <v>1</v>
      </c>
      <c r="O62" t="str" cm="1">
        <f t="array" ref="O62">_xlfn.IFS(orders[[#This Row],[Customer Gender]]="M","Male", orders[[#This Row],[Customer Gender]]="F","Female", orders[[#This Row],[Customer Gender]]="O","Other", TRUE,"Unknown")</f>
        <v>Female</v>
      </c>
    </row>
    <row r="63" spans="1:15" x14ac:dyDescent="0.3">
      <c r="A63" t="s">
        <v>124</v>
      </c>
      <c r="B63" t="s">
        <v>16</v>
      </c>
      <c r="C63">
        <v>2</v>
      </c>
      <c r="D63">
        <v>11.5</v>
      </c>
      <c r="E63">
        <v>23</v>
      </c>
      <c r="F63" s="1">
        <v>45660</v>
      </c>
      <c r="G63" s="1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f>orders[[#This Row],[Ship Date]]-orders[[#This Row],[Order Date]]</f>
        <v>1</v>
      </c>
      <c r="N63">
        <f>WEEKNUM(orders[[#This Row],[Order Date]])</f>
        <v>1</v>
      </c>
      <c r="O63" t="str" cm="1">
        <f t="array" ref="O63">_xlfn.IFS(orders[[#This Row],[Customer Gender]]="M","Male", orders[[#This Row],[Customer Gender]]="F","Female", orders[[#This Row],[Customer Gender]]="O","Other", TRUE,"Unknown")</f>
        <v>Female</v>
      </c>
    </row>
    <row r="64" spans="1:15" x14ac:dyDescent="0.3">
      <c r="A64" t="s">
        <v>125</v>
      </c>
      <c r="B64" t="s">
        <v>123</v>
      </c>
      <c r="C64">
        <v>19</v>
      </c>
      <c r="D64">
        <v>69.2</v>
      </c>
      <c r="E64">
        <v>1314.8</v>
      </c>
      <c r="F64" s="1">
        <v>45660</v>
      </c>
      <c r="G64" s="1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f>orders[[#This Row],[Ship Date]]-orders[[#This Row],[Order Date]]</f>
        <v>5</v>
      </c>
      <c r="N64">
        <f>WEEKNUM(orders[[#This Row],[Order Date]])</f>
        <v>1</v>
      </c>
      <c r="O64" t="str" cm="1">
        <f t="array" ref="O64">_xlfn.IFS(orders[[#This Row],[Customer Gender]]="M","Male", orders[[#This Row],[Customer Gender]]="F","Female", orders[[#This Row],[Customer Gender]]="O","Other", TRUE,"Unknown")</f>
        <v>Female</v>
      </c>
    </row>
    <row r="65" spans="1:15" x14ac:dyDescent="0.3">
      <c r="A65" t="s">
        <v>126</v>
      </c>
      <c r="B65" t="s">
        <v>16</v>
      </c>
      <c r="C65">
        <v>1</v>
      </c>
      <c r="D65">
        <v>26.8</v>
      </c>
      <c r="E65">
        <v>26.8</v>
      </c>
      <c r="F65" s="1">
        <v>45660</v>
      </c>
      <c r="G65" s="1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f>orders[[#This Row],[Ship Date]]-orders[[#This Row],[Order Date]]</f>
        <v>1</v>
      </c>
      <c r="N65">
        <f>WEEKNUM(orders[[#This Row],[Order Date]])</f>
        <v>1</v>
      </c>
      <c r="O65" t="str" cm="1">
        <f t="array" ref="O65">_xlfn.IFS(orders[[#This Row],[Customer Gender]]="M","Male", orders[[#This Row],[Customer Gender]]="F","Female", orders[[#This Row],[Customer Gender]]="O","Other", TRUE,"Unknown")</f>
        <v>Male</v>
      </c>
    </row>
    <row r="66" spans="1:15" x14ac:dyDescent="0.3">
      <c r="A66" t="s">
        <v>127</v>
      </c>
      <c r="B66" t="s">
        <v>128</v>
      </c>
      <c r="C66">
        <v>3</v>
      </c>
      <c r="D66">
        <v>31.2</v>
      </c>
      <c r="E66">
        <v>93.6</v>
      </c>
      <c r="F66" s="1">
        <v>45660</v>
      </c>
      <c r="G66" s="1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f>orders[[#This Row],[Ship Date]]-orders[[#This Row],[Order Date]]</f>
        <v>3</v>
      </c>
      <c r="N66">
        <f>WEEKNUM(orders[[#This Row],[Order Date]])</f>
        <v>1</v>
      </c>
      <c r="O66" t="str" cm="1">
        <f t="array" ref="O66">_xlfn.IFS(orders[[#This Row],[Customer Gender]]="M","Male", orders[[#This Row],[Customer Gender]]="F","Female", orders[[#This Row],[Customer Gender]]="O","Other", TRUE,"Unknown")</f>
        <v>Female</v>
      </c>
    </row>
    <row r="67" spans="1:15" x14ac:dyDescent="0.3">
      <c r="A67" t="s">
        <v>129</v>
      </c>
      <c r="B67" t="s">
        <v>69</v>
      </c>
      <c r="C67">
        <v>2</v>
      </c>
      <c r="D67">
        <v>113.2</v>
      </c>
      <c r="E67">
        <v>226.4</v>
      </c>
      <c r="F67" s="1">
        <v>45660</v>
      </c>
      <c r="G67" s="1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f>orders[[#This Row],[Ship Date]]-orders[[#This Row],[Order Date]]</f>
        <v>1</v>
      </c>
      <c r="N67">
        <f>WEEKNUM(orders[[#This Row],[Order Date]])</f>
        <v>1</v>
      </c>
      <c r="O67" t="str" cm="1">
        <f t="array" ref="O67">_xlfn.IFS(orders[[#This Row],[Customer Gender]]="M","Male", orders[[#This Row],[Customer Gender]]="F","Female", orders[[#This Row],[Customer Gender]]="O","Other", TRUE,"Unknown")</f>
        <v>Female</v>
      </c>
    </row>
    <row r="68" spans="1:15" x14ac:dyDescent="0.3">
      <c r="A68" t="s">
        <v>130</v>
      </c>
      <c r="B68" t="s">
        <v>54</v>
      </c>
      <c r="C68">
        <v>8</v>
      </c>
      <c r="D68">
        <v>21</v>
      </c>
      <c r="E68">
        <v>168</v>
      </c>
      <c r="F68" s="1">
        <v>45660</v>
      </c>
      <c r="G68" s="1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f>orders[[#This Row],[Ship Date]]-orders[[#This Row],[Order Date]]</f>
        <v>1</v>
      </c>
      <c r="N68">
        <f>WEEKNUM(orders[[#This Row],[Order Date]])</f>
        <v>1</v>
      </c>
      <c r="O68" t="str" cm="1">
        <f t="array" ref="O68">_xlfn.IFS(orders[[#This Row],[Customer Gender]]="M","Male", orders[[#This Row],[Customer Gender]]="F","Female", orders[[#This Row],[Customer Gender]]="O","Other", TRUE,"Unknown")</f>
        <v>Male</v>
      </c>
    </row>
    <row r="69" spans="1:15" x14ac:dyDescent="0.3">
      <c r="A69" t="s">
        <v>131</v>
      </c>
      <c r="B69" t="s">
        <v>22</v>
      </c>
      <c r="C69">
        <v>2</v>
      </c>
      <c r="D69">
        <v>89.1</v>
      </c>
      <c r="E69">
        <v>178.2</v>
      </c>
      <c r="F69" s="1">
        <v>45660</v>
      </c>
      <c r="G69" s="1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f>orders[[#This Row],[Ship Date]]-orders[[#This Row],[Order Date]]</f>
        <v>1</v>
      </c>
      <c r="N69">
        <f>WEEKNUM(orders[[#This Row],[Order Date]])</f>
        <v>1</v>
      </c>
      <c r="O69" t="str" cm="1">
        <f t="array" ref="O69">_xlfn.IFS(orders[[#This Row],[Customer Gender]]="M","Male", orders[[#This Row],[Customer Gender]]="F","Female", orders[[#This Row],[Customer Gender]]="O","Other", TRUE,"Unknown")</f>
        <v>Female</v>
      </c>
    </row>
    <row r="70" spans="1:15" x14ac:dyDescent="0.3">
      <c r="A70" t="s">
        <v>132</v>
      </c>
      <c r="B70" t="s">
        <v>22</v>
      </c>
      <c r="C70">
        <v>1</v>
      </c>
      <c r="D70">
        <v>97.7</v>
      </c>
      <c r="E70">
        <v>97.7</v>
      </c>
      <c r="F70" s="1">
        <v>45660</v>
      </c>
      <c r="G70" s="1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f>orders[[#This Row],[Ship Date]]-orders[[#This Row],[Order Date]]</f>
        <v>2</v>
      </c>
      <c r="N70">
        <f>WEEKNUM(orders[[#This Row],[Order Date]])</f>
        <v>1</v>
      </c>
      <c r="O70" t="str" cm="1">
        <f t="array" ref="O70">_xlfn.IFS(orders[[#This Row],[Customer Gender]]="M","Male", orders[[#This Row],[Customer Gender]]="F","Female", orders[[#This Row],[Customer Gender]]="O","Other", TRUE,"Unknown")</f>
        <v>Female</v>
      </c>
    </row>
    <row r="71" spans="1:15" x14ac:dyDescent="0.3">
      <c r="A71" t="s">
        <v>133</v>
      </c>
      <c r="B71" t="s">
        <v>123</v>
      </c>
      <c r="C71">
        <v>4</v>
      </c>
      <c r="D71">
        <v>97.7</v>
      </c>
      <c r="E71">
        <v>390.8</v>
      </c>
      <c r="F71" s="1">
        <v>45660</v>
      </c>
      <c r="G71" s="1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f>orders[[#This Row],[Ship Date]]-orders[[#This Row],[Order Date]]</f>
        <v>2</v>
      </c>
      <c r="N71">
        <f>WEEKNUM(orders[[#This Row],[Order Date]])</f>
        <v>1</v>
      </c>
      <c r="O71" t="str" cm="1">
        <f t="array" ref="O71">_xlfn.IFS(orders[[#This Row],[Customer Gender]]="M","Male", orders[[#This Row],[Customer Gender]]="F","Female", orders[[#This Row],[Customer Gender]]="O","Other", TRUE,"Unknown")</f>
        <v>Male</v>
      </c>
    </row>
    <row r="72" spans="1:15" x14ac:dyDescent="0.3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1">
        <v>45660</v>
      </c>
      <c r="G72" s="1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f>orders[[#This Row],[Ship Date]]-orders[[#This Row],[Order Date]]</f>
        <v>3</v>
      </c>
      <c r="N72">
        <f>WEEKNUM(orders[[#This Row],[Order Date]])</f>
        <v>1</v>
      </c>
      <c r="O72" t="str" cm="1">
        <f t="array" ref="O72">_xlfn.IFS(orders[[#This Row],[Customer Gender]]="M","Male", orders[[#This Row],[Customer Gender]]="F","Female", orders[[#This Row],[Customer Gender]]="O","Other", TRUE,"Unknown")</f>
        <v>Male</v>
      </c>
    </row>
    <row r="73" spans="1:15" x14ac:dyDescent="0.3">
      <c r="A73" t="s">
        <v>136</v>
      </c>
      <c r="B73" t="s">
        <v>42</v>
      </c>
      <c r="C73">
        <v>1</v>
      </c>
      <c r="D73">
        <v>89.6</v>
      </c>
      <c r="E73">
        <v>89.6</v>
      </c>
      <c r="F73" s="1">
        <v>45660</v>
      </c>
      <c r="G73" s="1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f>orders[[#This Row],[Ship Date]]-orders[[#This Row],[Order Date]]</f>
        <v>3</v>
      </c>
      <c r="N73">
        <f>WEEKNUM(orders[[#This Row],[Order Date]])</f>
        <v>1</v>
      </c>
      <c r="O73" t="str" cm="1">
        <f t="array" ref="O73">_xlfn.IFS(orders[[#This Row],[Customer Gender]]="M","Male", orders[[#This Row],[Customer Gender]]="F","Female", orders[[#This Row],[Customer Gender]]="O","Other", TRUE,"Unknown")</f>
        <v>Female</v>
      </c>
    </row>
    <row r="74" spans="1:15" x14ac:dyDescent="0.3">
      <c r="A74" t="s">
        <v>137</v>
      </c>
      <c r="B74" t="s">
        <v>54</v>
      </c>
      <c r="C74">
        <v>18</v>
      </c>
      <c r="D74">
        <v>28.4</v>
      </c>
      <c r="E74">
        <v>511.2</v>
      </c>
      <c r="F74" s="1">
        <v>45660</v>
      </c>
      <c r="G74" s="1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f>orders[[#This Row],[Ship Date]]-orders[[#This Row],[Order Date]]</f>
        <v>3</v>
      </c>
      <c r="N74">
        <f>WEEKNUM(orders[[#This Row],[Order Date]])</f>
        <v>1</v>
      </c>
      <c r="O74" t="str" cm="1">
        <f t="array" ref="O74">_xlfn.IFS(orders[[#This Row],[Customer Gender]]="M","Male", orders[[#This Row],[Customer Gender]]="F","Female", orders[[#This Row],[Customer Gender]]="O","Other", TRUE,"Unknown")</f>
        <v>Female</v>
      </c>
    </row>
    <row r="75" spans="1:15" x14ac:dyDescent="0.3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1">
        <v>45660</v>
      </c>
      <c r="G75" s="1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f>orders[[#This Row],[Ship Date]]-orders[[#This Row],[Order Date]]</f>
        <v>1</v>
      </c>
      <c r="N75">
        <f>WEEKNUM(orders[[#This Row],[Order Date]])</f>
        <v>1</v>
      </c>
      <c r="O75" t="str" cm="1">
        <f t="array" ref="O75">_xlfn.IFS(orders[[#This Row],[Customer Gender]]="M","Male", orders[[#This Row],[Customer Gender]]="F","Female", orders[[#This Row],[Customer Gender]]="O","Other", TRUE,"Unknown")</f>
        <v>Female</v>
      </c>
    </row>
    <row r="76" spans="1:15" x14ac:dyDescent="0.3">
      <c r="A76" t="s">
        <v>139</v>
      </c>
      <c r="B76" t="s">
        <v>46</v>
      </c>
      <c r="C76">
        <v>2</v>
      </c>
      <c r="D76">
        <v>48.4</v>
      </c>
      <c r="E76">
        <v>96.8</v>
      </c>
      <c r="F76" s="1">
        <v>45660</v>
      </c>
      <c r="G76" s="1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f>orders[[#This Row],[Ship Date]]-orders[[#This Row],[Order Date]]</f>
        <v>3</v>
      </c>
      <c r="N76">
        <f>WEEKNUM(orders[[#This Row],[Order Date]])</f>
        <v>1</v>
      </c>
      <c r="O76" t="str" cm="1">
        <f t="array" ref="O76">_xlfn.IFS(orders[[#This Row],[Customer Gender]]="M","Male", orders[[#This Row],[Customer Gender]]="F","Female", orders[[#This Row],[Customer Gender]]="O","Other", TRUE,"Unknown")</f>
        <v>Male</v>
      </c>
    </row>
    <row r="77" spans="1:15" x14ac:dyDescent="0.3">
      <c r="A77" t="s">
        <v>140</v>
      </c>
      <c r="B77" t="s">
        <v>69</v>
      </c>
      <c r="C77">
        <v>4</v>
      </c>
      <c r="D77">
        <v>44.4</v>
      </c>
      <c r="E77">
        <v>177.6</v>
      </c>
      <c r="F77" s="1">
        <v>45660</v>
      </c>
      <c r="G77" s="1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f>orders[[#This Row],[Ship Date]]-orders[[#This Row],[Order Date]]</f>
        <v>1</v>
      </c>
      <c r="N77">
        <f>WEEKNUM(orders[[#This Row],[Order Date]])</f>
        <v>1</v>
      </c>
      <c r="O77" t="str" cm="1">
        <f t="array" ref="O77">_xlfn.IFS(orders[[#This Row],[Customer Gender]]="M","Male", orders[[#This Row],[Customer Gender]]="F","Female", orders[[#This Row],[Customer Gender]]="O","Other", TRUE,"Unknown")</f>
        <v>Other</v>
      </c>
    </row>
    <row r="78" spans="1:15" x14ac:dyDescent="0.3">
      <c r="A78" t="s">
        <v>141</v>
      </c>
      <c r="B78" t="s">
        <v>26</v>
      </c>
      <c r="C78">
        <v>8</v>
      </c>
      <c r="D78">
        <v>103.7</v>
      </c>
      <c r="E78">
        <v>829.6</v>
      </c>
      <c r="F78" s="1">
        <v>45660</v>
      </c>
      <c r="G78" s="1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f>orders[[#This Row],[Ship Date]]-orders[[#This Row],[Order Date]]</f>
        <v>1</v>
      </c>
      <c r="N78">
        <f>WEEKNUM(orders[[#This Row],[Order Date]])</f>
        <v>1</v>
      </c>
      <c r="O78" t="str" cm="1">
        <f t="array" ref="O78">_xlfn.IFS(orders[[#This Row],[Customer Gender]]="M","Male", orders[[#This Row],[Customer Gender]]="F","Female", orders[[#This Row],[Customer Gender]]="O","Other", TRUE,"Unknown")</f>
        <v>Female</v>
      </c>
    </row>
    <row r="79" spans="1:15" x14ac:dyDescent="0.3">
      <c r="A79" t="s">
        <v>142</v>
      </c>
      <c r="B79" t="s">
        <v>37</v>
      </c>
      <c r="C79">
        <v>4</v>
      </c>
      <c r="D79">
        <v>58.6</v>
      </c>
      <c r="E79">
        <v>234.4</v>
      </c>
      <c r="F79" s="1">
        <v>45660</v>
      </c>
      <c r="G79" s="1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f>orders[[#This Row],[Ship Date]]-orders[[#This Row],[Order Date]]</f>
        <v>2</v>
      </c>
      <c r="N79">
        <f>WEEKNUM(orders[[#This Row],[Order Date]])</f>
        <v>1</v>
      </c>
      <c r="O79" t="str" cm="1">
        <f t="array" ref="O79">_xlfn.IFS(orders[[#This Row],[Customer Gender]]="M","Male", orders[[#This Row],[Customer Gender]]="F","Female", orders[[#This Row],[Customer Gender]]="O","Other", TRUE,"Unknown")</f>
        <v>Male</v>
      </c>
    </row>
    <row r="80" spans="1:15" x14ac:dyDescent="0.3">
      <c r="A80" t="s">
        <v>143</v>
      </c>
      <c r="B80" t="s">
        <v>46</v>
      </c>
      <c r="C80">
        <v>4</v>
      </c>
      <c r="D80">
        <v>54.8</v>
      </c>
      <c r="E80">
        <v>219.2</v>
      </c>
      <c r="F80" s="1">
        <v>45660</v>
      </c>
      <c r="G80" s="1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f>orders[[#This Row],[Ship Date]]-orders[[#This Row],[Order Date]]</f>
        <v>4</v>
      </c>
      <c r="N80">
        <f>WEEKNUM(orders[[#This Row],[Order Date]])</f>
        <v>1</v>
      </c>
      <c r="O80" t="str" cm="1">
        <f t="array" ref="O80">_xlfn.IFS(orders[[#This Row],[Customer Gender]]="M","Male", orders[[#This Row],[Customer Gender]]="F","Female", orders[[#This Row],[Customer Gender]]="O","Other", TRUE,"Unknown")</f>
        <v>Female</v>
      </c>
    </row>
    <row r="81" spans="1:15" x14ac:dyDescent="0.3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1">
        <v>45660</v>
      </c>
      <c r="G81" s="1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f>orders[[#This Row],[Ship Date]]-orders[[#This Row],[Order Date]]</f>
        <v>6</v>
      </c>
      <c r="N81">
        <f>WEEKNUM(orders[[#This Row],[Order Date]])</f>
        <v>1</v>
      </c>
      <c r="O81" t="str" cm="1">
        <f t="array" ref="O81">_xlfn.IFS(orders[[#This Row],[Customer Gender]]="M","Male", orders[[#This Row],[Customer Gender]]="F","Female", orders[[#This Row],[Customer Gender]]="O","Other", TRUE,"Unknown")</f>
        <v>Female</v>
      </c>
    </row>
    <row r="82" spans="1:15" x14ac:dyDescent="0.3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1">
        <v>45660</v>
      </c>
      <c r="G82" s="1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f>orders[[#This Row],[Ship Date]]-orders[[#This Row],[Order Date]]</f>
        <v>3</v>
      </c>
      <c r="N82">
        <f>WEEKNUM(orders[[#This Row],[Order Date]])</f>
        <v>1</v>
      </c>
      <c r="O82" t="str" cm="1">
        <f t="array" ref="O82">_xlfn.IFS(orders[[#This Row],[Customer Gender]]="M","Male", orders[[#This Row],[Customer Gender]]="F","Female", orders[[#This Row],[Customer Gender]]="O","Other", TRUE,"Unknown")</f>
        <v>Male</v>
      </c>
    </row>
    <row r="83" spans="1:15" x14ac:dyDescent="0.3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1">
        <v>45660</v>
      </c>
      <c r="G83" s="1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f>orders[[#This Row],[Ship Date]]-orders[[#This Row],[Order Date]]</f>
        <v>2</v>
      </c>
      <c r="N83">
        <f>WEEKNUM(orders[[#This Row],[Order Date]])</f>
        <v>1</v>
      </c>
      <c r="O83" t="str" cm="1">
        <f t="array" ref="O83">_xlfn.IFS(orders[[#This Row],[Customer Gender]]="M","Male", orders[[#This Row],[Customer Gender]]="F","Female", orders[[#This Row],[Customer Gender]]="O","Other", TRUE,"Unknown")</f>
        <v>Female</v>
      </c>
    </row>
    <row r="84" spans="1:15" x14ac:dyDescent="0.3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1">
        <v>45660</v>
      </c>
      <c r="G84" s="1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f>orders[[#This Row],[Ship Date]]-orders[[#This Row],[Order Date]]</f>
        <v>0</v>
      </c>
      <c r="N84">
        <f>WEEKNUM(orders[[#This Row],[Order Date]])</f>
        <v>1</v>
      </c>
      <c r="O84" t="str" cm="1">
        <f t="array" ref="O84">_xlfn.IFS(orders[[#This Row],[Customer Gender]]="M","Male", orders[[#This Row],[Customer Gender]]="F","Female", orders[[#This Row],[Customer Gender]]="O","Other", TRUE,"Unknown")</f>
        <v>Male</v>
      </c>
    </row>
    <row r="85" spans="1:15" x14ac:dyDescent="0.3">
      <c r="A85" t="s">
        <v>150</v>
      </c>
      <c r="B85" t="s">
        <v>44</v>
      </c>
      <c r="C85">
        <v>9</v>
      </c>
      <c r="D85">
        <v>41.8</v>
      </c>
      <c r="E85">
        <v>376.2</v>
      </c>
      <c r="F85" s="1">
        <v>45661</v>
      </c>
      <c r="G85" s="1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f>orders[[#This Row],[Ship Date]]-orders[[#This Row],[Order Date]]</f>
        <v>6</v>
      </c>
      <c r="N85">
        <f>WEEKNUM(orders[[#This Row],[Order Date]])</f>
        <v>1</v>
      </c>
      <c r="O85" t="str" cm="1">
        <f t="array" ref="O85">_xlfn.IFS(orders[[#This Row],[Customer Gender]]="M","Male", orders[[#This Row],[Customer Gender]]="F","Female", orders[[#This Row],[Customer Gender]]="O","Other", TRUE,"Unknown")</f>
        <v>Female</v>
      </c>
    </row>
    <row r="86" spans="1:15" x14ac:dyDescent="0.3">
      <c r="A86" t="s">
        <v>151</v>
      </c>
      <c r="B86" t="s">
        <v>146</v>
      </c>
      <c r="C86">
        <v>1</v>
      </c>
      <c r="D86">
        <v>77.3</v>
      </c>
      <c r="E86">
        <v>77.3</v>
      </c>
      <c r="F86" s="1">
        <v>45661</v>
      </c>
      <c r="G86" s="1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f>orders[[#This Row],[Ship Date]]-orders[[#This Row],[Order Date]]</f>
        <v>1</v>
      </c>
      <c r="N86">
        <f>WEEKNUM(orders[[#This Row],[Order Date]])</f>
        <v>1</v>
      </c>
      <c r="O86" t="str" cm="1">
        <f t="array" ref="O86">_xlfn.IFS(orders[[#This Row],[Customer Gender]]="M","Male", orders[[#This Row],[Customer Gender]]="F","Female", orders[[#This Row],[Customer Gender]]="O","Other", TRUE,"Unknown")</f>
        <v>Male</v>
      </c>
    </row>
    <row r="87" spans="1:15" x14ac:dyDescent="0.3">
      <c r="A87" t="s">
        <v>152</v>
      </c>
      <c r="B87" t="s">
        <v>44</v>
      </c>
      <c r="C87">
        <v>4</v>
      </c>
      <c r="D87">
        <v>19.8</v>
      </c>
      <c r="E87">
        <v>79.2</v>
      </c>
      <c r="F87" s="1">
        <v>45661</v>
      </c>
      <c r="G87" s="1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f>orders[[#This Row],[Ship Date]]-orders[[#This Row],[Order Date]]</f>
        <v>6</v>
      </c>
      <c r="N87">
        <f>WEEKNUM(orders[[#This Row],[Order Date]])</f>
        <v>1</v>
      </c>
      <c r="O87" t="str" cm="1">
        <f t="array" ref="O87">_xlfn.IFS(orders[[#This Row],[Customer Gender]]="M","Male", orders[[#This Row],[Customer Gender]]="F","Female", orders[[#This Row],[Customer Gender]]="O","Other", TRUE,"Unknown")</f>
        <v>Male</v>
      </c>
    </row>
    <row r="88" spans="1:15" x14ac:dyDescent="0.3">
      <c r="A88" t="s">
        <v>153</v>
      </c>
      <c r="B88" t="s">
        <v>76</v>
      </c>
      <c r="C88">
        <v>4</v>
      </c>
      <c r="D88">
        <v>15.5</v>
      </c>
      <c r="E88">
        <v>62</v>
      </c>
      <c r="F88" s="1">
        <v>45661</v>
      </c>
      <c r="G88" s="1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f>orders[[#This Row],[Ship Date]]-orders[[#This Row],[Order Date]]</f>
        <v>1</v>
      </c>
      <c r="N88">
        <f>WEEKNUM(orders[[#This Row],[Order Date]])</f>
        <v>1</v>
      </c>
      <c r="O88" t="str" cm="1">
        <f t="array" ref="O88">_xlfn.IFS(orders[[#This Row],[Customer Gender]]="M","Male", orders[[#This Row],[Customer Gender]]="F","Female", orders[[#This Row],[Customer Gender]]="O","Other", TRUE,"Unknown")</f>
        <v>Female</v>
      </c>
    </row>
    <row r="89" spans="1:15" x14ac:dyDescent="0.3">
      <c r="A89" t="s">
        <v>154</v>
      </c>
      <c r="B89" t="s">
        <v>69</v>
      </c>
      <c r="C89">
        <v>1</v>
      </c>
      <c r="D89">
        <v>46.8</v>
      </c>
      <c r="E89">
        <v>46.8</v>
      </c>
      <c r="F89" s="1">
        <v>45661</v>
      </c>
      <c r="G89" s="1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f>orders[[#This Row],[Ship Date]]-orders[[#This Row],[Order Date]]</f>
        <v>4</v>
      </c>
      <c r="N89">
        <f>WEEKNUM(orders[[#This Row],[Order Date]])</f>
        <v>1</v>
      </c>
      <c r="O89" t="str" cm="1">
        <f t="array" ref="O89">_xlfn.IFS(orders[[#This Row],[Customer Gender]]="M","Male", orders[[#This Row],[Customer Gender]]="F","Female", orders[[#This Row],[Customer Gender]]="O","Other", TRUE,"Unknown")</f>
        <v>Male</v>
      </c>
    </row>
    <row r="90" spans="1:15" x14ac:dyDescent="0.3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1">
        <v>45661</v>
      </c>
      <c r="G90" s="1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f>orders[[#This Row],[Ship Date]]-orders[[#This Row],[Order Date]]</f>
        <v>4</v>
      </c>
      <c r="N90">
        <f>WEEKNUM(orders[[#This Row],[Order Date]])</f>
        <v>1</v>
      </c>
      <c r="O90" t="str" cm="1">
        <f t="array" ref="O90">_xlfn.IFS(orders[[#This Row],[Customer Gender]]="M","Male", orders[[#This Row],[Customer Gender]]="F","Female", orders[[#This Row],[Customer Gender]]="O","Other", TRUE,"Unknown")</f>
        <v>Male</v>
      </c>
    </row>
    <row r="91" spans="1:15" x14ac:dyDescent="0.3">
      <c r="A91" t="s">
        <v>156</v>
      </c>
      <c r="B91" t="s">
        <v>26</v>
      </c>
      <c r="C91">
        <v>1</v>
      </c>
      <c r="D91">
        <v>97.7</v>
      </c>
      <c r="E91">
        <v>97.7</v>
      </c>
      <c r="F91" s="1">
        <v>45661</v>
      </c>
      <c r="G91" s="1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f>orders[[#This Row],[Ship Date]]-orders[[#This Row],[Order Date]]</f>
        <v>3</v>
      </c>
      <c r="N91">
        <f>WEEKNUM(orders[[#This Row],[Order Date]])</f>
        <v>1</v>
      </c>
      <c r="O91" t="str" cm="1">
        <f t="array" ref="O91">_xlfn.IFS(orders[[#This Row],[Customer Gender]]="M","Male", orders[[#This Row],[Customer Gender]]="F","Female", orders[[#This Row],[Customer Gender]]="O","Other", TRUE,"Unknown")</f>
        <v>Female</v>
      </c>
    </row>
    <row r="92" spans="1:15" x14ac:dyDescent="0.3">
      <c r="A92" t="s">
        <v>157</v>
      </c>
      <c r="B92" t="s">
        <v>46</v>
      </c>
      <c r="C92">
        <v>5</v>
      </c>
      <c r="D92">
        <v>54.7</v>
      </c>
      <c r="E92">
        <v>273.5</v>
      </c>
      <c r="F92" s="1">
        <v>45661</v>
      </c>
      <c r="G92" s="1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f>orders[[#This Row],[Ship Date]]-orders[[#This Row],[Order Date]]</f>
        <v>3</v>
      </c>
      <c r="N92">
        <f>WEEKNUM(orders[[#This Row],[Order Date]])</f>
        <v>1</v>
      </c>
      <c r="O92" t="str" cm="1">
        <f t="array" ref="O92">_xlfn.IFS(orders[[#This Row],[Customer Gender]]="M","Male", orders[[#This Row],[Customer Gender]]="F","Female", orders[[#This Row],[Customer Gender]]="O","Other", TRUE,"Unknown")</f>
        <v>Unknown</v>
      </c>
    </row>
    <row r="93" spans="1:15" x14ac:dyDescent="0.3">
      <c r="A93" t="s">
        <v>159</v>
      </c>
      <c r="B93" t="s">
        <v>26</v>
      </c>
      <c r="C93">
        <v>6</v>
      </c>
      <c r="D93">
        <v>130.5</v>
      </c>
      <c r="E93">
        <v>783</v>
      </c>
      <c r="F93" s="1">
        <v>45661</v>
      </c>
      <c r="G93" s="1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f>orders[[#This Row],[Ship Date]]-orders[[#This Row],[Order Date]]</f>
        <v>2</v>
      </c>
      <c r="N93">
        <f>WEEKNUM(orders[[#This Row],[Order Date]])</f>
        <v>1</v>
      </c>
      <c r="O93" t="str" cm="1">
        <f t="array" ref="O93">_xlfn.IFS(orders[[#This Row],[Customer Gender]]="M","Male", orders[[#This Row],[Customer Gender]]="F","Female", orders[[#This Row],[Customer Gender]]="O","Other", TRUE,"Unknown")</f>
        <v>Female</v>
      </c>
    </row>
    <row r="94" spans="1:15" x14ac:dyDescent="0.3">
      <c r="A94" t="s">
        <v>160</v>
      </c>
      <c r="B94" t="s">
        <v>67</v>
      </c>
      <c r="C94">
        <v>2</v>
      </c>
      <c r="D94">
        <v>50.4</v>
      </c>
      <c r="E94">
        <v>100.8</v>
      </c>
      <c r="F94" s="1">
        <v>45661</v>
      </c>
      <c r="G94" s="1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f>orders[[#This Row],[Ship Date]]-orders[[#This Row],[Order Date]]</f>
        <v>2</v>
      </c>
      <c r="N94">
        <f>WEEKNUM(orders[[#This Row],[Order Date]])</f>
        <v>1</v>
      </c>
      <c r="O94" t="str" cm="1">
        <f t="array" ref="O94">_xlfn.IFS(orders[[#This Row],[Customer Gender]]="M","Male", orders[[#This Row],[Customer Gender]]="F","Female", orders[[#This Row],[Customer Gender]]="O","Other", TRUE,"Unknown")</f>
        <v>Male</v>
      </c>
    </row>
    <row r="95" spans="1:15" x14ac:dyDescent="0.3">
      <c r="A95" t="s">
        <v>161</v>
      </c>
      <c r="B95" t="s">
        <v>39</v>
      </c>
      <c r="C95">
        <v>13</v>
      </c>
      <c r="D95">
        <v>61.5</v>
      </c>
      <c r="E95">
        <v>799.5</v>
      </c>
      <c r="F95" s="1">
        <v>45661</v>
      </c>
      <c r="G95" s="1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f>orders[[#This Row],[Ship Date]]-orders[[#This Row],[Order Date]]</f>
        <v>1</v>
      </c>
      <c r="N95">
        <f>WEEKNUM(orders[[#This Row],[Order Date]])</f>
        <v>1</v>
      </c>
      <c r="O95" t="str" cm="1">
        <f t="array" ref="O95">_xlfn.IFS(orders[[#This Row],[Customer Gender]]="M","Male", orders[[#This Row],[Customer Gender]]="F","Female", orders[[#This Row],[Customer Gender]]="O","Other", TRUE,"Unknown")</f>
        <v>Unknown</v>
      </c>
    </row>
    <row r="96" spans="1:15" x14ac:dyDescent="0.3">
      <c r="A96" t="s">
        <v>162</v>
      </c>
      <c r="B96" t="s">
        <v>46</v>
      </c>
      <c r="C96">
        <v>4</v>
      </c>
      <c r="D96">
        <v>30.1</v>
      </c>
      <c r="E96">
        <v>120.4</v>
      </c>
      <c r="F96" s="1">
        <v>45661</v>
      </c>
      <c r="G96" s="1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f>orders[[#This Row],[Ship Date]]-orders[[#This Row],[Order Date]]</f>
        <v>1</v>
      </c>
      <c r="N96">
        <f>WEEKNUM(orders[[#This Row],[Order Date]])</f>
        <v>1</v>
      </c>
      <c r="O96" t="str" cm="1">
        <f t="array" ref="O96">_xlfn.IFS(orders[[#This Row],[Customer Gender]]="M","Male", orders[[#This Row],[Customer Gender]]="F","Female", orders[[#This Row],[Customer Gender]]="O","Other", TRUE,"Unknown")</f>
        <v>Female</v>
      </c>
    </row>
    <row r="97" spans="1:15" x14ac:dyDescent="0.3">
      <c r="A97" t="s">
        <v>163</v>
      </c>
      <c r="B97" t="s">
        <v>26</v>
      </c>
      <c r="C97">
        <v>5</v>
      </c>
      <c r="D97">
        <v>74.8</v>
      </c>
      <c r="E97">
        <v>374</v>
      </c>
      <c r="F97" s="1">
        <v>45661</v>
      </c>
      <c r="G97" s="1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f>orders[[#This Row],[Ship Date]]-orders[[#This Row],[Order Date]]</f>
        <v>1</v>
      </c>
      <c r="N97">
        <f>WEEKNUM(orders[[#This Row],[Order Date]])</f>
        <v>1</v>
      </c>
      <c r="O97" t="str" cm="1">
        <f t="array" ref="O97">_xlfn.IFS(orders[[#This Row],[Customer Gender]]="M","Male", orders[[#This Row],[Customer Gender]]="F","Female", orders[[#This Row],[Customer Gender]]="O","Other", TRUE,"Unknown")</f>
        <v>Female</v>
      </c>
    </row>
    <row r="98" spans="1:15" x14ac:dyDescent="0.3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1">
        <v>45661</v>
      </c>
      <c r="G98" s="1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f>orders[[#This Row],[Ship Date]]-orders[[#This Row],[Order Date]]</f>
        <v>7</v>
      </c>
      <c r="N98">
        <f>WEEKNUM(orders[[#This Row],[Order Date]])</f>
        <v>1</v>
      </c>
      <c r="O98" t="str" cm="1">
        <f t="array" ref="O98">_xlfn.IFS(orders[[#This Row],[Customer Gender]]="M","Male", orders[[#This Row],[Customer Gender]]="F","Female", orders[[#This Row],[Customer Gender]]="O","Other", TRUE,"Unknown")</f>
        <v>Male</v>
      </c>
    </row>
    <row r="99" spans="1:15" x14ac:dyDescent="0.3">
      <c r="A99" t="s">
        <v>165</v>
      </c>
      <c r="B99" t="s">
        <v>46</v>
      </c>
      <c r="C99">
        <v>2</v>
      </c>
      <c r="D99">
        <v>50.5</v>
      </c>
      <c r="E99">
        <v>101</v>
      </c>
      <c r="F99" s="1">
        <v>45661</v>
      </c>
      <c r="G99" s="1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f>orders[[#This Row],[Ship Date]]-orders[[#This Row],[Order Date]]</f>
        <v>2</v>
      </c>
      <c r="N99">
        <f>WEEKNUM(orders[[#This Row],[Order Date]])</f>
        <v>1</v>
      </c>
      <c r="O99" t="str" cm="1">
        <f t="array" ref="O99">_xlfn.IFS(orders[[#This Row],[Customer Gender]]="M","Male", orders[[#This Row],[Customer Gender]]="F","Female", orders[[#This Row],[Customer Gender]]="O","Other", TRUE,"Unknown")</f>
        <v>Male</v>
      </c>
    </row>
    <row r="100" spans="1:15" x14ac:dyDescent="0.3">
      <c r="A100" t="s">
        <v>166</v>
      </c>
      <c r="B100" t="s">
        <v>67</v>
      </c>
      <c r="C100">
        <v>7</v>
      </c>
      <c r="D100">
        <v>63</v>
      </c>
      <c r="E100">
        <v>441</v>
      </c>
      <c r="F100" s="1">
        <v>45661</v>
      </c>
      <c r="G100" s="1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f>orders[[#This Row],[Ship Date]]-orders[[#This Row],[Order Date]]</f>
        <v>3</v>
      </c>
      <c r="N100">
        <f>WEEKNUM(orders[[#This Row],[Order Date]])</f>
        <v>1</v>
      </c>
      <c r="O100" t="str" cm="1">
        <f t="array" ref="O100">_xlfn.IFS(orders[[#This Row],[Customer Gender]]="M","Male", orders[[#This Row],[Customer Gender]]="F","Female", orders[[#This Row],[Customer Gender]]="O","Other", TRUE,"Unknown")</f>
        <v>Male</v>
      </c>
    </row>
    <row r="101" spans="1:15" x14ac:dyDescent="0.3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1">
        <v>45661</v>
      </c>
      <c r="G101" s="1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f>orders[[#This Row],[Ship Date]]-orders[[#This Row],[Order Date]]</f>
        <v>13</v>
      </c>
      <c r="N101">
        <f>WEEKNUM(orders[[#This Row],[Order Date]])</f>
        <v>1</v>
      </c>
      <c r="O101" t="str" cm="1">
        <f t="array" ref="O101">_xlfn.IFS(orders[[#This Row],[Customer Gender]]="M","Male", orders[[#This Row],[Customer Gender]]="F","Female", orders[[#This Row],[Customer Gender]]="O","Other", TRUE,"Unknown")</f>
        <v>Female</v>
      </c>
    </row>
    <row r="102" spans="1:15" x14ac:dyDescent="0.3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1">
        <v>45661</v>
      </c>
      <c r="G102" s="1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f>orders[[#This Row],[Ship Date]]-orders[[#This Row],[Order Date]]</f>
        <v>4</v>
      </c>
      <c r="N102">
        <f>WEEKNUM(orders[[#This Row],[Order Date]])</f>
        <v>1</v>
      </c>
      <c r="O102" t="str" cm="1">
        <f t="array" ref="O102">_xlfn.IFS(orders[[#This Row],[Customer Gender]]="M","Male", orders[[#This Row],[Customer Gender]]="F","Female", orders[[#This Row],[Customer Gender]]="O","Other", TRUE,"Unknown")</f>
        <v>Male</v>
      </c>
    </row>
    <row r="103" spans="1:15" x14ac:dyDescent="0.3">
      <c r="A103" t="s">
        <v>169</v>
      </c>
      <c r="B103" t="s">
        <v>26</v>
      </c>
      <c r="C103">
        <v>2</v>
      </c>
      <c r="D103">
        <v>160</v>
      </c>
      <c r="E103">
        <v>320</v>
      </c>
      <c r="F103" s="1">
        <v>45662</v>
      </c>
      <c r="G103" s="1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f>orders[[#This Row],[Ship Date]]-orders[[#This Row],[Order Date]]</f>
        <v>1</v>
      </c>
      <c r="N103">
        <f>WEEKNUM(orders[[#This Row],[Order Date]])</f>
        <v>2</v>
      </c>
      <c r="O103" t="str" cm="1">
        <f t="array" ref="O103">_xlfn.IFS(orders[[#This Row],[Customer Gender]]="M","Male", orders[[#This Row],[Customer Gender]]="F","Female", orders[[#This Row],[Customer Gender]]="O","Other", TRUE,"Unknown")</f>
        <v>Male</v>
      </c>
    </row>
    <row r="104" spans="1:15" x14ac:dyDescent="0.3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1">
        <v>45662</v>
      </c>
      <c r="G104" s="1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f>orders[[#This Row],[Ship Date]]-orders[[#This Row],[Order Date]]</f>
        <v>3</v>
      </c>
      <c r="N104">
        <f>WEEKNUM(orders[[#This Row],[Order Date]])</f>
        <v>2</v>
      </c>
      <c r="O104" t="str" cm="1">
        <f t="array" ref="O104">_xlfn.IFS(orders[[#This Row],[Customer Gender]]="M","Male", orders[[#This Row],[Customer Gender]]="F","Female", orders[[#This Row],[Customer Gender]]="O","Other", TRUE,"Unknown")</f>
        <v>Female</v>
      </c>
    </row>
    <row r="105" spans="1:15" x14ac:dyDescent="0.3">
      <c r="A105" t="s">
        <v>172</v>
      </c>
      <c r="B105" t="s">
        <v>54</v>
      </c>
      <c r="C105">
        <v>2</v>
      </c>
      <c r="D105">
        <v>53</v>
      </c>
      <c r="E105">
        <v>106</v>
      </c>
      <c r="F105" s="1">
        <v>45662</v>
      </c>
      <c r="G105" s="1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f>orders[[#This Row],[Ship Date]]-orders[[#This Row],[Order Date]]</f>
        <v>0</v>
      </c>
      <c r="N105">
        <f>WEEKNUM(orders[[#This Row],[Order Date]])</f>
        <v>2</v>
      </c>
      <c r="O105" t="str" cm="1">
        <f t="array" ref="O105">_xlfn.IFS(orders[[#This Row],[Customer Gender]]="M","Male", orders[[#This Row],[Customer Gender]]="F","Female", orders[[#This Row],[Customer Gender]]="O","Other", TRUE,"Unknown")</f>
        <v>Male</v>
      </c>
    </row>
    <row r="106" spans="1:15" x14ac:dyDescent="0.3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1">
        <v>45662</v>
      </c>
      <c r="G106" s="1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f>orders[[#This Row],[Ship Date]]-orders[[#This Row],[Order Date]]</f>
        <v>5</v>
      </c>
      <c r="N106">
        <f>WEEKNUM(orders[[#This Row],[Order Date]])</f>
        <v>2</v>
      </c>
      <c r="O106" t="str" cm="1">
        <f t="array" ref="O106">_xlfn.IFS(orders[[#This Row],[Customer Gender]]="M","Male", orders[[#This Row],[Customer Gender]]="F","Female", orders[[#This Row],[Customer Gender]]="O","Other", TRUE,"Unknown")</f>
        <v>Female</v>
      </c>
    </row>
    <row r="107" spans="1:15" x14ac:dyDescent="0.3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1">
        <v>45662</v>
      </c>
      <c r="G107" s="1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f>orders[[#This Row],[Ship Date]]-orders[[#This Row],[Order Date]]</f>
        <v>2</v>
      </c>
      <c r="N107">
        <f>WEEKNUM(orders[[#This Row],[Order Date]])</f>
        <v>2</v>
      </c>
      <c r="O107" t="str" cm="1">
        <f t="array" ref="O107">_xlfn.IFS(orders[[#This Row],[Customer Gender]]="M","Male", orders[[#This Row],[Customer Gender]]="F","Female", orders[[#This Row],[Customer Gender]]="O","Other", TRUE,"Unknown")</f>
        <v>Female</v>
      </c>
    </row>
    <row r="108" spans="1:15" x14ac:dyDescent="0.3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1">
        <v>45662</v>
      </c>
      <c r="G108" s="1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f>orders[[#This Row],[Ship Date]]-orders[[#This Row],[Order Date]]</f>
        <v>0</v>
      </c>
      <c r="N108">
        <f>WEEKNUM(orders[[#This Row],[Order Date]])</f>
        <v>2</v>
      </c>
      <c r="O108" t="str" cm="1">
        <f t="array" ref="O108">_xlfn.IFS(orders[[#This Row],[Customer Gender]]="M","Male", orders[[#This Row],[Customer Gender]]="F","Female", orders[[#This Row],[Customer Gender]]="O","Other", TRUE,"Unknown")</f>
        <v>Female</v>
      </c>
    </row>
    <row r="109" spans="1:15" x14ac:dyDescent="0.3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1">
        <v>45662</v>
      </c>
      <c r="G109" s="1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f>orders[[#This Row],[Ship Date]]-orders[[#This Row],[Order Date]]</f>
        <v>1</v>
      </c>
      <c r="N109">
        <f>WEEKNUM(orders[[#This Row],[Order Date]])</f>
        <v>2</v>
      </c>
      <c r="O109" t="str" cm="1">
        <f t="array" ref="O109">_xlfn.IFS(orders[[#This Row],[Customer Gender]]="M","Male", orders[[#This Row],[Customer Gender]]="F","Female", orders[[#This Row],[Customer Gender]]="O","Other", TRUE,"Unknown")</f>
        <v>Male</v>
      </c>
    </row>
    <row r="110" spans="1:15" x14ac:dyDescent="0.3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1">
        <v>45662</v>
      </c>
      <c r="G110" s="1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f>orders[[#This Row],[Ship Date]]-orders[[#This Row],[Order Date]]</f>
        <v>2</v>
      </c>
      <c r="N110">
        <f>WEEKNUM(orders[[#This Row],[Order Date]])</f>
        <v>2</v>
      </c>
      <c r="O110" t="str" cm="1">
        <f t="array" ref="O110">_xlfn.IFS(orders[[#This Row],[Customer Gender]]="M","Male", orders[[#This Row],[Customer Gender]]="F","Female", orders[[#This Row],[Customer Gender]]="O","Other", TRUE,"Unknown")</f>
        <v>Male</v>
      </c>
    </row>
    <row r="111" spans="1:15" x14ac:dyDescent="0.3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1">
        <v>45662</v>
      </c>
      <c r="G111" s="1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f>orders[[#This Row],[Ship Date]]-orders[[#This Row],[Order Date]]</f>
        <v>1</v>
      </c>
      <c r="N111">
        <f>WEEKNUM(orders[[#This Row],[Order Date]])</f>
        <v>2</v>
      </c>
      <c r="O111" t="str" cm="1">
        <f t="array" ref="O111">_xlfn.IFS(orders[[#This Row],[Customer Gender]]="M","Male", orders[[#This Row],[Customer Gender]]="F","Female", orders[[#This Row],[Customer Gender]]="O","Other", TRUE,"Unknown")</f>
        <v>Female</v>
      </c>
    </row>
    <row r="112" spans="1:15" x14ac:dyDescent="0.3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1">
        <v>45662</v>
      </c>
      <c r="G112" s="1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f>orders[[#This Row],[Ship Date]]-orders[[#This Row],[Order Date]]</f>
        <v>2</v>
      </c>
      <c r="N112">
        <f>WEEKNUM(orders[[#This Row],[Order Date]])</f>
        <v>2</v>
      </c>
      <c r="O112" t="str" cm="1">
        <f t="array" ref="O112">_xlfn.IFS(orders[[#This Row],[Customer Gender]]="M","Male", orders[[#This Row],[Customer Gender]]="F","Female", orders[[#This Row],[Customer Gender]]="O","Other", TRUE,"Unknown")</f>
        <v>Male</v>
      </c>
    </row>
    <row r="113" spans="1:15" x14ac:dyDescent="0.3">
      <c r="A113" t="s">
        <v>180</v>
      </c>
      <c r="B113" t="s">
        <v>32</v>
      </c>
      <c r="C113">
        <v>1</v>
      </c>
      <c r="D113">
        <v>32</v>
      </c>
      <c r="E113">
        <v>32</v>
      </c>
      <c r="F113" s="1">
        <v>45662</v>
      </c>
      <c r="G113" s="1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f>orders[[#This Row],[Ship Date]]-orders[[#This Row],[Order Date]]</f>
        <v>2</v>
      </c>
      <c r="N113">
        <f>WEEKNUM(orders[[#This Row],[Order Date]])</f>
        <v>2</v>
      </c>
      <c r="O113" t="str" cm="1">
        <f t="array" ref="O113">_xlfn.IFS(orders[[#This Row],[Customer Gender]]="M","Male", orders[[#This Row],[Customer Gender]]="F","Female", orders[[#This Row],[Customer Gender]]="O","Other", TRUE,"Unknown")</f>
        <v>Female</v>
      </c>
    </row>
    <row r="114" spans="1:15" x14ac:dyDescent="0.3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1">
        <v>45662</v>
      </c>
      <c r="G114" s="1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f>orders[[#This Row],[Ship Date]]-orders[[#This Row],[Order Date]]</f>
        <v>1</v>
      </c>
      <c r="N114">
        <f>WEEKNUM(orders[[#This Row],[Order Date]])</f>
        <v>2</v>
      </c>
      <c r="O114" t="str" cm="1">
        <f t="array" ref="O114">_xlfn.IFS(orders[[#This Row],[Customer Gender]]="M","Male", orders[[#This Row],[Customer Gender]]="F","Female", orders[[#This Row],[Customer Gender]]="O","Other", TRUE,"Unknown")</f>
        <v>Male</v>
      </c>
    </row>
    <row r="115" spans="1:15" x14ac:dyDescent="0.3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1">
        <v>45662</v>
      </c>
      <c r="G115" s="1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f>orders[[#This Row],[Ship Date]]-orders[[#This Row],[Order Date]]</f>
        <v>1</v>
      </c>
      <c r="N115">
        <f>WEEKNUM(orders[[#This Row],[Order Date]])</f>
        <v>2</v>
      </c>
      <c r="O115" t="str" cm="1">
        <f t="array" ref="O115">_xlfn.IFS(orders[[#This Row],[Customer Gender]]="M","Male", orders[[#This Row],[Customer Gender]]="F","Female", orders[[#This Row],[Customer Gender]]="O","Other", TRUE,"Unknown")</f>
        <v>Male</v>
      </c>
    </row>
    <row r="116" spans="1:15" x14ac:dyDescent="0.3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1">
        <v>45662</v>
      </c>
      <c r="G116" s="1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f>orders[[#This Row],[Ship Date]]-orders[[#This Row],[Order Date]]</f>
        <v>3</v>
      </c>
      <c r="N116">
        <f>WEEKNUM(orders[[#This Row],[Order Date]])</f>
        <v>2</v>
      </c>
      <c r="O116" t="str" cm="1">
        <f t="array" ref="O116">_xlfn.IFS(orders[[#This Row],[Customer Gender]]="M","Male", orders[[#This Row],[Customer Gender]]="F","Female", orders[[#This Row],[Customer Gender]]="O","Other", TRUE,"Unknown")</f>
        <v>Male</v>
      </c>
    </row>
    <row r="117" spans="1:15" x14ac:dyDescent="0.3">
      <c r="A117" t="s">
        <v>184</v>
      </c>
      <c r="B117" t="s">
        <v>39</v>
      </c>
      <c r="C117">
        <v>6</v>
      </c>
      <c r="D117">
        <v>76.5</v>
      </c>
      <c r="E117">
        <v>459</v>
      </c>
      <c r="F117" s="1">
        <v>45662</v>
      </c>
      <c r="G117" s="1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f>orders[[#This Row],[Ship Date]]-orders[[#This Row],[Order Date]]</f>
        <v>1</v>
      </c>
      <c r="N117">
        <f>WEEKNUM(orders[[#This Row],[Order Date]])</f>
        <v>2</v>
      </c>
      <c r="O117" t="str" cm="1">
        <f t="array" ref="O117">_xlfn.IFS(orders[[#This Row],[Customer Gender]]="M","Male", orders[[#This Row],[Customer Gender]]="F","Female", orders[[#This Row],[Customer Gender]]="O","Other", TRUE,"Unknown")</f>
        <v>Female</v>
      </c>
    </row>
    <row r="118" spans="1:15" x14ac:dyDescent="0.3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1">
        <v>45662</v>
      </c>
      <c r="G118" s="1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f>orders[[#This Row],[Ship Date]]-orders[[#This Row],[Order Date]]</f>
        <v>1</v>
      </c>
      <c r="N118">
        <f>WEEKNUM(orders[[#This Row],[Order Date]])</f>
        <v>2</v>
      </c>
      <c r="O118" t="str" cm="1">
        <f t="array" ref="O118">_xlfn.IFS(orders[[#This Row],[Customer Gender]]="M","Male", orders[[#This Row],[Customer Gender]]="F","Female", orders[[#This Row],[Customer Gender]]="O","Other", TRUE,"Unknown")</f>
        <v>Female</v>
      </c>
    </row>
    <row r="119" spans="1:15" x14ac:dyDescent="0.3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1">
        <v>45662</v>
      </c>
      <c r="G119" s="1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f>orders[[#This Row],[Ship Date]]-orders[[#This Row],[Order Date]]</f>
        <v>2</v>
      </c>
      <c r="N119">
        <f>WEEKNUM(orders[[#This Row],[Order Date]])</f>
        <v>2</v>
      </c>
      <c r="O119" t="str" cm="1">
        <f t="array" ref="O119">_xlfn.IFS(orders[[#This Row],[Customer Gender]]="M","Male", orders[[#This Row],[Customer Gender]]="F","Female", orders[[#This Row],[Customer Gender]]="O","Other", TRUE,"Unknown")</f>
        <v>Female</v>
      </c>
    </row>
    <row r="120" spans="1:15" x14ac:dyDescent="0.3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1">
        <v>45662</v>
      </c>
      <c r="G120" s="1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f>orders[[#This Row],[Ship Date]]-orders[[#This Row],[Order Date]]</f>
        <v>1</v>
      </c>
      <c r="N120">
        <f>WEEKNUM(orders[[#This Row],[Order Date]])</f>
        <v>2</v>
      </c>
      <c r="O120" t="str" cm="1">
        <f t="array" ref="O120">_xlfn.IFS(orders[[#This Row],[Customer Gender]]="M","Male", orders[[#This Row],[Customer Gender]]="F","Female", orders[[#This Row],[Customer Gender]]="O","Other", TRUE,"Unknown")</f>
        <v>Male</v>
      </c>
    </row>
    <row r="121" spans="1:15" x14ac:dyDescent="0.3">
      <c r="A121" t="s">
        <v>190</v>
      </c>
      <c r="B121" t="s">
        <v>22</v>
      </c>
      <c r="C121">
        <v>3</v>
      </c>
      <c r="D121">
        <v>73</v>
      </c>
      <c r="E121">
        <v>219</v>
      </c>
      <c r="F121" s="1">
        <v>45662</v>
      </c>
      <c r="G121" s="1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f>orders[[#This Row],[Ship Date]]-orders[[#This Row],[Order Date]]</f>
        <v>1</v>
      </c>
      <c r="N121">
        <f>WEEKNUM(orders[[#This Row],[Order Date]])</f>
        <v>2</v>
      </c>
      <c r="O121" t="str" cm="1">
        <f t="array" ref="O121">_xlfn.IFS(orders[[#This Row],[Customer Gender]]="M","Male", orders[[#This Row],[Customer Gender]]="F","Female", orders[[#This Row],[Customer Gender]]="O","Other", TRUE,"Unknown")</f>
        <v>Female</v>
      </c>
    </row>
    <row r="122" spans="1:15" x14ac:dyDescent="0.3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1">
        <v>45662</v>
      </c>
      <c r="G122" s="1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f>orders[[#This Row],[Ship Date]]-orders[[#This Row],[Order Date]]</f>
        <v>4</v>
      </c>
      <c r="N122">
        <f>WEEKNUM(orders[[#This Row],[Order Date]])</f>
        <v>2</v>
      </c>
      <c r="O122" t="str" cm="1">
        <f t="array" ref="O122">_xlfn.IFS(orders[[#This Row],[Customer Gender]]="M","Male", orders[[#This Row],[Customer Gender]]="F","Female", orders[[#This Row],[Customer Gender]]="O","Other", TRUE,"Unknown")</f>
        <v>Unknown</v>
      </c>
    </row>
    <row r="123" spans="1:15" x14ac:dyDescent="0.3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1">
        <v>45662</v>
      </c>
      <c r="G123" s="1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f>orders[[#This Row],[Ship Date]]-orders[[#This Row],[Order Date]]</f>
        <v>1</v>
      </c>
      <c r="N123">
        <f>WEEKNUM(orders[[#This Row],[Order Date]])</f>
        <v>2</v>
      </c>
      <c r="O123" t="str" cm="1">
        <f t="array" ref="O123">_xlfn.IFS(orders[[#This Row],[Customer Gender]]="M","Male", orders[[#This Row],[Customer Gender]]="F","Female", orders[[#This Row],[Customer Gender]]="O","Other", TRUE,"Unknown")</f>
        <v>Male</v>
      </c>
    </row>
    <row r="124" spans="1:15" x14ac:dyDescent="0.3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1">
        <v>45662</v>
      </c>
      <c r="G124" s="1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f>orders[[#This Row],[Ship Date]]-orders[[#This Row],[Order Date]]</f>
        <v>1</v>
      </c>
      <c r="N124">
        <f>WEEKNUM(orders[[#This Row],[Order Date]])</f>
        <v>2</v>
      </c>
      <c r="O124" t="str" cm="1">
        <f t="array" ref="O124">_xlfn.IFS(orders[[#This Row],[Customer Gender]]="M","Male", orders[[#This Row],[Customer Gender]]="F","Female", orders[[#This Row],[Customer Gender]]="O","Other", TRUE,"Unknown")</f>
        <v>Female</v>
      </c>
    </row>
    <row r="125" spans="1:15" x14ac:dyDescent="0.3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1">
        <v>45662</v>
      </c>
      <c r="G125" s="1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f>orders[[#This Row],[Ship Date]]-orders[[#This Row],[Order Date]]</f>
        <v>1</v>
      </c>
      <c r="N125">
        <f>WEEKNUM(orders[[#This Row],[Order Date]])</f>
        <v>2</v>
      </c>
      <c r="O125" t="str" cm="1">
        <f t="array" ref="O125">_xlfn.IFS(orders[[#This Row],[Customer Gender]]="M","Male", orders[[#This Row],[Customer Gender]]="F","Female", orders[[#This Row],[Customer Gender]]="O","Other", TRUE,"Unknown")</f>
        <v>Female</v>
      </c>
    </row>
    <row r="126" spans="1:15" x14ac:dyDescent="0.3">
      <c r="A126" t="s">
        <v>195</v>
      </c>
      <c r="B126" t="s">
        <v>22</v>
      </c>
      <c r="C126">
        <v>6</v>
      </c>
      <c r="D126">
        <v>92</v>
      </c>
      <c r="E126">
        <v>552</v>
      </c>
      <c r="F126" s="1">
        <v>45662</v>
      </c>
      <c r="G126" s="1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f>orders[[#This Row],[Ship Date]]-orders[[#This Row],[Order Date]]</f>
        <v>2</v>
      </c>
      <c r="N126">
        <f>WEEKNUM(orders[[#This Row],[Order Date]])</f>
        <v>2</v>
      </c>
      <c r="O126" t="str" cm="1">
        <f t="array" ref="O126">_xlfn.IFS(orders[[#This Row],[Customer Gender]]="M","Male", orders[[#This Row],[Customer Gender]]="F","Female", orders[[#This Row],[Customer Gender]]="O","Other", TRUE,"Unknown")</f>
        <v>Male</v>
      </c>
    </row>
    <row r="127" spans="1:15" x14ac:dyDescent="0.3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1">
        <v>45662</v>
      </c>
      <c r="G127" s="1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f>orders[[#This Row],[Ship Date]]-orders[[#This Row],[Order Date]]</f>
        <v>2</v>
      </c>
      <c r="N127">
        <f>WEEKNUM(orders[[#This Row],[Order Date]])</f>
        <v>2</v>
      </c>
      <c r="O127" t="str" cm="1">
        <f t="array" ref="O127">_xlfn.IFS(orders[[#This Row],[Customer Gender]]="M","Male", orders[[#This Row],[Customer Gender]]="F","Female", orders[[#This Row],[Customer Gender]]="O","Other", TRUE,"Unknown")</f>
        <v>Male</v>
      </c>
    </row>
    <row r="128" spans="1:15" x14ac:dyDescent="0.3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1">
        <v>45662</v>
      </c>
      <c r="G128" s="1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f>orders[[#This Row],[Ship Date]]-orders[[#This Row],[Order Date]]</f>
        <v>1</v>
      </c>
      <c r="N128">
        <f>WEEKNUM(orders[[#This Row],[Order Date]])</f>
        <v>2</v>
      </c>
      <c r="O128" t="str" cm="1">
        <f t="array" ref="O128">_xlfn.IFS(orders[[#This Row],[Customer Gender]]="M","Male", orders[[#This Row],[Customer Gender]]="F","Female", orders[[#This Row],[Customer Gender]]="O","Other", TRUE,"Unknown")</f>
        <v>Female</v>
      </c>
    </row>
    <row r="129" spans="1:15" x14ac:dyDescent="0.3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1">
        <v>45663</v>
      </c>
      <c r="G129" s="1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f>orders[[#This Row],[Ship Date]]-orders[[#This Row],[Order Date]]</f>
        <v>2</v>
      </c>
      <c r="N129">
        <f>WEEKNUM(orders[[#This Row],[Order Date]])</f>
        <v>2</v>
      </c>
      <c r="O129" t="str" cm="1">
        <f t="array" ref="O129">_xlfn.IFS(orders[[#This Row],[Customer Gender]]="M","Male", orders[[#This Row],[Customer Gender]]="F","Female", orders[[#This Row],[Customer Gender]]="O","Other", TRUE,"Unknown")</f>
        <v>Male</v>
      </c>
    </row>
    <row r="130" spans="1:15" x14ac:dyDescent="0.3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1">
        <v>45663</v>
      </c>
      <c r="G130" s="1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f>orders[[#This Row],[Ship Date]]-orders[[#This Row],[Order Date]]</f>
        <v>4</v>
      </c>
      <c r="N130">
        <f>WEEKNUM(orders[[#This Row],[Order Date]])</f>
        <v>2</v>
      </c>
      <c r="O130" t="str" cm="1">
        <f t="array" ref="O130">_xlfn.IFS(orders[[#This Row],[Customer Gender]]="M","Male", orders[[#This Row],[Customer Gender]]="F","Female", orders[[#This Row],[Customer Gender]]="O","Other", TRUE,"Unknown")</f>
        <v>Male</v>
      </c>
    </row>
    <row r="131" spans="1:15" x14ac:dyDescent="0.3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1">
        <v>45663</v>
      </c>
      <c r="G131" s="1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f>orders[[#This Row],[Ship Date]]-orders[[#This Row],[Order Date]]</f>
        <v>1</v>
      </c>
      <c r="N131">
        <f>WEEKNUM(orders[[#This Row],[Order Date]])</f>
        <v>2</v>
      </c>
      <c r="O131" t="str" cm="1">
        <f t="array" ref="O131">_xlfn.IFS(orders[[#This Row],[Customer Gender]]="M","Male", orders[[#This Row],[Customer Gender]]="F","Female", orders[[#This Row],[Customer Gender]]="O","Other", TRUE,"Unknown")</f>
        <v>Male</v>
      </c>
    </row>
    <row r="132" spans="1:15" x14ac:dyDescent="0.3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1">
        <v>45663</v>
      </c>
      <c r="G132" s="1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f>orders[[#This Row],[Ship Date]]-orders[[#This Row],[Order Date]]</f>
        <v>9</v>
      </c>
      <c r="N132">
        <f>WEEKNUM(orders[[#This Row],[Order Date]])</f>
        <v>2</v>
      </c>
      <c r="O132" t="str" cm="1">
        <f t="array" ref="O132">_xlfn.IFS(orders[[#This Row],[Customer Gender]]="M","Male", orders[[#This Row],[Customer Gender]]="F","Female", orders[[#This Row],[Customer Gender]]="O","Other", TRUE,"Unknown")</f>
        <v>Other</v>
      </c>
    </row>
    <row r="133" spans="1:15" x14ac:dyDescent="0.3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1">
        <v>45663</v>
      </c>
      <c r="G133" s="1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f>orders[[#This Row],[Ship Date]]-orders[[#This Row],[Order Date]]</f>
        <v>3</v>
      </c>
      <c r="N133">
        <f>WEEKNUM(orders[[#This Row],[Order Date]])</f>
        <v>2</v>
      </c>
      <c r="O133" t="str" cm="1">
        <f t="array" ref="O133">_xlfn.IFS(orders[[#This Row],[Customer Gender]]="M","Male", orders[[#This Row],[Customer Gender]]="F","Female", orders[[#This Row],[Customer Gender]]="O","Other", TRUE,"Unknown")</f>
        <v>Female</v>
      </c>
    </row>
    <row r="134" spans="1:15" x14ac:dyDescent="0.3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1">
        <v>45663</v>
      </c>
      <c r="G134" s="1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f>orders[[#This Row],[Ship Date]]-orders[[#This Row],[Order Date]]</f>
        <v>1</v>
      </c>
      <c r="N134">
        <f>WEEKNUM(orders[[#This Row],[Order Date]])</f>
        <v>2</v>
      </c>
      <c r="O134" t="str" cm="1">
        <f t="array" ref="O134">_xlfn.IFS(orders[[#This Row],[Customer Gender]]="M","Male", orders[[#This Row],[Customer Gender]]="F","Female", orders[[#This Row],[Customer Gender]]="O","Other", TRUE,"Unknown")</f>
        <v>Male</v>
      </c>
    </row>
    <row r="135" spans="1:15" x14ac:dyDescent="0.3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1">
        <v>45663</v>
      </c>
      <c r="G135" s="1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f>orders[[#This Row],[Ship Date]]-orders[[#This Row],[Order Date]]</f>
        <v>5</v>
      </c>
      <c r="N135">
        <f>WEEKNUM(orders[[#This Row],[Order Date]])</f>
        <v>2</v>
      </c>
      <c r="O135" t="str" cm="1">
        <f t="array" ref="O135">_xlfn.IFS(orders[[#This Row],[Customer Gender]]="M","Male", orders[[#This Row],[Customer Gender]]="F","Female", orders[[#This Row],[Customer Gender]]="O","Other", TRUE,"Unknown")</f>
        <v>Other</v>
      </c>
    </row>
    <row r="136" spans="1:15" x14ac:dyDescent="0.3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1">
        <v>45663</v>
      </c>
      <c r="G136" s="1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f>orders[[#This Row],[Ship Date]]-orders[[#This Row],[Order Date]]</f>
        <v>3</v>
      </c>
      <c r="N136">
        <f>WEEKNUM(orders[[#This Row],[Order Date]])</f>
        <v>2</v>
      </c>
      <c r="O136" t="str" cm="1">
        <f t="array" ref="O136">_xlfn.IFS(orders[[#This Row],[Customer Gender]]="M","Male", orders[[#This Row],[Customer Gender]]="F","Female", orders[[#This Row],[Customer Gender]]="O","Other", TRUE,"Unknown")</f>
        <v>Female</v>
      </c>
    </row>
    <row r="137" spans="1:15" x14ac:dyDescent="0.3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1">
        <v>45663</v>
      </c>
      <c r="G137" s="1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f>orders[[#This Row],[Ship Date]]-orders[[#This Row],[Order Date]]</f>
        <v>2</v>
      </c>
      <c r="N137">
        <f>WEEKNUM(orders[[#This Row],[Order Date]])</f>
        <v>2</v>
      </c>
      <c r="O137" t="str" cm="1">
        <f t="array" ref="O137">_xlfn.IFS(orders[[#This Row],[Customer Gender]]="M","Male", orders[[#This Row],[Customer Gender]]="F","Female", orders[[#This Row],[Customer Gender]]="O","Other", TRUE,"Unknown")</f>
        <v>Female</v>
      </c>
    </row>
    <row r="138" spans="1:15" x14ac:dyDescent="0.3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1">
        <v>45663</v>
      </c>
      <c r="G138" s="1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f>orders[[#This Row],[Ship Date]]-orders[[#This Row],[Order Date]]</f>
        <v>1</v>
      </c>
      <c r="N138">
        <f>WEEKNUM(orders[[#This Row],[Order Date]])</f>
        <v>2</v>
      </c>
      <c r="O138" t="str" cm="1">
        <f t="array" ref="O138">_xlfn.IFS(orders[[#This Row],[Customer Gender]]="M","Male", orders[[#This Row],[Customer Gender]]="F","Female", orders[[#This Row],[Customer Gender]]="O","Other", TRUE,"Unknown")</f>
        <v>Female</v>
      </c>
    </row>
    <row r="139" spans="1:15" x14ac:dyDescent="0.3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1">
        <v>45663</v>
      </c>
      <c r="G139" s="1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f>orders[[#This Row],[Ship Date]]-orders[[#This Row],[Order Date]]</f>
        <v>3</v>
      </c>
      <c r="N139">
        <f>WEEKNUM(orders[[#This Row],[Order Date]])</f>
        <v>2</v>
      </c>
      <c r="O139" t="str" cm="1">
        <f t="array" ref="O139">_xlfn.IFS(orders[[#This Row],[Customer Gender]]="M","Male", orders[[#This Row],[Customer Gender]]="F","Female", orders[[#This Row],[Customer Gender]]="O","Other", TRUE,"Unknown")</f>
        <v>Female</v>
      </c>
    </row>
    <row r="140" spans="1:15" x14ac:dyDescent="0.3">
      <c r="A140" t="s">
        <v>211</v>
      </c>
      <c r="B140" t="s">
        <v>16</v>
      </c>
      <c r="C140">
        <v>1</v>
      </c>
      <c r="D140">
        <v>19</v>
      </c>
      <c r="E140">
        <v>19</v>
      </c>
      <c r="F140" s="1">
        <v>45663</v>
      </c>
      <c r="G140" s="1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f>orders[[#This Row],[Ship Date]]-orders[[#This Row],[Order Date]]</f>
        <v>5</v>
      </c>
      <c r="N140">
        <f>WEEKNUM(orders[[#This Row],[Order Date]])</f>
        <v>2</v>
      </c>
      <c r="O140" t="str" cm="1">
        <f t="array" ref="O140">_xlfn.IFS(orders[[#This Row],[Customer Gender]]="M","Male", orders[[#This Row],[Customer Gender]]="F","Female", orders[[#This Row],[Customer Gender]]="O","Other", TRUE,"Unknown")</f>
        <v>Female</v>
      </c>
    </row>
    <row r="141" spans="1:15" x14ac:dyDescent="0.3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1">
        <v>45663</v>
      </c>
      <c r="G141" s="1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f>orders[[#This Row],[Ship Date]]-orders[[#This Row],[Order Date]]</f>
        <v>0</v>
      </c>
      <c r="N141">
        <f>WEEKNUM(orders[[#This Row],[Order Date]])</f>
        <v>2</v>
      </c>
      <c r="O141" t="str" cm="1">
        <f t="array" ref="O141">_xlfn.IFS(orders[[#This Row],[Customer Gender]]="M","Male", orders[[#This Row],[Customer Gender]]="F","Female", orders[[#This Row],[Customer Gender]]="O","Other", TRUE,"Unknown")</f>
        <v>Male</v>
      </c>
    </row>
    <row r="142" spans="1:15" x14ac:dyDescent="0.3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1">
        <v>45663</v>
      </c>
      <c r="G142" s="1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f>orders[[#This Row],[Ship Date]]-orders[[#This Row],[Order Date]]</f>
        <v>3</v>
      </c>
      <c r="N142">
        <f>WEEKNUM(orders[[#This Row],[Order Date]])</f>
        <v>2</v>
      </c>
      <c r="O142" t="str" cm="1">
        <f t="array" ref="O142">_xlfn.IFS(orders[[#This Row],[Customer Gender]]="M","Male", orders[[#This Row],[Customer Gender]]="F","Female", orders[[#This Row],[Customer Gender]]="O","Other", TRUE,"Unknown")</f>
        <v>Male</v>
      </c>
    </row>
    <row r="143" spans="1:15" x14ac:dyDescent="0.3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1">
        <v>45663</v>
      </c>
      <c r="G143" s="1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f>orders[[#This Row],[Ship Date]]-orders[[#This Row],[Order Date]]</f>
        <v>0</v>
      </c>
      <c r="N143">
        <f>WEEKNUM(orders[[#This Row],[Order Date]])</f>
        <v>2</v>
      </c>
      <c r="O143" t="str" cm="1">
        <f t="array" ref="O143">_xlfn.IFS(orders[[#This Row],[Customer Gender]]="M","Male", orders[[#This Row],[Customer Gender]]="F","Female", orders[[#This Row],[Customer Gender]]="O","Other", TRUE,"Unknown")</f>
        <v>Unknown</v>
      </c>
    </row>
    <row r="144" spans="1:15" x14ac:dyDescent="0.3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1">
        <v>45663</v>
      </c>
      <c r="G144" s="1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f>orders[[#This Row],[Ship Date]]-orders[[#This Row],[Order Date]]</f>
        <v>3</v>
      </c>
      <c r="N144">
        <f>WEEKNUM(orders[[#This Row],[Order Date]])</f>
        <v>2</v>
      </c>
      <c r="O144" t="str" cm="1">
        <f t="array" ref="O144">_xlfn.IFS(orders[[#This Row],[Customer Gender]]="M","Male", orders[[#This Row],[Customer Gender]]="F","Female", orders[[#This Row],[Customer Gender]]="O","Other", TRUE,"Unknown")</f>
        <v>Female</v>
      </c>
    </row>
    <row r="145" spans="1:15" x14ac:dyDescent="0.3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1">
        <v>45663</v>
      </c>
      <c r="G145" s="1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f>orders[[#This Row],[Ship Date]]-orders[[#This Row],[Order Date]]</f>
        <v>1</v>
      </c>
      <c r="N145">
        <f>WEEKNUM(orders[[#This Row],[Order Date]])</f>
        <v>2</v>
      </c>
      <c r="O145" t="str" cm="1">
        <f t="array" ref="O145">_xlfn.IFS(orders[[#This Row],[Customer Gender]]="M","Male", orders[[#This Row],[Customer Gender]]="F","Female", orders[[#This Row],[Customer Gender]]="O","Other", TRUE,"Unknown")</f>
        <v>Unknown</v>
      </c>
    </row>
    <row r="146" spans="1:15" x14ac:dyDescent="0.3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1">
        <v>45663</v>
      </c>
      <c r="G146" s="1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f>orders[[#This Row],[Ship Date]]-orders[[#This Row],[Order Date]]</f>
        <v>4</v>
      </c>
      <c r="N146">
        <f>WEEKNUM(orders[[#This Row],[Order Date]])</f>
        <v>2</v>
      </c>
      <c r="O146" t="str" cm="1">
        <f t="array" ref="O146">_xlfn.IFS(orders[[#This Row],[Customer Gender]]="M","Male", orders[[#This Row],[Customer Gender]]="F","Female", orders[[#This Row],[Customer Gender]]="O","Other", TRUE,"Unknown")</f>
        <v>Female</v>
      </c>
    </row>
    <row r="147" spans="1:15" x14ac:dyDescent="0.3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1">
        <v>45663</v>
      </c>
      <c r="G147" s="1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f>orders[[#This Row],[Ship Date]]-orders[[#This Row],[Order Date]]</f>
        <v>1</v>
      </c>
      <c r="N147">
        <f>WEEKNUM(orders[[#This Row],[Order Date]])</f>
        <v>2</v>
      </c>
      <c r="O147" t="str" cm="1">
        <f t="array" ref="O147">_xlfn.IFS(orders[[#This Row],[Customer Gender]]="M","Male", orders[[#This Row],[Customer Gender]]="F","Female", orders[[#This Row],[Customer Gender]]="O","Other", TRUE,"Unknown")</f>
        <v>Male</v>
      </c>
    </row>
    <row r="148" spans="1:15" x14ac:dyDescent="0.3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1">
        <v>45663</v>
      </c>
      <c r="G148" s="1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f>orders[[#This Row],[Ship Date]]-orders[[#This Row],[Order Date]]</f>
        <v>1</v>
      </c>
      <c r="N148">
        <f>WEEKNUM(orders[[#This Row],[Order Date]])</f>
        <v>2</v>
      </c>
      <c r="O148" t="str" cm="1">
        <f t="array" ref="O148">_xlfn.IFS(orders[[#This Row],[Customer Gender]]="M","Male", orders[[#This Row],[Customer Gender]]="F","Female", orders[[#This Row],[Customer Gender]]="O","Other", TRUE,"Unknown")</f>
        <v>Male</v>
      </c>
    </row>
    <row r="149" spans="1:15" x14ac:dyDescent="0.3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1">
        <v>45663</v>
      </c>
      <c r="G149" s="1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f>orders[[#This Row],[Ship Date]]-orders[[#This Row],[Order Date]]</f>
        <v>1</v>
      </c>
      <c r="N149">
        <f>WEEKNUM(orders[[#This Row],[Order Date]])</f>
        <v>2</v>
      </c>
      <c r="O149" t="str" cm="1">
        <f t="array" ref="O149">_xlfn.IFS(orders[[#This Row],[Customer Gender]]="M","Male", orders[[#This Row],[Customer Gender]]="F","Female", orders[[#This Row],[Customer Gender]]="O","Other", TRUE,"Unknown")</f>
        <v>Male</v>
      </c>
    </row>
    <row r="150" spans="1:15" x14ac:dyDescent="0.3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1">
        <v>45663</v>
      </c>
      <c r="G150" s="1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f>orders[[#This Row],[Ship Date]]-orders[[#This Row],[Order Date]]</f>
        <v>4</v>
      </c>
      <c r="N150">
        <f>WEEKNUM(orders[[#This Row],[Order Date]])</f>
        <v>2</v>
      </c>
      <c r="O150" t="str" cm="1">
        <f t="array" ref="O150">_xlfn.IFS(orders[[#This Row],[Customer Gender]]="M","Male", orders[[#This Row],[Customer Gender]]="F","Female", orders[[#This Row],[Customer Gender]]="O","Other", TRUE,"Unknown")</f>
        <v>Male</v>
      </c>
    </row>
    <row r="151" spans="1:15" x14ac:dyDescent="0.3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1">
        <v>45663</v>
      </c>
      <c r="G151" s="1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f>orders[[#This Row],[Ship Date]]-orders[[#This Row],[Order Date]]</f>
        <v>2</v>
      </c>
      <c r="N151">
        <f>WEEKNUM(orders[[#This Row],[Order Date]])</f>
        <v>2</v>
      </c>
      <c r="O151" t="str" cm="1">
        <f t="array" ref="O151">_xlfn.IFS(orders[[#This Row],[Customer Gender]]="M","Male", orders[[#This Row],[Customer Gender]]="F","Female", orders[[#This Row],[Customer Gender]]="O","Other", TRUE,"Unknown")</f>
        <v>Female</v>
      </c>
    </row>
    <row r="152" spans="1:15" x14ac:dyDescent="0.3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1">
        <v>45663</v>
      </c>
      <c r="G152" s="1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f>orders[[#This Row],[Ship Date]]-orders[[#This Row],[Order Date]]</f>
        <v>9</v>
      </c>
      <c r="N152">
        <f>WEEKNUM(orders[[#This Row],[Order Date]])</f>
        <v>2</v>
      </c>
      <c r="O152" t="str" cm="1">
        <f t="array" ref="O152">_xlfn.IFS(orders[[#This Row],[Customer Gender]]="M","Male", orders[[#This Row],[Customer Gender]]="F","Female", orders[[#This Row],[Customer Gender]]="O","Other", TRUE,"Unknown")</f>
        <v>Male</v>
      </c>
    </row>
    <row r="153" spans="1:15" x14ac:dyDescent="0.3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1">
        <v>45664</v>
      </c>
      <c r="G153" s="1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f>orders[[#This Row],[Ship Date]]-orders[[#This Row],[Order Date]]</f>
        <v>1</v>
      </c>
      <c r="N153">
        <f>WEEKNUM(orders[[#This Row],[Order Date]])</f>
        <v>2</v>
      </c>
      <c r="O153" t="str" cm="1">
        <f t="array" ref="O153">_xlfn.IFS(orders[[#This Row],[Customer Gender]]="M","Male", orders[[#This Row],[Customer Gender]]="F","Female", orders[[#This Row],[Customer Gender]]="O","Other", TRUE,"Unknown")</f>
        <v>Male</v>
      </c>
    </row>
    <row r="154" spans="1:15" x14ac:dyDescent="0.3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1">
        <v>45664</v>
      </c>
      <c r="G154" s="1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f>orders[[#This Row],[Ship Date]]-orders[[#This Row],[Order Date]]</f>
        <v>0</v>
      </c>
      <c r="N154">
        <f>WEEKNUM(orders[[#This Row],[Order Date]])</f>
        <v>2</v>
      </c>
      <c r="O154" t="str" cm="1">
        <f t="array" ref="O154">_xlfn.IFS(orders[[#This Row],[Customer Gender]]="M","Male", orders[[#This Row],[Customer Gender]]="F","Female", orders[[#This Row],[Customer Gender]]="O","Other", TRUE,"Unknown")</f>
        <v>Female</v>
      </c>
    </row>
    <row r="155" spans="1:15" x14ac:dyDescent="0.3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1">
        <v>45664</v>
      </c>
      <c r="G155" s="1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f>orders[[#This Row],[Ship Date]]-orders[[#This Row],[Order Date]]</f>
        <v>2</v>
      </c>
      <c r="N155">
        <f>WEEKNUM(orders[[#This Row],[Order Date]])</f>
        <v>2</v>
      </c>
      <c r="O155" t="str" cm="1">
        <f t="array" ref="O155">_xlfn.IFS(orders[[#This Row],[Customer Gender]]="M","Male", orders[[#This Row],[Customer Gender]]="F","Female", orders[[#This Row],[Customer Gender]]="O","Other", TRUE,"Unknown")</f>
        <v>Female</v>
      </c>
    </row>
    <row r="156" spans="1:15" x14ac:dyDescent="0.3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1">
        <v>45664</v>
      </c>
      <c r="G156" s="1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f>orders[[#This Row],[Ship Date]]-orders[[#This Row],[Order Date]]</f>
        <v>0</v>
      </c>
      <c r="N156">
        <f>WEEKNUM(orders[[#This Row],[Order Date]])</f>
        <v>2</v>
      </c>
      <c r="O156" t="str" cm="1">
        <f t="array" ref="O156">_xlfn.IFS(orders[[#This Row],[Customer Gender]]="M","Male", orders[[#This Row],[Customer Gender]]="F","Female", orders[[#This Row],[Customer Gender]]="O","Other", TRUE,"Unknown")</f>
        <v>Female</v>
      </c>
    </row>
    <row r="157" spans="1:15" x14ac:dyDescent="0.3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1">
        <v>45664</v>
      </c>
      <c r="G157" s="1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f>orders[[#This Row],[Ship Date]]-orders[[#This Row],[Order Date]]</f>
        <v>1</v>
      </c>
      <c r="N157">
        <f>WEEKNUM(orders[[#This Row],[Order Date]])</f>
        <v>2</v>
      </c>
      <c r="O157" t="str" cm="1">
        <f t="array" ref="O157">_xlfn.IFS(orders[[#This Row],[Customer Gender]]="M","Male", orders[[#This Row],[Customer Gender]]="F","Female", orders[[#This Row],[Customer Gender]]="O","Other", TRUE,"Unknown")</f>
        <v>Female</v>
      </c>
    </row>
    <row r="158" spans="1:15" x14ac:dyDescent="0.3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1">
        <v>45664</v>
      </c>
      <c r="G158" s="1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f>orders[[#This Row],[Ship Date]]-orders[[#This Row],[Order Date]]</f>
        <v>4</v>
      </c>
      <c r="N158">
        <f>WEEKNUM(orders[[#This Row],[Order Date]])</f>
        <v>2</v>
      </c>
      <c r="O158" t="str" cm="1">
        <f t="array" ref="O158">_xlfn.IFS(orders[[#This Row],[Customer Gender]]="M","Male", orders[[#This Row],[Customer Gender]]="F","Female", orders[[#This Row],[Customer Gender]]="O","Other", TRUE,"Unknown")</f>
        <v>Female</v>
      </c>
    </row>
    <row r="159" spans="1:15" x14ac:dyDescent="0.3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1">
        <v>45664</v>
      </c>
      <c r="G159" s="1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f>orders[[#This Row],[Ship Date]]-orders[[#This Row],[Order Date]]</f>
        <v>1</v>
      </c>
      <c r="N159">
        <f>WEEKNUM(orders[[#This Row],[Order Date]])</f>
        <v>2</v>
      </c>
      <c r="O159" t="str" cm="1">
        <f t="array" ref="O159">_xlfn.IFS(orders[[#This Row],[Customer Gender]]="M","Male", orders[[#This Row],[Customer Gender]]="F","Female", orders[[#This Row],[Customer Gender]]="O","Other", TRUE,"Unknown")</f>
        <v>Female</v>
      </c>
    </row>
    <row r="160" spans="1:15" x14ac:dyDescent="0.3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1">
        <v>45664</v>
      </c>
      <c r="G160" s="1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f>orders[[#This Row],[Ship Date]]-orders[[#This Row],[Order Date]]</f>
        <v>5</v>
      </c>
      <c r="N160">
        <f>WEEKNUM(orders[[#This Row],[Order Date]])</f>
        <v>2</v>
      </c>
      <c r="O160" t="str" cm="1">
        <f t="array" ref="O160">_xlfn.IFS(orders[[#This Row],[Customer Gender]]="M","Male", orders[[#This Row],[Customer Gender]]="F","Female", orders[[#This Row],[Customer Gender]]="O","Other", TRUE,"Unknown")</f>
        <v>Female</v>
      </c>
    </row>
    <row r="161" spans="1:15" x14ac:dyDescent="0.3">
      <c r="A161" t="s">
        <v>232</v>
      </c>
      <c r="B161" t="s">
        <v>39</v>
      </c>
      <c r="C161">
        <v>5</v>
      </c>
      <c r="D161">
        <v>51.8</v>
      </c>
      <c r="E161">
        <v>259</v>
      </c>
      <c r="F161" s="1">
        <v>45664</v>
      </c>
      <c r="G161" s="1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f>orders[[#This Row],[Ship Date]]-orders[[#This Row],[Order Date]]</f>
        <v>1</v>
      </c>
      <c r="N161">
        <f>WEEKNUM(orders[[#This Row],[Order Date]])</f>
        <v>2</v>
      </c>
      <c r="O161" t="str" cm="1">
        <f t="array" ref="O161">_xlfn.IFS(orders[[#This Row],[Customer Gender]]="M","Male", orders[[#This Row],[Customer Gender]]="F","Female", orders[[#This Row],[Customer Gender]]="O","Other", TRUE,"Unknown")</f>
        <v>Male</v>
      </c>
    </row>
    <row r="162" spans="1:15" x14ac:dyDescent="0.3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1">
        <v>45664</v>
      </c>
      <c r="G162" s="1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f>orders[[#This Row],[Ship Date]]-orders[[#This Row],[Order Date]]</f>
        <v>1</v>
      </c>
      <c r="N162">
        <f>WEEKNUM(orders[[#This Row],[Order Date]])</f>
        <v>2</v>
      </c>
      <c r="O162" t="str" cm="1">
        <f t="array" ref="O162">_xlfn.IFS(orders[[#This Row],[Customer Gender]]="M","Male", orders[[#This Row],[Customer Gender]]="F","Female", orders[[#This Row],[Customer Gender]]="O","Other", TRUE,"Unknown")</f>
        <v>Female</v>
      </c>
    </row>
    <row r="163" spans="1:15" x14ac:dyDescent="0.3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1">
        <v>45664</v>
      </c>
      <c r="G163" s="1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f>orders[[#This Row],[Ship Date]]-orders[[#This Row],[Order Date]]</f>
        <v>1</v>
      </c>
      <c r="N163">
        <f>WEEKNUM(orders[[#This Row],[Order Date]])</f>
        <v>2</v>
      </c>
      <c r="O163" t="str" cm="1">
        <f t="array" ref="O163">_xlfn.IFS(orders[[#This Row],[Customer Gender]]="M","Male", orders[[#This Row],[Customer Gender]]="F","Female", orders[[#This Row],[Customer Gender]]="O","Other", TRUE,"Unknown")</f>
        <v>Male</v>
      </c>
    </row>
    <row r="164" spans="1:15" x14ac:dyDescent="0.3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1">
        <v>45664</v>
      </c>
      <c r="G164" s="1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f>orders[[#This Row],[Ship Date]]-orders[[#This Row],[Order Date]]</f>
        <v>1</v>
      </c>
      <c r="N164">
        <f>WEEKNUM(orders[[#This Row],[Order Date]])</f>
        <v>2</v>
      </c>
      <c r="O164" t="str" cm="1">
        <f t="array" ref="O164">_xlfn.IFS(orders[[#This Row],[Customer Gender]]="M","Male", orders[[#This Row],[Customer Gender]]="F","Female", orders[[#This Row],[Customer Gender]]="O","Other", TRUE,"Unknown")</f>
        <v>Unknown</v>
      </c>
    </row>
    <row r="165" spans="1:15" x14ac:dyDescent="0.3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1">
        <v>45664</v>
      </c>
      <c r="G165" s="1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f>orders[[#This Row],[Ship Date]]-orders[[#This Row],[Order Date]]</f>
        <v>1</v>
      </c>
      <c r="N165">
        <f>WEEKNUM(orders[[#This Row],[Order Date]])</f>
        <v>2</v>
      </c>
      <c r="O165" t="str" cm="1">
        <f t="array" ref="O165">_xlfn.IFS(orders[[#This Row],[Customer Gender]]="M","Male", orders[[#This Row],[Customer Gender]]="F","Female", orders[[#This Row],[Customer Gender]]="O","Other", TRUE,"Unknown")</f>
        <v>Female</v>
      </c>
    </row>
    <row r="166" spans="1:15" x14ac:dyDescent="0.3">
      <c r="A166" t="s">
        <v>237</v>
      </c>
      <c r="B166" t="s">
        <v>39</v>
      </c>
      <c r="C166">
        <v>3</v>
      </c>
      <c r="D166">
        <v>40</v>
      </c>
      <c r="E166">
        <v>120</v>
      </c>
      <c r="F166" s="1">
        <v>45664</v>
      </c>
      <c r="G166" s="1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f>orders[[#This Row],[Ship Date]]-orders[[#This Row],[Order Date]]</f>
        <v>3</v>
      </c>
      <c r="N166">
        <f>WEEKNUM(orders[[#This Row],[Order Date]])</f>
        <v>2</v>
      </c>
      <c r="O166" t="str" cm="1">
        <f t="array" ref="O166">_xlfn.IFS(orders[[#This Row],[Customer Gender]]="M","Male", orders[[#This Row],[Customer Gender]]="F","Female", orders[[#This Row],[Customer Gender]]="O","Other", TRUE,"Unknown")</f>
        <v>Male</v>
      </c>
    </row>
    <row r="167" spans="1:15" x14ac:dyDescent="0.3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1">
        <v>45664</v>
      </c>
      <c r="G167" s="1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f>orders[[#This Row],[Ship Date]]-orders[[#This Row],[Order Date]]</f>
        <v>5</v>
      </c>
      <c r="N167">
        <f>WEEKNUM(orders[[#This Row],[Order Date]])</f>
        <v>2</v>
      </c>
      <c r="O167" t="str" cm="1">
        <f t="array" ref="O167">_xlfn.IFS(orders[[#This Row],[Customer Gender]]="M","Male", orders[[#This Row],[Customer Gender]]="F","Female", orders[[#This Row],[Customer Gender]]="O","Other", TRUE,"Unknown")</f>
        <v>Female</v>
      </c>
    </row>
    <row r="168" spans="1:15" x14ac:dyDescent="0.3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1">
        <v>45664</v>
      </c>
      <c r="G168" s="1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f>orders[[#This Row],[Ship Date]]-orders[[#This Row],[Order Date]]</f>
        <v>2</v>
      </c>
      <c r="N168">
        <f>WEEKNUM(orders[[#This Row],[Order Date]])</f>
        <v>2</v>
      </c>
      <c r="O168" t="str" cm="1">
        <f t="array" ref="O168">_xlfn.IFS(orders[[#This Row],[Customer Gender]]="M","Male", orders[[#This Row],[Customer Gender]]="F","Female", orders[[#This Row],[Customer Gender]]="O","Other", TRUE,"Unknown")</f>
        <v>Female</v>
      </c>
    </row>
    <row r="169" spans="1:15" x14ac:dyDescent="0.3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1">
        <v>45664</v>
      </c>
      <c r="G169" s="1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f>orders[[#This Row],[Ship Date]]-orders[[#This Row],[Order Date]]</f>
        <v>4</v>
      </c>
      <c r="N169">
        <f>WEEKNUM(orders[[#This Row],[Order Date]])</f>
        <v>2</v>
      </c>
      <c r="O169" t="str" cm="1">
        <f t="array" ref="O169">_xlfn.IFS(orders[[#This Row],[Customer Gender]]="M","Male", orders[[#This Row],[Customer Gender]]="F","Female", orders[[#This Row],[Customer Gender]]="O","Other", TRUE,"Unknown")</f>
        <v>Female</v>
      </c>
    </row>
    <row r="170" spans="1:15" x14ac:dyDescent="0.3">
      <c r="A170" t="s">
        <v>241</v>
      </c>
      <c r="B170" t="s">
        <v>54</v>
      </c>
      <c r="C170">
        <v>2</v>
      </c>
      <c r="D170">
        <v>61</v>
      </c>
      <c r="E170">
        <v>122</v>
      </c>
      <c r="F170" s="1">
        <v>45664</v>
      </c>
      <c r="G170" s="1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f>orders[[#This Row],[Ship Date]]-orders[[#This Row],[Order Date]]</f>
        <v>11</v>
      </c>
      <c r="N170">
        <f>WEEKNUM(orders[[#This Row],[Order Date]])</f>
        <v>2</v>
      </c>
      <c r="O170" t="str" cm="1">
        <f t="array" ref="O170">_xlfn.IFS(orders[[#This Row],[Customer Gender]]="M","Male", orders[[#This Row],[Customer Gender]]="F","Female", orders[[#This Row],[Customer Gender]]="O","Other", TRUE,"Unknown")</f>
        <v>Female</v>
      </c>
    </row>
    <row r="171" spans="1:15" x14ac:dyDescent="0.3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1">
        <v>45664</v>
      </c>
      <c r="G171" s="1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f>orders[[#This Row],[Ship Date]]-orders[[#This Row],[Order Date]]</f>
        <v>3</v>
      </c>
      <c r="N171">
        <f>WEEKNUM(orders[[#This Row],[Order Date]])</f>
        <v>2</v>
      </c>
      <c r="O171" t="str" cm="1">
        <f t="array" ref="O171">_xlfn.IFS(orders[[#This Row],[Customer Gender]]="M","Male", orders[[#This Row],[Customer Gender]]="F","Female", orders[[#This Row],[Customer Gender]]="O","Other", TRUE,"Unknown")</f>
        <v>Female</v>
      </c>
    </row>
    <row r="172" spans="1:15" x14ac:dyDescent="0.3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1">
        <v>45664</v>
      </c>
      <c r="G172" s="1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f>orders[[#This Row],[Ship Date]]-orders[[#This Row],[Order Date]]</f>
        <v>0</v>
      </c>
      <c r="N172">
        <f>WEEKNUM(orders[[#This Row],[Order Date]])</f>
        <v>2</v>
      </c>
      <c r="O172" t="str" cm="1">
        <f t="array" ref="O172">_xlfn.IFS(orders[[#This Row],[Customer Gender]]="M","Male", orders[[#This Row],[Customer Gender]]="F","Female", orders[[#This Row],[Customer Gender]]="O","Other", TRUE,"Unknown")</f>
        <v>Female</v>
      </c>
    </row>
    <row r="173" spans="1:15" x14ac:dyDescent="0.3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1">
        <v>45664</v>
      </c>
      <c r="G173" s="1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f>orders[[#This Row],[Ship Date]]-orders[[#This Row],[Order Date]]</f>
        <v>2</v>
      </c>
      <c r="N173">
        <f>WEEKNUM(orders[[#This Row],[Order Date]])</f>
        <v>2</v>
      </c>
      <c r="O173" t="str" cm="1">
        <f t="array" ref="O173">_xlfn.IFS(orders[[#This Row],[Customer Gender]]="M","Male", orders[[#This Row],[Customer Gender]]="F","Female", orders[[#This Row],[Customer Gender]]="O","Other", TRUE,"Unknown")</f>
        <v>Male</v>
      </c>
    </row>
    <row r="174" spans="1:15" x14ac:dyDescent="0.3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1">
        <v>45664</v>
      </c>
      <c r="G174" s="1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f>orders[[#This Row],[Ship Date]]-orders[[#This Row],[Order Date]]</f>
        <v>3</v>
      </c>
      <c r="N174">
        <f>WEEKNUM(orders[[#This Row],[Order Date]])</f>
        <v>2</v>
      </c>
      <c r="O174" t="str" cm="1">
        <f t="array" ref="O174">_xlfn.IFS(orders[[#This Row],[Customer Gender]]="M","Male", orders[[#This Row],[Customer Gender]]="F","Female", orders[[#This Row],[Customer Gender]]="O","Other", TRUE,"Unknown")</f>
        <v>Male</v>
      </c>
    </row>
    <row r="175" spans="1:15" x14ac:dyDescent="0.3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1">
        <v>45664</v>
      </c>
      <c r="G175" s="1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f>orders[[#This Row],[Ship Date]]-orders[[#This Row],[Order Date]]</f>
        <v>2</v>
      </c>
      <c r="N175">
        <f>WEEKNUM(orders[[#This Row],[Order Date]])</f>
        <v>2</v>
      </c>
      <c r="O175" t="str" cm="1">
        <f t="array" ref="O175">_xlfn.IFS(orders[[#This Row],[Customer Gender]]="M","Male", orders[[#This Row],[Customer Gender]]="F","Female", orders[[#This Row],[Customer Gender]]="O","Other", TRUE,"Unknown")</f>
        <v>Female</v>
      </c>
    </row>
    <row r="176" spans="1:15" x14ac:dyDescent="0.3">
      <c r="A176" t="s">
        <v>248</v>
      </c>
      <c r="B176" t="s">
        <v>54</v>
      </c>
      <c r="C176">
        <v>2</v>
      </c>
      <c r="D176">
        <v>30.5</v>
      </c>
      <c r="E176">
        <v>61</v>
      </c>
      <c r="F176" s="1">
        <v>45664</v>
      </c>
      <c r="G176" s="1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f>orders[[#This Row],[Ship Date]]-orders[[#This Row],[Order Date]]</f>
        <v>1</v>
      </c>
      <c r="N176">
        <f>WEEKNUM(orders[[#This Row],[Order Date]])</f>
        <v>2</v>
      </c>
      <c r="O176" t="str" cm="1">
        <f t="array" ref="O176">_xlfn.IFS(orders[[#This Row],[Customer Gender]]="M","Male", orders[[#This Row],[Customer Gender]]="F","Female", orders[[#This Row],[Customer Gender]]="O","Other", TRUE,"Unknown")</f>
        <v>Female</v>
      </c>
    </row>
    <row r="177" spans="1:15" x14ac:dyDescent="0.3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1">
        <v>45664</v>
      </c>
      <c r="G177" s="1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f>orders[[#This Row],[Ship Date]]-orders[[#This Row],[Order Date]]</f>
        <v>0</v>
      </c>
      <c r="N177">
        <f>WEEKNUM(orders[[#This Row],[Order Date]])</f>
        <v>2</v>
      </c>
      <c r="O177" t="str" cm="1">
        <f t="array" ref="O177">_xlfn.IFS(orders[[#This Row],[Customer Gender]]="M","Male", orders[[#This Row],[Customer Gender]]="F","Female", orders[[#This Row],[Customer Gender]]="O","Other", TRUE,"Unknown")</f>
        <v>Female</v>
      </c>
    </row>
    <row r="178" spans="1:15" x14ac:dyDescent="0.3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1">
        <v>45664</v>
      </c>
      <c r="G178" s="1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f>orders[[#This Row],[Ship Date]]-orders[[#This Row],[Order Date]]</f>
        <v>0</v>
      </c>
      <c r="N178">
        <f>WEEKNUM(orders[[#This Row],[Order Date]])</f>
        <v>2</v>
      </c>
      <c r="O178" t="str" cm="1">
        <f t="array" ref="O178">_xlfn.IFS(orders[[#This Row],[Customer Gender]]="M","Male", orders[[#This Row],[Customer Gender]]="F","Female", orders[[#This Row],[Customer Gender]]="O","Other", TRUE,"Unknown")</f>
        <v>Female</v>
      </c>
    </row>
    <row r="179" spans="1:15" x14ac:dyDescent="0.3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1">
        <v>45664</v>
      </c>
      <c r="G179" s="1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f>orders[[#This Row],[Ship Date]]-orders[[#This Row],[Order Date]]</f>
        <v>1</v>
      </c>
      <c r="N179">
        <f>WEEKNUM(orders[[#This Row],[Order Date]])</f>
        <v>2</v>
      </c>
      <c r="O179" t="str" cm="1">
        <f t="array" ref="O179">_xlfn.IFS(orders[[#This Row],[Customer Gender]]="M","Male", orders[[#This Row],[Customer Gender]]="F","Female", orders[[#This Row],[Customer Gender]]="O","Other", TRUE,"Unknown")</f>
        <v>Male</v>
      </c>
    </row>
    <row r="180" spans="1:15" x14ac:dyDescent="0.3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1">
        <v>45664</v>
      </c>
      <c r="G180" s="1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f>orders[[#This Row],[Ship Date]]-orders[[#This Row],[Order Date]]</f>
        <v>5</v>
      </c>
      <c r="N180">
        <f>WEEKNUM(orders[[#This Row],[Order Date]])</f>
        <v>2</v>
      </c>
      <c r="O180" t="str" cm="1">
        <f t="array" ref="O180">_xlfn.IFS(orders[[#This Row],[Customer Gender]]="M","Male", orders[[#This Row],[Customer Gender]]="F","Female", orders[[#This Row],[Customer Gender]]="O","Other", TRUE,"Unknown")</f>
        <v>Female</v>
      </c>
    </row>
    <row r="181" spans="1:15" x14ac:dyDescent="0.3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1">
        <v>45664</v>
      </c>
      <c r="G181" s="1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f>orders[[#This Row],[Ship Date]]-orders[[#This Row],[Order Date]]</f>
        <v>4</v>
      </c>
      <c r="N181">
        <f>WEEKNUM(orders[[#This Row],[Order Date]])</f>
        <v>2</v>
      </c>
      <c r="O181" t="str" cm="1">
        <f t="array" ref="O181">_xlfn.IFS(orders[[#This Row],[Customer Gender]]="M","Male", orders[[#This Row],[Customer Gender]]="F","Female", orders[[#This Row],[Customer Gender]]="O","Other", TRUE,"Unknown")</f>
        <v>Unknown</v>
      </c>
    </row>
    <row r="182" spans="1:15" x14ac:dyDescent="0.3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1">
        <v>45664</v>
      </c>
      <c r="G182" s="1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f>orders[[#This Row],[Ship Date]]-orders[[#This Row],[Order Date]]</f>
        <v>1</v>
      </c>
      <c r="N182">
        <f>WEEKNUM(orders[[#This Row],[Order Date]])</f>
        <v>2</v>
      </c>
      <c r="O182" t="str" cm="1">
        <f t="array" ref="O182">_xlfn.IFS(orders[[#This Row],[Customer Gender]]="M","Male", orders[[#This Row],[Customer Gender]]="F","Female", orders[[#This Row],[Customer Gender]]="O","Other", TRUE,"Unknown")</f>
        <v>Female</v>
      </c>
    </row>
    <row r="183" spans="1:15" x14ac:dyDescent="0.3">
      <c r="A183" t="s">
        <v>255</v>
      </c>
      <c r="B183" t="s">
        <v>42</v>
      </c>
      <c r="C183">
        <v>7</v>
      </c>
      <c r="D183">
        <v>52</v>
      </c>
      <c r="E183">
        <v>364</v>
      </c>
      <c r="F183" s="1">
        <v>45664</v>
      </c>
      <c r="G183" s="1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f>orders[[#This Row],[Ship Date]]-orders[[#This Row],[Order Date]]</f>
        <v>1</v>
      </c>
      <c r="N183">
        <f>WEEKNUM(orders[[#This Row],[Order Date]])</f>
        <v>2</v>
      </c>
      <c r="O183" t="str" cm="1">
        <f t="array" ref="O183">_xlfn.IFS(orders[[#This Row],[Customer Gender]]="M","Male", orders[[#This Row],[Customer Gender]]="F","Female", orders[[#This Row],[Customer Gender]]="O","Other", TRUE,"Unknown")</f>
        <v>Male</v>
      </c>
    </row>
    <row r="184" spans="1:15" x14ac:dyDescent="0.3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1">
        <v>45665</v>
      </c>
      <c r="G184" s="1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f>orders[[#This Row],[Ship Date]]-orders[[#This Row],[Order Date]]</f>
        <v>4</v>
      </c>
      <c r="N184">
        <f>WEEKNUM(orders[[#This Row],[Order Date]])</f>
        <v>2</v>
      </c>
      <c r="O184" t="str" cm="1">
        <f t="array" ref="O184">_xlfn.IFS(orders[[#This Row],[Customer Gender]]="M","Male", orders[[#This Row],[Customer Gender]]="F","Female", orders[[#This Row],[Customer Gender]]="O","Other", TRUE,"Unknown")</f>
        <v>Female</v>
      </c>
    </row>
    <row r="185" spans="1:15" x14ac:dyDescent="0.3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1">
        <v>45665</v>
      </c>
      <c r="G185" s="1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f>orders[[#This Row],[Ship Date]]-orders[[#This Row],[Order Date]]</f>
        <v>1</v>
      </c>
      <c r="N185">
        <f>WEEKNUM(orders[[#This Row],[Order Date]])</f>
        <v>2</v>
      </c>
      <c r="O185" t="str" cm="1">
        <f t="array" ref="O185">_xlfn.IFS(orders[[#This Row],[Customer Gender]]="M","Male", orders[[#This Row],[Customer Gender]]="F","Female", orders[[#This Row],[Customer Gender]]="O","Other", TRUE,"Unknown")</f>
        <v>Female</v>
      </c>
    </row>
    <row r="186" spans="1:15" x14ac:dyDescent="0.3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1">
        <v>45665</v>
      </c>
      <c r="G186" s="1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f>orders[[#This Row],[Ship Date]]-orders[[#This Row],[Order Date]]</f>
        <v>1</v>
      </c>
      <c r="N186">
        <f>WEEKNUM(orders[[#This Row],[Order Date]])</f>
        <v>2</v>
      </c>
      <c r="O186" t="str" cm="1">
        <f t="array" ref="O186">_xlfn.IFS(orders[[#This Row],[Customer Gender]]="M","Male", orders[[#This Row],[Customer Gender]]="F","Female", orders[[#This Row],[Customer Gender]]="O","Other", TRUE,"Unknown")</f>
        <v>Male</v>
      </c>
    </row>
    <row r="187" spans="1:15" x14ac:dyDescent="0.3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1">
        <v>45665</v>
      </c>
      <c r="G187" s="1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f>orders[[#This Row],[Ship Date]]-orders[[#This Row],[Order Date]]</f>
        <v>5</v>
      </c>
      <c r="N187">
        <f>WEEKNUM(orders[[#This Row],[Order Date]])</f>
        <v>2</v>
      </c>
      <c r="O187" t="str" cm="1">
        <f t="array" ref="O187">_xlfn.IFS(orders[[#This Row],[Customer Gender]]="M","Male", orders[[#This Row],[Customer Gender]]="F","Female", orders[[#This Row],[Customer Gender]]="O","Other", TRUE,"Unknown")</f>
        <v>Male</v>
      </c>
    </row>
    <row r="188" spans="1:15" x14ac:dyDescent="0.3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1">
        <v>45665</v>
      </c>
      <c r="G188" s="1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f>orders[[#This Row],[Ship Date]]-orders[[#This Row],[Order Date]]</f>
        <v>0</v>
      </c>
      <c r="N188">
        <f>WEEKNUM(orders[[#This Row],[Order Date]])</f>
        <v>2</v>
      </c>
      <c r="O188" t="str" cm="1">
        <f t="array" ref="O188">_xlfn.IFS(orders[[#This Row],[Customer Gender]]="M","Male", orders[[#This Row],[Customer Gender]]="F","Female", orders[[#This Row],[Customer Gender]]="O","Other", TRUE,"Unknown")</f>
        <v>Female</v>
      </c>
    </row>
    <row r="189" spans="1:15" x14ac:dyDescent="0.3">
      <c r="A189" t="s">
        <v>262</v>
      </c>
      <c r="B189" t="s">
        <v>44</v>
      </c>
      <c r="C189">
        <v>19</v>
      </c>
      <c r="D189">
        <v>55</v>
      </c>
      <c r="E189">
        <v>1045</v>
      </c>
      <c r="F189" s="1">
        <v>45665</v>
      </c>
      <c r="G189" s="1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f>orders[[#This Row],[Ship Date]]-orders[[#This Row],[Order Date]]</f>
        <v>1</v>
      </c>
      <c r="N189">
        <f>WEEKNUM(orders[[#This Row],[Order Date]])</f>
        <v>2</v>
      </c>
      <c r="O189" t="str" cm="1">
        <f t="array" ref="O189">_xlfn.IFS(orders[[#This Row],[Customer Gender]]="M","Male", orders[[#This Row],[Customer Gender]]="F","Female", orders[[#This Row],[Customer Gender]]="O","Other", TRUE,"Unknown")</f>
        <v>Female</v>
      </c>
    </row>
    <row r="190" spans="1:15" x14ac:dyDescent="0.3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1">
        <v>45665</v>
      </c>
      <c r="G190" s="1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f>orders[[#This Row],[Ship Date]]-orders[[#This Row],[Order Date]]</f>
        <v>1</v>
      </c>
      <c r="N190">
        <f>WEEKNUM(orders[[#This Row],[Order Date]])</f>
        <v>2</v>
      </c>
      <c r="O190" t="str" cm="1">
        <f t="array" ref="O190">_xlfn.IFS(orders[[#This Row],[Customer Gender]]="M","Male", orders[[#This Row],[Customer Gender]]="F","Female", orders[[#This Row],[Customer Gender]]="O","Other", TRUE,"Unknown")</f>
        <v>Male</v>
      </c>
    </row>
    <row r="191" spans="1:15" x14ac:dyDescent="0.3">
      <c r="A191" t="s">
        <v>264</v>
      </c>
      <c r="B191" t="s">
        <v>69</v>
      </c>
      <c r="C191">
        <v>9</v>
      </c>
      <c r="D191">
        <v>104</v>
      </c>
      <c r="E191">
        <v>936</v>
      </c>
      <c r="F191" s="1">
        <v>45665</v>
      </c>
      <c r="G191" s="1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f>orders[[#This Row],[Ship Date]]-orders[[#This Row],[Order Date]]</f>
        <v>2</v>
      </c>
      <c r="N191">
        <f>WEEKNUM(orders[[#This Row],[Order Date]])</f>
        <v>2</v>
      </c>
      <c r="O191" t="str" cm="1">
        <f t="array" ref="O191">_xlfn.IFS(orders[[#This Row],[Customer Gender]]="M","Male", orders[[#This Row],[Customer Gender]]="F","Female", orders[[#This Row],[Customer Gender]]="O","Other", TRUE,"Unknown")</f>
        <v>Female</v>
      </c>
    </row>
    <row r="192" spans="1:15" x14ac:dyDescent="0.3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1">
        <v>45665</v>
      </c>
      <c r="G192" s="1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f>orders[[#This Row],[Ship Date]]-orders[[#This Row],[Order Date]]</f>
        <v>4</v>
      </c>
      <c r="N192">
        <f>WEEKNUM(orders[[#This Row],[Order Date]])</f>
        <v>2</v>
      </c>
      <c r="O192" t="str" cm="1">
        <f t="array" ref="O192">_xlfn.IFS(orders[[#This Row],[Customer Gender]]="M","Male", orders[[#This Row],[Customer Gender]]="F","Female", orders[[#This Row],[Customer Gender]]="O","Other", TRUE,"Unknown")</f>
        <v>Unknown</v>
      </c>
    </row>
    <row r="193" spans="1:15" x14ac:dyDescent="0.3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1">
        <v>45665</v>
      </c>
      <c r="G193" s="1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f>orders[[#This Row],[Ship Date]]-orders[[#This Row],[Order Date]]</f>
        <v>2</v>
      </c>
      <c r="N193">
        <f>WEEKNUM(orders[[#This Row],[Order Date]])</f>
        <v>2</v>
      </c>
      <c r="O193" t="str" cm="1">
        <f t="array" ref="O193">_xlfn.IFS(orders[[#This Row],[Customer Gender]]="M","Male", orders[[#This Row],[Customer Gender]]="F","Female", orders[[#This Row],[Customer Gender]]="O","Other", TRUE,"Unknown")</f>
        <v>Unknown</v>
      </c>
    </row>
    <row r="194" spans="1:15" x14ac:dyDescent="0.3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1">
        <v>45665</v>
      </c>
      <c r="G194" s="1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f>orders[[#This Row],[Ship Date]]-orders[[#This Row],[Order Date]]</f>
        <v>2</v>
      </c>
      <c r="N194">
        <f>WEEKNUM(orders[[#This Row],[Order Date]])</f>
        <v>2</v>
      </c>
      <c r="O194" t="str" cm="1">
        <f t="array" ref="O194">_xlfn.IFS(orders[[#This Row],[Customer Gender]]="M","Male", orders[[#This Row],[Customer Gender]]="F","Female", orders[[#This Row],[Customer Gender]]="O","Other", TRUE,"Unknown")</f>
        <v>Male</v>
      </c>
    </row>
    <row r="195" spans="1:15" x14ac:dyDescent="0.3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1">
        <v>45665</v>
      </c>
      <c r="G195" s="1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f>orders[[#This Row],[Ship Date]]-orders[[#This Row],[Order Date]]</f>
        <v>1</v>
      </c>
      <c r="N195">
        <f>WEEKNUM(orders[[#This Row],[Order Date]])</f>
        <v>2</v>
      </c>
      <c r="O195" t="str" cm="1">
        <f t="array" ref="O195">_xlfn.IFS(orders[[#This Row],[Customer Gender]]="M","Male", orders[[#This Row],[Customer Gender]]="F","Female", orders[[#This Row],[Customer Gender]]="O","Other", TRUE,"Unknown")</f>
        <v>Female</v>
      </c>
    </row>
    <row r="196" spans="1:15" x14ac:dyDescent="0.3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1">
        <v>45665</v>
      </c>
      <c r="G196" s="1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f>orders[[#This Row],[Ship Date]]-orders[[#This Row],[Order Date]]</f>
        <v>0</v>
      </c>
      <c r="N196">
        <f>WEEKNUM(orders[[#This Row],[Order Date]])</f>
        <v>2</v>
      </c>
      <c r="O196" t="str" cm="1">
        <f t="array" ref="O196">_xlfn.IFS(orders[[#This Row],[Customer Gender]]="M","Male", orders[[#This Row],[Customer Gender]]="F","Female", orders[[#This Row],[Customer Gender]]="O","Other", TRUE,"Unknown")</f>
        <v>Female</v>
      </c>
    </row>
    <row r="197" spans="1:15" x14ac:dyDescent="0.3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1">
        <v>45665</v>
      </c>
      <c r="G197" s="1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f>orders[[#This Row],[Ship Date]]-orders[[#This Row],[Order Date]]</f>
        <v>2</v>
      </c>
      <c r="N197">
        <f>WEEKNUM(orders[[#This Row],[Order Date]])</f>
        <v>2</v>
      </c>
      <c r="O197" t="str" cm="1">
        <f t="array" ref="O197">_xlfn.IFS(orders[[#This Row],[Customer Gender]]="M","Male", orders[[#This Row],[Customer Gender]]="F","Female", orders[[#This Row],[Customer Gender]]="O","Other", TRUE,"Unknown")</f>
        <v>Female</v>
      </c>
    </row>
    <row r="198" spans="1:15" x14ac:dyDescent="0.3">
      <c r="A198" t="s">
        <v>272</v>
      </c>
      <c r="B198" t="s">
        <v>44</v>
      </c>
      <c r="C198">
        <v>8</v>
      </c>
      <c r="D198">
        <v>41</v>
      </c>
      <c r="E198">
        <v>328</v>
      </c>
      <c r="F198" s="1">
        <v>45665</v>
      </c>
      <c r="G198" s="1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f>orders[[#This Row],[Ship Date]]-orders[[#This Row],[Order Date]]</f>
        <v>0</v>
      </c>
      <c r="N198">
        <f>WEEKNUM(orders[[#This Row],[Order Date]])</f>
        <v>2</v>
      </c>
      <c r="O198" t="str" cm="1">
        <f t="array" ref="O198">_xlfn.IFS(orders[[#This Row],[Customer Gender]]="M","Male", orders[[#This Row],[Customer Gender]]="F","Female", orders[[#This Row],[Customer Gender]]="O","Other", TRUE,"Unknown")</f>
        <v>Female</v>
      </c>
    </row>
    <row r="199" spans="1:15" x14ac:dyDescent="0.3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1">
        <v>45665</v>
      </c>
      <c r="G199" s="1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f>orders[[#This Row],[Ship Date]]-orders[[#This Row],[Order Date]]</f>
        <v>3</v>
      </c>
      <c r="N199">
        <f>WEEKNUM(orders[[#This Row],[Order Date]])</f>
        <v>2</v>
      </c>
      <c r="O199" t="str" cm="1">
        <f t="array" ref="O199">_xlfn.IFS(orders[[#This Row],[Customer Gender]]="M","Male", orders[[#This Row],[Customer Gender]]="F","Female", orders[[#This Row],[Customer Gender]]="O","Other", TRUE,"Unknown")</f>
        <v>Female</v>
      </c>
    </row>
    <row r="200" spans="1:15" x14ac:dyDescent="0.3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1">
        <v>45665</v>
      </c>
      <c r="G200" s="1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f>orders[[#This Row],[Ship Date]]-orders[[#This Row],[Order Date]]</f>
        <v>1</v>
      </c>
      <c r="N200">
        <f>WEEKNUM(orders[[#This Row],[Order Date]])</f>
        <v>2</v>
      </c>
      <c r="O200" t="str" cm="1">
        <f t="array" ref="O200">_xlfn.IFS(orders[[#This Row],[Customer Gender]]="M","Male", orders[[#This Row],[Customer Gender]]="F","Female", orders[[#This Row],[Customer Gender]]="O","Other", TRUE,"Unknown")</f>
        <v>Male</v>
      </c>
    </row>
    <row r="201" spans="1:15" x14ac:dyDescent="0.3">
      <c r="A201" t="s">
        <v>275</v>
      </c>
      <c r="B201" t="s">
        <v>37</v>
      </c>
      <c r="C201">
        <v>2</v>
      </c>
      <c r="D201">
        <v>69.5</v>
      </c>
      <c r="E201">
        <v>139</v>
      </c>
      <c r="F201" s="1">
        <v>45665</v>
      </c>
      <c r="G201" s="1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f>orders[[#This Row],[Ship Date]]-orders[[#This Row],[Order Date]]</f>
        <v>2</v>
      </c>
      <c r="N201">
        <f>WEEKNUM(orders[[#This Row],[Order Date]])</f>
        <v>2</v>
      </c>
      <c r="O201" t="str" cm="1">
        <f t="array" ref="O201">_xlfn.IFS(orders[[#This Row],[Customer Gender]]="M","Male", orders[[#This Row],[Customer Gender]]="F","Female", orders[[#This Row],[Customer Gender]]="O","Other", TRUE,"Unknown")</f>
        <v>Male</v>
      </c>
    </row>
    <row r="202" spans="1:15" x14ac:dyDescent="0.3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1">
        <v>45665</v>
      </c>
      <c r="G202" s="1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f>orders[[#This Row],[Ship Date]]-orders[[#This Row],[Order Date]]</f>
        <v>3</v>
      </c>
      <c r="N202">
        <f>WEEKNUM(orders[[#This Row],[Order Date]])</f>
        <v>2</v>
      </c>
      <c r="O202" t="str" cm="1">
        <f t="array" ref="O202">_xlfn.IFS(orders[[#This Row],[Customer Gender]]="M","Male", orders[[#This Row],[Customer Gender]]="F","Female", orders[[#This Row],[Customer Gender]]="O","Other", TRUE,"Unknown")</f>
        <v>Male</v>
      </c>
    </row>
    <row r="203" spans="1:15" x14ac:dyDescent="0.3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1">
        <v>45665</v>
      </c>
      <c r="G203" s="1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f>orders[[#This Row],[Ship Date]]-orders[[#This Row],[Order Date]]</f>
        <v>8</v>
      </c>
      <c r="N203">
        <f>WEEKNUM(orders[[#This Row],[Order Date]])</f>
        <v>2</v>
      </c>
      <c r="O203" t="str" cm="1">
        <f t="array" ref="O203">_xlfn.IFS(orders[[#This Row],[Customer Gender]]="M","Male", orders[[#This Row],[Customer Gender]]="F","Female", orders[[#This Row],[Customer Gender]]="O","Other", TRUE,"Unknown")</f>
        <v>Male</v>
      </c>
    </row>
    <row r="204" spans="1:15" x14ac:dyDescent="0.3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1">
        <v>45666</v>
      </c>
      <c r="G204" s="1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f>orders[[#This Row],[Ship Date]]-orders[[#This Row],[Order Date]]</f>
        <v>1</v>
      </c>
      <c r="N204">
        <f>WEEKNUM(orders[[#This Row],[Order Date]])</f>
        <v>2</v>
      </c>
      <c r="O204" t="str" cm="1">
        <f t="array" ref="O204">_xlfn.IFS(orders[[#This Row],[Customer Gender]]="M","Male", orders[[#This Row],[Customer Gender]]="F","Female", orders[[#This Row],[Customer Gender]]="O","Other", TRUE,"Unknown")</f>
        <v>Female</v>
      </c>
    </row>
    <row r="205" spans="1:15" x14ac:dyDescent="0.3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1">
        <v>45666</v>
      </c>
      <c r="G205" s="1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f>orders[[#This Row],[Ship Date]]-orders[[#This Row],[Order Date]]</f>
        <v>3</v>
      </c>
      <c r="N205">
        <f>WEEKNUM(orders[[#This Row],[Order Date]])</f>
        <v>2</v>
      </c>
      <c r="O205" t="str" cm="1">
        <f t="array" ref="O205">_xlfn.IFS(orders[[#This Row],[Customer Gender]]="M","Male", orders[[#This Row],[Customer Gender]]="F","Female", orders[[#This Row],[Customer Gender]]="O","Other", TRUE,"Unknown")</f>
        <v>Female</v>
      </c>
    </row>
    <row r="206" spans="1:15" x14ac:dyDescent="0.3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1">
        <v>45666</v>
      </c>
      <c r="G206" s="1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f>orders[[#This Row],[Ship Date]]-orders[[#This Row],[Order Date]]</f>
        <v>4</v>
      </c>
      <c r="N206">
        <f>WEEKNUM(orders[[#This Row],[Order Date]])</f>
        <v>2</v>
      </c>
      <c r="O206" t="str" cm="1">
        <f t="array" ref="O206">_xlfn.IFS(orders[[#This Row],[Customer Gender]]="M","Male", orders[[#This Row],[Customer Gender]]="F","Female", orders[[#This Row],[Customer Gender]]="O","Other", TRUE,"Unknown")</f>
        <v>Female</v>
      </c>
    </row>
    <row r="207" spans="1:15" x14ac:dyDescent="0.3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1">
        <v>45666</v>
      </c>
      <c r="G207" s="1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f>orders[[#This Row],[Ship Date]]-orders[[#This Row],[Order Date]]</f>
        <v>1</v>
      </c>
      <c r="N207">
        <f>WEEKNUM(orders[[#This Row],[Order Date]])</f>
        <v>2</v>
      </c>
      <c r="O207" t="str" cm="1">
        <f t="array" ref="O207">_xlfn.IFS(orders[[#This Row],[Customer Gender]]="M","Male", orders[[#This Row],[Customer Gender]]="F","Female", orders[[#This Row],[Customer Gender]]="O","Other", TRUE,"Unknown")</f>
        <v>Female</v>
      </c>
    </row>
    <row r="208" spans="1:15" x14ac:dyDescent="0.3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1">
        <v>45666</v>
      </c>
      <c r="G208" s="1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f>orders[[#This Row],[Ship Date]]-orders[[#This Row],[Order Date]]</f>
        <v>0</v>
      </c>
      <c r="N208">
        <f>WEEKNUM(orders[[#This Row],[Order Date]])</f>
        <v>2</v>
      </c>
      <c r="O208" t="str" cm="1">
        <f t="array" ref="O208">_xlfn.IFS(orders[[#This Row],[Customer Gender]]="M","Male", orders[[#This Row],[Customer Gender]]="F","Female", orders[[#This Row],[Customer Gender]]="O","Other", TRUE,"Unknown")</f>
        <v>Female</v>
      </c>
    </row>
    <row r="209" spans="1:15" x14ac:dyDescent="0.3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1">
        <v>45666</v>
      </c>
      <c r="G209" s="1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f>orders[[#This Row],[Ship Date]]-orders[[#This Row],[Order Date]]</f>
        <v>4</v>
      </c>
      <c r="N209">
        <f>WEEKNUM(orders[[#This Row],[Order Date]])</f>
        <v>2</v>
      </c>
      <c r="O209" t="str" cm="1">
        <f t="array" ref="O209">_xlfn.IFS(orders[[#This Row],[Customer Gender]]="M","Male", orders[[#This Row],[Customer Gender]]="F","Female", orders[[#This Row],[Customer Gender]]="O","Other", TRUE,"Unknown")</f>
        <v>Female</v>
      </c>
    </row>
    <row r="210" spans="1:15" x14ac:dyDescent="0.3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1">
        <v>45666</v>
      </c>
      <c r="G210" s="1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f>orders[[#This Row],[Ship Date]]-orders[[#This Row],[Order Date]]</f>
        <v>3</v>
      </c>
      <c r="N210">
        <f>WEEKNUM(orders[[#This Row],[Order Date]])</f>
        <v>2</v>
      </c>
      <c r="O210" t="str" cm="1">
        <f t="array" ref="O210">_xlfn.IFS(orders[[#This Row],[Customer Gender]]="M","Male", orders[[#This Row],[Customer Gender]]="F","Female", orders[[#This Row],[Customer Gender]]="O","Other", TRUE,"Unknown")</f>
        <v>Female</v>
      </c>
    </row>
    <row r="211" spans="1:15" x14ac:dyDescent="0.3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1">
        <v>45666</v>
      </c>
      <c r="G211" s="1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f>orders[[#This Row],[Ship Date]]-orders[[#This Row],[Order Date]]</f>
        <v>1</v>
      </c>
      <c r="N211">
        <f>WEEKNUM(orders[[#This Row],[Order Date]])</f>
        <v>2</v>
      </c>
      <c r="O211" t="str" cm="1">
        <f t="array" ref="O211">_xlfn.IFS(orders[[#This Row],[Customer Gender]]="M","Male", orders[[#This Row],[Customer Gender]]="F","Female", orders[[#This Row],[Customer Gender]]="O","Other", TRUE,"Unknown")</f>
        <v>Male</v>
      </c>
    </row>
    <row r="212" spans="1:15" x14ac:dyDescent="0.3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1">
        <v>45666</v>
      </c>
      <c r="G212" s="1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f>orders[[#This Row],[Ship Date]]-orders[[#This Row],[Order Date]]</f>
        <v>0</v>
      </c>
      <c r="N212">
        <f>WEEKNUM(orders[[#This Row],[Order Date]])</f>
        <v>2</v>
      </c>
      <c r="O212" t="str" cm="1">
        <f t="array" ref="O212">_xlfn.IFS(orders[[#This Row],[Customer Gender]]="M","Male", orders[[#This Row],[Customer Gender]]="F","Female", orders[[#This Row],[Customer Gender]]="O","Other", TRUE,"Unknown")</f>
        <v>Female</v>
      </c>
    </row>
    <row r="213" spans="1:15" x14ac:dyDescent="0.3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1">
        <v>45666</v>
      </c>
      <c r="G213" s="1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f>orders[[#This Row],[Ship Date]]-orders[[#This Row],[Order Date]]</f>
        <v>3</v>
      </c>
      <c r="N213">
        <f>WEEKNUM(orders[[#This Row],[Order Date]])</f>
        <v>2</v>
      </c>
      <c r="O213" t="str" cm="1">
        <f t="array" ref="O213">_xlfn.IFS(orders[[#This Row],[Customer Gender]]="M","Male", orders[[#This Row],[Customer Gender]]="F","Female", orders[[#This Row],[Customer Gender]]="O","Other", TRUE,"Unknown")</f>
        <v>Female</v>
      </c>
    </row>
    <row r="214" spans="1:15" x14ac:dyDescent="0.3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1">
        <v>45666</v>
      </c>
      <c r="G214" s="1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f>orders[[#This Row],[Ship Date]]-orders[[#This Row],[Order Date]]</f>
        <v>1</v>
      </c>
      <c r="N214">
        <f>WEEKNUM(orders[[#This Row],[Order Date]])</f>
        <v>2</v>
      </c>
      <c r="O214" t="str" cm="1">
        <f t="array" ref="O214">_xlfn.IFS(orders[[#This Row],[Customer Gender]]="M","Male", orders[[#This Row],[Customer Gender]]="F","Female", orders[[#This Row],[Customer Gender]]="O","Other", TRUE,"Unknown")</f>
        <v>Male</v>
      </c>
    </row>
    <row r="215" spans="1:15" x14ac:dyDescent="0.3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1">
        <v>45666</v>
      </c>
      <c r="G215" s="1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f>orders[[#This Row],[Ship Date]]-orders[[#This Row],[Order Date]]</f>
        <v>0</v>
      </c>
      <c r="N215">
        <f>WEEKNUM(orders[[#This Row],[Order Date]])</f>
        <v>2</v>
      </c>
      <c r="O215" t="str" cm="1">
        <f t="array" ref="O215">_xlfn.IFS(orders[[#This Row],[Customer Gender]]="M","Male", orders[[#This Row],[Customer Gender]]="F","Female", orders[[#This Row],[Customer Gender]]="O","Other", TRUE,"Unknown")</f>
        <v>Female</v>
      </c>
    </row>
    <row r="216" spans="1:15" x14ac:dyDescent="0.3">
      <c r="A216" t="s">
        <v>290</v>
      </c>
      <c r="B216" t="s">
        <v>128</v>
      </c>
      <c r="C216">
        <v>4</v>
      </c>
      <c r="D216">
        <v>69</v>
      </c>
      <c r="E216">
        <v>276</v>
      </c>
      <c r="F216" s="1">
        <v>45666</v>
      </c>
      <c r="G216" s="1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f>orders[[#This Row],[Ship Date]]-orders[[#This Row],[Order Date]]</f>
        <v>2</v>
      </c>
      <c r="N216">
        <f>WEEKNUM(orders[[#This Row],[Order Date]])</f>
        <v>2</v>
      </c>
      <c r="O216" t="str" cm="1">
        <f t="array" ref="O216">_xlfn.IFS(orders[[#This Row],[Customer Gender]]="M","Male", orders[[#This Row],[Customer Gender]]="F","Female", orders[[#This Row],[Customer Gender]]="O","Other", TRUE,"Unknown")</f>
        <v>Female</v>
      </c>
    </row>
    <row r="217" spans="1:15" x14ac:dyDescent="0.3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1">
        <v>45666</v>
      </c>
      <c r="G217" s="1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f>orders[[#This Row],[Ship Date]]-orders[[#This Row],[Order Date]]</f>
        <v>2</v>
      </c>
      <c r="N217">
        <f>WEEKNUM(orders[[#This Row],[Order Date]])</f>
        <v>2</v>
      </c>
      <c r="O217" t="str" cm="1">
        <f t="array" ref="O217">_xlfn.IFS(orders[[#This Row],[Customer Gender]]="M","Male", orders[[#This Row],[Customer Gender]]="F","Female", orders[[#This Row],[Customer Gender]]="O","Other", TRUE,"Unknown")</f>
        <v>Female</v>
      </c>
    </row>
    <row r="218" spans="1:15" x14ac:dyDescent="0.3">
      <c r="A218" t="s">
        <v>293</v>
      </c>
      <c r="B218" t="s">
        <v>22</v>
      </c>
      <c r="C218">
        <v>5</v>
      </c>
      <c r="D218">
        <v>97.4</v>
      </c>
      <c r="E218">
        <v>487</v>
      </c>
      <c r="F218" s="1">
        <v>45666</v>
      </c>
      <c r="G218" s="1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f>orders[[#This Row],[Ship Date]]-orders[[#This Row],[Order Date]]</f>
        <v>4</v>
      </c>
      <c r="N218">
        <f>WEEKNUM(orders[[#This Row],[Order Date]])</f>
        <v>2</v>
      </c>
      <c r="O218" t="str" cm="1">
        <f t="array" ref="O218">_xlfn.IFS(orders[[#This Row],[Customer Gender]]="M","Male", orders[[#This Row],[Customer Gender]]="F","Female", orders[[#This Row],[Customer Gender]]="O","Other", TRUE,"Unknown")</f>
        <v>Female</v>
      </c>
    </row>
    <row r="219" spans="1:15" x14ac:dyDescent="0.3">
      <c r="A219" t="s">
        <v>294</v>
      </c>
      <c r="B219" t="s">
        <v>44</v>
      </c>
      <c r="C219">
        <v>5</v>
      </c>
      <c r="D219">
        <v>21</v>
      </c>
      <c r="E219">
        <v>105</v>
      </c>
      <c r="F219" s="1">
        <v>45666</v>
      </c>
      <c r="G219" s="1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f>orders[[#This Row],[Ship Date]]-orders[[#This Row],[Order Date]]</f>
        <v>1</v>
      </c>
      <c r="N219">
        <f>WEEKNUM(orders[[#This Row],[Order Date]])</f>
        <v>2</v>
      </c>
      <c r="O219" t="str" cm="1">
        <f t="array" ref="O219">_xlfn.IFS(orders[[#This Row],[Customer Gender]]="M","Male", orders[[#This Row],[Customer Gender]]="F","Female", orders[[#This Row],[Customer Gender]]="O","Other", TRUE,"Unknown")</f>
        <v>Male</v>
      </c>
    </row>
    <row r="220" spans="1:15" x14ac:dyDescent="0.3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1">
        <v>45667</v>
      </c>
      <c r="G220" s="1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f>orders[[#This Row],[Ship Date]]-orders[[#This Row],[Order Date]]</f>
        <v>3</v>
      </c>
      <c r="N220">
        <f>WEEKNUM(orders[[#This Row],[Order Date]])</f>
        <v>2</v>
      </c>
      <c r="O220" t="str" cm="1">
        <f t="array" ref="O220">_xlfn.IFS(orders[[#This Row],[Customer Gender]]="M","Male", orders[[#This Row],[Customer Gender]]="F","Female", orders[[#This Row],[Customer Gender]]="O","Other", TRUE,"Unknown")</f>
        <v>Female</v>
      </c>
    </row>
    <row r="221" spans="1:15" x14ac:dyDescent="0.3">
      <c r="A221" t="s">
        <v>296</v>
      </c>
      <c r="B221" t="s">
        <v>39</v>
      </c>
      <c r="C221">
        <v>4</v>
      </c>
      <c r="D221">
        <v>48</v>
      </c>
      <c r="E221">
        <v>192</v>
      </c>
      <c r="F221" s="1">
        <v>45667</v>
      </c>
      <c r="G221" s="1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f>orders[[#This Row],[Ship Date]]-orders[[#This Row],[Order Date]]</f>
        <v>1</v>
      </c>
      <c r="N221">
        <f>WEEKNUM(orders[[#This Row],[Order Date]])</f>
        <v>2</v>
      </c>
      <c r="O221" t="str" cm="1">
        <f t="array" ref="O221">_xlfn.IFS(orders[[#This Row],[Customer Gender]]="M","Male", orders[[#This Row],[Customer Gender]]="F","Female", orders[[#This Row],[Customer Gender]]="O","Other", TRUE,"Unknown")</f>
        <v>Male</v>
      </c>
    </row>
    <row r="222" spans="1:15" x14ac:dyDescent="0.3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1">
        <v>45667</v>
      </c>
      <c r="G222" s="1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f>orders[[#This Row],[Ship Date]]-orders[[#This Row],[Order Date]]</f>
        <v>4</v>
      </c>
      <c r="N222">
        <f>WEEKNUM(orders[[#This Row],[Order Date]])</f>
        <v>2</v>
      </c>
      <c r="O222" t="str" cm="1">
        <f t="array" ref="O222">_xlfn.IFS(orders[[#This Row],[Customer Gender]]="M","Male", orders[[#This Row],[Customer Gender]]="F","Female", orders[[#This Row],[Customer Gender]]="O","Other", TRUE,"Unknown")</f>
        <v>Unknown</v>
      </c>
    </row>
    <row r="223" spans="1:15" x14ac:dyDescent="0.3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1">
        <v>45667</v>
      </c>
      <c r="G223" s="1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f>orders[[#This Row],[Ship Date]]-orders[[#This Row],[Order Date]]</f>
        <v>2</v>
      </c>
      <c r="N223">
        <f>WEEKNUM(orders[[#This Row],[Order Date]])</f>
        <v>2</v>
      </c>
      <c r="O223" t="str" cm="1">
        <f t="array" ref="O223">_xlfn.IFS(orders[[#This Row],[Customer Gender]]="M","Male", orders[[#This Row],[Customer Gender]]="F","Female", orders[[#This Row],[Customer Gender]]="O","Other", TRUE,"Unknown")</f>
        <v>Male</v>
      </c>
    </row>
    <row r="224" spans="1:15" x14ac:dyDescent="0.3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1">
        <v>45667</v>
      </c>
      <c r="G224" s="1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f>orders[[#This Row],[Ship Date]]-orders[[#This Row],[Order Date]]</f>
        <v>1</v>
      </c>
      <c r="N224">
        <f>WEEKNUM(orders[[#This Row],[Order Date]])</f>
        <v>2</v>
      </c>
      <c r="O224" t="str" cm="1">
        <f t="array" ref="O224">_xlfn.IFS(orders[[#This Row],[Customer Gender]]="M","Male", orders[[#This Row],[Customer Gender]]="F","Female", orders[[#This Row],[Customer Gender]]="O","Other", TRUE,"Unknown")</f>
        <v>Female</v>
      </c>
    </row>
    <row r="225" spans="1:15" x14ac:dyDescent="0.3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1">
        <v>45667</v>
      </c>
      <c r="G225" s="1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f>orders[[#This Row],[Ship Date]]-orders[[#This Row],[Order Date]]</f>
        <v>4</v>
      </c>
      <c r="N225">
        <f>WEEKNUM(orders[[#This Row],[Order Date]])</f>
        <v>2</v>
      </c>
      <c r="O225" t="str" cm="1">
        <f t="array" ref="O225">_xlfn.IFS(orders[[#This Row],[Customer Gender]]="M","Male", orders[[#This Row],[Customer Gender]]="F","Female", orders[[#This Row],[Customer Gender]]="O","Other", TRUE,"Unknown")</f>
        <v>Female</v>
      </c>
    </row>
    <row r="226" spans="1:15" x14ac:dyDescent="0.3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1">
        <v>45667</v>
      </c>
      <c r="G226" s="1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f>orders[[#This Row],[Ship Date]]-orders[[#This Row],[Order Date]]</f>
        <v>5</v>
      </c>
      <c r="N226">
        <f>WEEKNUM(orders[[#This Row],[Order Date]])</f>
        <v>2</v>
      </c>
      <c r="O226" t="str" cm="1">
        <f t="array" ref="O226">_xlfn.IFS(orders[[#This Row],[Customer Gender]]="M","Male", orders[[#This Row],[Customer Gender]]="F","Female", orders[[#This Row],[Customer Gender]]="O","Other", TRUE,"Unknown")</f>
        <v>Male</v>
      </c>
    </row>
    <row r="227" spans="1:15" x14ac:dyDescent="0.3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1">
        <v>45667</v>
      </c>
      <c r="G227" s="1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f>orders[[#This Row],[Ship Date]]-orders[[#This Row],[Order Date]]</f>
        <v>0</v>
      </c>
      <c r="N227">
        <f>WEEKNUM(orders[[#This Row],[Order Date]])</f>
        <v>2</v>
      </c>
      <c r="O227" t="str" cm="1">
        <f t="array" ref="O227">_xlfn.IFS(orders[[#This Row],[Customer Gender]]="M","Male", orders[[#This Row],[Customer Gender]]="F","Female", orders[[#This Row],[Customer Gender]]="O","Other", TRUE,"Unknown")</f>
        <v>Female</v>
      </c>
    </row>
    <row r="228" spans="1:15" x14ac:dyDescent="0.3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1">
        <v>45667</v>
      </c>
      <c r="G228" s="1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f>orders[[#This Row],[Ship Date]]-orders[[#This Row],[Order Date]]</f>
        <v>5</v>
      </c>
      <c r="N228">
        <f>WEEKNUM(orders[[#This Row],[Order Date]])</f>
        <v>2</v>
      </c>
      <c r="O228" t="str" cm="1">
        <f t="array" ref="O228">_xlfn.IFS(orders[[#This Row],[Customer Gender]]="M","Male", orders[[#This Row],[Customer Gender]]="F","Female", orders[[#This Row],[Customer Gender]]="O","Other", TRUE,"Unknown")</f>
        <v>Male</v>
      </c>
    </row>
    <row r="229" spans="1:15" x14ac:dyDescent="0.3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1">
        <v>45667</v>
      </c>
      <c r="G229" s="1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f>orders[[#This Row],[Ship Date]]-orders[[#This Row],[Order Date]]</f>
        <v>5</v>
      </c>
      <c r="N229">
        <f>WEEKNUM(orders[[#This Row],[Order Date]])</f>
        <v>2</v>
      </c>
      <c r="O229" t="str" cm="1">
        <f t="array" ref="O229">_xlfn.IFS(orders[[#This Row],[Customer Gender]]="M","Male", orders[[#This Row],[Customer Gender]]="F","Female", orders[[#This Row],[Customer Gender]]="O","Other", TRUE,"Unknown")</f>
        <v>Female</v>
      </c>
    </row>
    <row r="230" spans="1:15" x14ac:dyDescent="0.3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1">
        <v>45667</v>
      </c>
      <c r="G230" s="1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f>orders[[#This Row],[Ship Date]]-orders[[#This Row],[Order Date]]</f>
        <v>5</v>
      </c>
      <c r="N230">
        <f>WEEKNUM(orders[[#This Row],[Order Date]])</f>
        <v>2</v>
      </c>
      <c r="O230" t="str" cm="1">
        <f t="array" ref="O230">_xlfn.IFS(orders[[#This Row],[Customer Gender]]="M","Male", orders[[#This Row],[Customer Gender]]="F","Female", orders[[#This Row],[Customer Gender]]="O","Other", TRUE,"Unknown")</f>
        <v>Female</v>
      </c>
    </row>
    <row r="231" spans="1:15" x14ac:dyDescent="0.3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1">
        <v>45667</v>
      </c>
      <c r="G231" s="1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f>orders[[#This Row],[Ship Date]]-orders[[#This Row],[Order Date]]</f>
        <v>1</v>
      </c>
      <c r="N231">
        <f>WEEKNUM(orders[[#This Row],[Order Date]])</f>
        <v>2</v>
      </c>
      <c r="O231" t="str" cm="1">
        <f t="array" ref="O231">_xlfn.IFS(orders[[#This Row],[Customer Gender]]="M","Male", orders[[#This Row],[Customer Gender]]="F","Female", orders[[#This Row],[Customer Gender]]="O","Other", TRUE,"Unknown")</f>
        <v>Male</v>
      </c>
    </row>
    <row r="232" spans="1:15" x14ac:dyDescent="0.3">
      <c r="A232" t="s">
        <v>307</v>
      </c>
      <c r="B232" t="s">
        <v>39</v>
      </c>
      <c r="C232">
        <v>1</v>
      </c>
      <c r="D232">
        <v>62</v>
      </c>
      <c r="E232">
        <v>62</v>
      </c>
      <c r="F232" s="1">
        <v>45667</v>
      </c>
      <c r="G232" s="1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f>orders[[#This Row],[Ship Date]]-orders[[#This Row],[Order Date]]</f>
        <v>4</v>
      </c>
      <c r="N232">
        <f>WEEKNUM(orders[[#This Row],[Order Date]])</f>
        <v>2</v>
      </c>
      <c r="O232" t="str" cm="1">
        <f t="array" ref="O232">_xlfn.IFS(orders[[#This Row],[Customer Gender]]="M","Male", orders[[#This Row],[Customer Gender]]="F","Female", orders[[#This Row],[Customer Gender]]="O","Other", TRUE,"Unknown")</f>
        <v>Female</v>
      </c>
    </row>
    <row r="233" spans="1:15" x14ac:dyDescent="0.3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1">
        <v>45667</v>
      </c>
      <c r="G233" s="1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f>orders[[#This Row],[Ship Date]]-orders[[#This Row],[Order Date]]</f>
        <v>1</v>
      </c>
      <c r="N233">
        <f>WEEKNUM(orders[[#This Row],[Order Date]])</f>
        <v>2</v>
      </c>
      <c r="O233" t="str" cm="1">
        <f t="array" ref="O233">_xlfn.IFS(orders[[#This Row],[Customer Gender]]="M","Male", orders[[#This Row],[Customer Gender]]="F","Female", orders[[#This Row],[Customer Gender]]="O","Other", TRUE,"Unknown")</f>
        <v>Female</v>
      </c>
    </row>
    <row r="234" spans="1:15" x14ac:dyDescent="0.3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1">
        <v>45667</v>
      </c>
      <c r="G234" s="1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f>orders[[#This Row],[Ship Date]]-orders[[#This Row],[Order Date]]</f>
        <v>0</v>
      </c>
      <c r="N234">
        <f>WEEKNUM(orders[[#This Row],[Order Date]])</f>
        <v>2</v>
      </c>
      <c r="O234" t="str" cm="1">
        <f t="array" ref="O234">_xlfn.IFS(orders[[#This Row],[Customer Gender]]="M","Male", orders[[#This Row],[Customer Gender]]="F","Female", orders[[#This Row],[Customer Gender]]="O","Other", TRUE,"Unknown")</f>
        <v>Male</v>
      </c>
    </row>
    <row r="235" spans="1:15" x14ac:dyDescent="0.3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1">
        <v>45667</v>
      </c>
      <c r="G235" s="1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f>orders[[#This Row],[Ship Date]]-orders[[#This Row],[Order Date]]</f>
        <v>3</v>
      </c>
      <c r="N235">
        <f>WEEKNUM(orders[[#This Row],[Order Date]])</f>
        <v>2</v>
      </c>
      <c r="O235" t="str" cm="1">
        <f t="array" ref="O235">_xlfn.IFS(orders[[#This Row],[Customer Gender]]="M","Male", orders[[#This Row],[Customer Gender]]="F","Female", orders[[#This Row],[Customer Gender]]="O","Other", TRUE,"Unknown")</f>
        <v>Female</v>
      </c>
    </row>
    <row r="236" spans="1:15" x14ac:dyDescent="0.3">
      <c r="A236" t="s">
        <v>312</v>
      </c>
      <c r="B236" t="s">
        <v>171</v>
      </c>
      <c r="C236">
        <v>5</v>
      </c>
      <c r="D236">
        <v>24</v>
      </c>
      <c r="E236">
        <v>120</v>
      </c>
      <c r="F236" s="1">
        <v>45667</v>
      </c>
      <c r="G236" s="1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f>orders[[#This Row],[Ship Date]]-orders[[#This Row],[Order Date]]</f>
        <v>1</v>
      </c>
      <c r="N236">
        <f>WEEKNUM(orders[[#This Row],[Order Date]])</f>
        <v>2</v>
      </c>
      <c r="O236" t="str" cm="1">
        <f t="array" ref="O236">_xlfn.IFS(orders[[#This Row],[Customer Gender]]="M","Male", orders[[#This Row],[Customer Gender]]="F","Female", orders[[#This Row],[Customer Gender]]="O","Other", TRUE,"Unknown")</f>
        <v>Male</v>
      </c>
    </row>
    <row r="237" spans="1:15" x14ac:dyDescent="0.3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1">
        <v>45667</v>
      </c>
      <c r="G237" s="1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f>orders[[#This Row],[Ship Date]]-orders[[#This Row],[Order Date]]</f>
        <v>0</v>
      </c>
      <c r="N237">
        <f>WEEKNUM(orders[[#This Row],[Order Date]])</f>
        <v>2</v>
      </c>
      <c r="O237" t="str" cm="1">
        <f t="array" ref="O237">_xlfn.IFS(orders[[#This Row],[Customer Gender]]="M","Male", orders[[#This Row],[Customer Gender]]="F","Female", orders[[#This Row],[Customer Gender]]="O","Other", TRUE,"Unknown")</f>
        <v>Female</v>
      </c>
    </row>
    <row r="238" spans="1:15" x14ac:dyDescent="0.3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1">
        <v>45667</v>
      </c>
      <c r="G238" s="1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f>orders[[#This Row],[Ship Date]]-orders[[#This Row],[Order Date]]</f>
        <v>2</v>
      </c>
      <c r="N238">
        <f>WEEKNUM(orders[[#This Row],[Order Date]])</f>
        <v>2</v>
      </c>
      <c r="O238" t="str" cm="1">
        <f t="array" ref="O238">_xlfn.IFS(orders[[#This Row],[Customer Gender]]="M","Male", orders[[#This Row],[Customer Gender]]="F","Female", orders[[#This Row],[Customer Gender]]="O","Other", TRUE,"Unknown")</f>
        <v>Female</v>
      </c>
    </row>
    <row r="239" spans="1:15" x14ac:dyDescent="0.3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1">
        <v>45667</v>
      </c>
      <c r="G239" s="1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f>orders[[#This Row],[Ship Date]]-orders[[#This Row],[Order Date]]</f>
        <v>1</v>
      </c>
      <c r="N239">
        <f>WEEKNUM(orders[[#This Row],[Order Date]])</f>
        <v>2</v>
      </c>
      <c r="O239" t="str" cm="1">
        <f t="array" ref="O239">_xlfn.IFS(orders[[#This Row],[Customer Gender]]="M","Male", orders[[#This Row],[Customer Gender]]="F","Female", orders[[#This Row],[Customer Gender]]="O","Other", TRUE,"Unknown")</f>
        <v>Female</v>
      </c>
    </row>
    <row r="240" spans="1:15" x14ac:dyDescent="0.3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1">
        <v>45667</v>
      </c>
      <c r="G240" s="1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f>orders[[#This Row],[Ship Date]]-orders[[#This Row],[Order Date]]</f>
        <v>4</v>
      </c>
      <c r="N240">
        <f>WEEKNUM(orders[[#This Row],[Order Date]])</f>
        <v>2</v>
      </c>
      <c r="O240" t="str" cm="1">
        <f t="array" ref="O240">_xlfn.IFS(orders[[#This Row],[Customer Gender]]="M","Male", orders[[#This Row],[Customer Gender]]="F","Female", orders[[#This Row],[Customer Gender]]="O","Other", TRUE,"Unknown")</f>
        <v>Male</v>
      </c>
    </row>
    <row r="241" spans="1:15" x14ac:dyDescent="0.3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1">
        <v>45667</v>
      </c>
      <c r="G241" s="1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f>orders[[#This Row],[Ship Date]]-orders[[#This Row],[Order Date]]</f>
        <v>2</v>
      </c>
      <c r="N241">
        <f>WEEKNUM(orders[[#This Row],[Order Date]])</f>
        <v>2</v>
      </c>
      <c r="O241" t="str" cm="1">
        <f t="array" ref="O241">_xlfn.IFS(orders[[#This Row],[Customer Gender]]="M","Male", orders[[#This Row],[Customer Gender]]="F","Female", orders[[#This Row],[Customer Gender]]="O","Other", TRUE,"Unknown")</f>
        <v>Female</v>
      </c>
    </row>
    <row r="242" spans="1:15" x14ac:dyDescent="0.3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1">
        <v>45667</v>
      </c>
      <c r="G242" s="1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f>orders[[#This Row],[Ship Date]]-orders[[#This Row],[Order Date]]</f>
        <v>3</v>
      </c>
      <c r="N242">
        <f>WEEKNUM(orders[[#This Row],[Order Date]])</f>
        <v>2</v>
      </c>
      <c r="O242" t="str" cm="1">
        <f t="array" ref="O242">_xlfn.IFS(orders[[#This Row],[Customer Gender]]="M","Male", orders[[#This Row],[Customer Gender]]="F","Female", orders[[#This Row],[Customer Gender]]="O","Other", TRUE,"Unknown")</f>
        <v>Female</v>
      </c>
    </row>
    <row r="243" spans="1:15" x14ac:dyDescent="0.3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1">
        <v>45667</v>
      </c>
      <c r="G243" s="1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f>orders[[#This Row],[Ship Date]]-orders[[#This Row],[Order Date]]</f>
        <v>0</v>
      </c>
      <c r="N243">
        <f>WEEKNUM(orders[[#This Row],[Order Date]])</f>
        <v>2</v>
      </c>
      <c r="O243" t="str" cm="1">
        <f t="array" ref="O243">_xlfn.IFS(orders[[#This Row],[Customer Gender]]="M","Male", orders[[#This Row],[Customer Gender]]="F","Female", orders[[#This Row],[Customer Gender]]="O","Other", TRUE,"Unknown")</f>
        <v>Male</v>
      </c>
    </row>
    <row r="244" spans="1:15" x14ac:dyDescent="0.3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1">
        <v>45668</v>
      </c>
      <c r="G244" s="1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f>orders[[#This Row],[Ship Date]]-orders[[#This Row],[Order Date]]</f>
        <v>2</v>
      </c>
      <c r="N244">
        <f>WEEKNUM(orders[[#This Row],[Order Date]])</f>
        <v>2</v>
      </c>
      <c r="O244" t="str" cm="1">
        <f t="array" ref="O244">_xlfn.IFS(orders[[#This Row],[Customer Gender]]="M","Male", orders[[#This Row],[Customer Gender]]="F","Female", orders[[#This Row],[Customer Gender]]="O","Other", TRUE,"Unknown")</f>
        <v>Male</v>
      </c>
    </row>
    <row r="245" spans="1:15" x14ac:dyDescent="0.3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1">
        <v>45668</v>
      </c>
      <c r="G245" s="1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f>orders[[#This Row],[Ship Date]]-orders[[#This Row],[Order Date]]</f>
        <v>3</v>
      </c>
      <c r="N245">
        <f>WEEKNUM(orders[[#This Row],[Order Date]])</f>
        <v>2</v>
      </c>
      <c r="O245" t="str" cm="1">
        <f t="array" ref="O245">_xlfn.IFS(orders[[#This Row],[Customer Gender]]="M","Male", orders[[#This Row],[Customer Gender]]="F","Female", orders[[#This Row],[Customer Gender]]="O","Other", TRUE,"Unknown")</f>
        <v>Male</v>
      </c>
    </row>
    <row r="246" spans="1:15" x14ac:dyDescent="0.3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1">
        <v>45668</v>
      </c>
      <c r="G246" s="1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f>orders[[#This Row],[Ship Date]]-orders[[#This Row],[Order Date]]</f>
        <v>4</v>
      </c>
      <c r="N246">
        <f>WEEKNUM(orders[[#This Row],[Order Date]])</f>
        <v>2</v>
      </c>
      <c r="O246" t="str" cm="1">
        <f t="array" ref="O246">_xlfn.IFS(orders[[#This Row],[Customer Gender]]="M","Male", orders[[#This Row],[Customer Gender]]="F","Female", orders[[#This Row],[Customer Gender]]="O","Other", TRUE,"Unknown")</f>
        <v>Female</v>
      </c>
    </row>
    <row r="247" spans="1:15" x14ac:dyDescent="0.3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1">
        <v>45668</v>
      </c>
      <c r="G247" s="1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f>orders[[#This Row],[Ship Date]]-orders[[#This Row],[Order Date]]</f>
        <v>1</v>
      </c>
      <c r="N247">
        <f>WEEKNUM(orders[[#This Row],[Order Date]])</f>
        <v>2</v>
      </c>
      <c r="O247" t="str" cm="1">
        <f t="array" ref="O247">_xlfn.IFS(orders[[#This Row],[Customer Gender]]="M","Male", orders[[#This Row],[Customer Gender]]="F","Female", orders[[#This Row],[Customer Gender]]="O","Other", TRUE,"Unknown")</f>
        <v>Male</v>
      </c>
    </row>
    <row r="248" spans="1:15" x14ac:dyDescent="0.3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1">
        <v>45668</v>
      </c>
      <c r="G248" s="1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f>orders[[#This Row],[Ship Date]]-orders[[#This Row],[Order Date]]</f>
        <v>3</v>
      </c>
      <c r="N248">
        <f>WEEKNUM(orders[[#This Row],[Order Date]])</f>
        <v>2</v>
      </c>
      <c r="O248" t="str" cm="1">
        <f t="array" ref="O248">_xlfn.IFS(orders[[#This Row],[Customer Gender]]="M","Male", orders[[#This Row],[Customer Gender]]="F","Female", orders[[#This Row],[Customer Gender]]="O","Other", TRUE,"Unknown")</f>
        <v>Male</v>
      </c>
    </row>
    <row r="249" spans="1:15" x14ac:dyDescent="0.3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1">
        <v>45668</v>
      </c>
      <c r="G249" s="1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f>orders[[#This Row],[Ship Date]]-orders[[#This Row],[Order Date]]</f>
        <v>1</v>
      </c>
      <c r="N249">
        <f>WEEKNUM(orders[[#This Row],[Order Date]])</f>
        <v>2</v>
      </c>
      <c r="O249" t="str" cm="1">
        <f t="array" ref="O249">_xlfn.IFS(orders[[#This Row],[Customer Gender]]="M","Male", orders[[#This Row],[Customer Gender]]="F","Female", orders[[#This Row],[Customer Gender]]="O","Other", TRUE,"Unknown")</f>
        <v>Male</v>
      </c>
    </row>
    <row r="250" spans="1:15" x14ac:dyDescent="0.3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1">
        <v>45668</v>
      </c>
      <c r="G250" s="1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f>orders[[#This Row],[Ship Date]]-orders[[#This Row],[Order Date]]</f>
        <v>1</v>
      </c>
      <c r="N250">
        <f>WEEKNUM(orders[[#This Row],[Order Date]])</f>
        <v>2</v>
      </c>
      <c r="O250" t="str" cm="1">
        <f t="array" ref="O250">_xlfn.IFS(orders[[#This Row],[Customer Gender]]="M","Male", orders[[#This Row],[Customer Gender]]="F","Female", orders[[#This Row],[Customer Gender]]="O","Other", TRUE,"Unknown")</f>
        <v>Female</v>
      </c>
    </row>
    <row r="251" spans="1:15" x14ac:dyDescent="0.3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1">
        <v>45668</v>
      </c>
      <c r="G251" s="1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f>orders[[#This Row],[Ship Date]]-orders[[#This Row],[Order Date]]</f>
        <v>14</v>
      </c>
      <c r="N251">
        <f>WEEKNUM(orders[[#This Row],[Order Date]])</f>
        <v>2</v>
      </c>
      <c r="O251" t="str" cm="1">
        <f t="array" ref="O251">_xlfn.IFS(orders[[#This Row],[Customer Gender]]="M","Male", orders[[#This Row],[Customer Gender]]="F","Female", orders[[#This Row],[Customer Gender]]="O","Other", TRUE,"Unknown")</f>
        <v>Female</v>
      </c>
    </row>
    <row r="252" spans="1:15" x14ac:dyDescent="0.3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1">
        <v>45668</v>
      </c>
      <c r="G252" s="1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f>orders[[#This Row],[Ship Date]]-orders[[#This Row],[Order Date]]</f>
        <v>2</v>
      </c>
      <c r="N252">
        <f>WEEKNUM(orders[[#This Row],[Order Date]])</f>
        <v>2</v>
      </c>
      <c r="O252" t="str" cm="1">
        <f t="array" ref="O252">_xlfn.IFS(orders[[#This Row],[Customer Gender]]="M","Male", orders[[#This Row],[Customer Gender]]="F","Female", orders[[#This Row],[Customer Gender]]="O","Other", TRUE,"Unknown")</f>
        <v>Male</v>
      </c>
    </row>
    <row r="253" spans="1:15" x14ac:dyDescent="0.3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1">
        <v>45668</v>
      </c>
      <c r="G253" s="1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f>orders[[#This Row],[Ship Date]]-orders[[#This Row],[Order Date]]</f>
        <v>4</v>
      </c>
      <c r="N253">
        <f>WEEKNUM(orders[[#This Row],[Order Date]])</f>
        <v>2</v>
      </c>
      <c r="O253" t="str" cm="1">
        <f t="array" ref="O253">_xlfn.IFS(orders[[#This Row],[Customer Gender]]="M","Male", orders[[#This Row],[Customer Gender]]="F","Female", orders[[#This Row],[Customer Gender]]="O","Other", TRUE,"Unknown")</f>
        <v>Male</v>
      </c>
    </row>
    <row r="254" spans="1:15" x14ac:dyDescent="0.3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1">
        <v>45668</v>
      </c>
      <c r="G254" s="1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f>orders[[#This Row],[Ship Date]]-orders[[#This Row],[Order Date]]</f>
        <v>1</v>
      </c>
      <c r="N254">
        <f>WEEKNUM(orders[[#This Row],[Order Date]])</f>
        <v>2</v>
      </c>
      <c r="O254" t="str" cm="1">
        <f t="array" ref="O254">_xlfn.IFS(orders[[#This Row],[Customer Gender]]="M","Male", orders[[#This Row],[Customer Gender]]="F","Female", orders[[#This Row],[Customer Gender]]="O","Other", TRUE,"Unknown")</f>
        <v>Other</v>
      </c>
    </row>
    <row r="255" spans="1:15" x14ac:dyDescent="0.3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1">
        <v>45668</v>
      </c>
      <c r="G255" s="1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f>orders[[#This Row],[Ship Date]]-orders[[#This Row],[Order Date]]</f>
        <v>1</v>
      </c>
      <c r="N255">
        <f>WEEKNUM(orders[[#This Row],[Order Date]])</f>
        <v>2</v>
      </c>
      <c r="O255" t="str" cm="1">
        <f t="array" ref="O255">_xlfn.IFS(orders[[#This Row],[Customer Gender]]="M","Male", orders[[#This Row],[Customer Gender]]="F","Female", orders[[#This Row],[Customer Gender]]="O","Other", TRUE,"Unknown")</f>
        <v>Male</v>
      </c>
    </row>
    <row r="256" spans="1:15" x14ac:dyDescent="0.3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1">
        <v>45668</v>
      </c>
      <c r="G256" s="1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f>orders[[#This Row],[Ship Date]]-orders[[#This Row],[Order Date]]</f>
        <v>8</v>
      </c>
      <c r="N256">
        <f>WEEKNUM(orders[[#This Row],[Order Date]])</f>
        <v>2</v>
      </c>
      <c r="O256" t="str" cm="1">
        <f t="array" ref="O256">_xlfn.IFS(orders[[#This Row],[Customer Gender]]="M","Male", orders[[#This Row],[Customer Gender]]="F","Female", orders[[#This Row],[Customer Gender]]="O","Other", TRUE,"Unknown")</f>
        <v>Male</v>
      </c>
    </row>
    <row r="257" spans="1:15" x14ac:dyDescent="0.3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1">
        <v>45668</v>
      </c>
      <c r="G257" s="1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f>orders[[#This Row],[Ship Date]]-orders[[#This Row],[Order Date]]</f>
        <v>2</v>
      </c>
      <c r="N257">
        <f>WEEKNUM(orders[[#This Row],[Order Date]])</f>
        <v>2</v>
      </c>
      <c r="O257" t="str" cm="1">
        <f t="array" ref="O257">_xlfn.IFS(orders[[#This Row],[Customer Gender]]="M","Male", orders[[#This Row],[Customer Gender]]="F","Female", orders[[#This Row],[Customer Gender]]="O","Other", TRUE,"Unknown")</f>
        <v>Female</v>
      </c>
    </row>
    <row r="258" spans="1:15" x14ac:dyDescent="0.3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1">
        <v>45669</v>
      </c>
      <c r="G258" s="1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f>orders[[#This Row],[Ship Date]]-orders[[#This Row],[Order Date]]</f>
        <v>1</v>
      </c>
      <c r="N258">
        <f>WEEKNUM(orders[[#This Row],[Order Date]])</f>
        <v>3</v>
      </c>
      <c r="O258" t="str" cm="1">
        <f t="array" ref="O258">_xlfn.IFS(orders[[#This Row],[Customer Gender]]="M","Male", orders[[#This Row],[Customer Gender]]="F","Female", orders[[#This Row],[Customer Gender]]="O","Other", TRUE,"Unknown")</f>
        <v>Male</v>
      </c>
    </row>
    <row r="259" spans="1:15" x14ac:dyDescent="0.3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1">
        <v>45669</v>
      </c>
      <c r="G259" s="1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f>orders[[#This Row],[Ship Date]]-orders[[#This Row],[Order Date]]</f>
        <v>5</v>
      </c>
      <c r="N259">
        <f>WEEKNUM(orders[[#This Row],[Order Date]])</f>
        <v>3</v>
      </c>
      <c r="O259" t="str" cm="1">
        <f t="array" ref="O259">_xlfn.IFS(orders[[#This Row],[Customer Gender]]="M","Male", orders[[#This Row],[Customer Gender]]="F","Female", orders[[#This Row],[Customer Gender]]="O","Other", TRUE,"Unknown")</f>
        <v>Male</v>
      </c>
    </row>
    <row r="260" spans="1:15" x14ac:dyDescent="0.3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1">
        <v>45669</v>
      </c>
      <c r="G260" s="1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f>orders[[#This Row],[Ship Date]]-orders[[#This Row],[Order Date]]</f>
        <v>1</v>
      </c>
      <c r="N260">
        <f>WEEKNUM(orders[[#This Row],[Order Date]])</f>
        <v>3</v>
      </c>
      <c r="O260" t="str" cm="1">
        <f t="array" ref="O260">_xlfn.IFS(orders[[#This Row],[Customer Gender]]="M","Male", orders[[#This Row],[Customer Gender]]="F","Female", orders[[#This Row],[Customer Gender]]="O","Other", TRUE,"Unknown")</f>
        <v>Female</v>
      </c>
    </row>
    <row r="261" spans="1:15" x14ac:dyDescent="0.3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1">
        <v>45669</v>
      </c>
      <c r="G261" s="1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f>orders[[#This Row],[Ship Date]]-orders[[#This Row],[Order Date]]</f>
        <v>3</v>
      </c>
      <c r="N261">
        <f>WEEKNUM(orders[[#This Row],[Order Date]])</f>
        <v>3</v>
      </c>
      <c r="O261" t="str" cm="1">
        <f t="array" ref="O261">_xlfn.IFS(orders[[#This Row],[Customer Gender]]="M","Male", orders[[#This Row],[Customer Gender]]="F","Female", orders[[#This Row],[Customer Gender]]="O","Other", TRUE,"Unknown")</f>
        <v>Female</v>
      </c>
    </row>
    <row r="262" spans="1:15" x14ac:dyDescent="0.3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1">
        <v>45669</v>
      </c>
      <c r="G262" s="1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f>orders[[#This Row],[Ship Date]]-orders[[#This Row],[Order Date]]</f>
        <v>3</v>
      </c>
      <c r="N262">
        <f>WEEKNUM(orders[[#This Row],[Order Date]])</f>
        <v>3</v>
      </c>
      <c r="O262" t="str" cm="1">
        <f t="array" ref="O262">_xlfn.IFS(orders[[#This Row],[Customer Gender]]="M","Male", orders[[#This Row],[Customer Gender]]="F","Female", orders[[#This Row],[Customer Gender]]="O","Other", TRUE,"Unknown")</f>
        <v>Male</v>
      </c>
    </row>
    <row r="263" spans="1:15" x14ac:dyDescent="0.3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1">
        <v>45669</v>
      </c>
      <c r="G263" s="1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f>orders[[#This Row],[Ship Date]]-orders[[#This Row],[Order Date]]</f>
        <v>2</v>
      </c>
      <c r="N263">
        <f>WEEKNUM(orders[[#This Row],[Order Date]])</f>
        <v>3</v>
      </c>
      <c r="O263" t="str" cm="1">
        <f t="array" ref="O263">_xlfn.IFS(orders[[#This Row],[Customer Gender]]="M","Male", orders[[#This Row],[Customer Gender]]="F","Female", orders[[#This Row],[Customer Gender]]="O","Other", TRUE,"Unknown")</f>
        <v>Female</v>
      </c>
    </row>
    <row r="264" spans="1:15" x14ac:dyDescent="0.3">
      <c r="A264" t="s">
        <v>344</v>
      </c>
      <c r="B264" t="s">
        <v>44</v>
      </c>
      <c r="C264">
        <v>2</v>
      </c>
      <c r="D264">
        <v>27.5</v>
      </c>
      <c r="E264">
        <v>55</v>
      </c>
      <c r="F264" s="1">
        <v>45669</v>
      </c>
      <c r="G264" s="1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f>orders[[#This Row],[Ship Date]]-orders[[#This Row],[Order Date]]</f>
        <v>1</v>
      </c>
      <c r="N264">
        <f>WEEKNUM(orders[[#This Row],[Order Date]])</f>
        <v>3</v>
      </c>
      <c r="O264" t="str" cm="1">
        <f t="array" ref="O264">_xlfn.IFS(orders[[#This Row],[Customer Gender]]="M","Male", orders[[#This Row],[Customer Gender]]="F","Female", orders[[#This Row],[Customer Gender]]="O","Other", TRUE,"Unknown")</f>
        <v>Male</v>
      </c>
    </row>
    <row r="265" spans="1:15" x14ac:dyDescent="0.3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1">
        <v>45669</v>
      </c>
      <c r="G265" s="1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f>orders[[#This Row],[Ship Date]]-orders[[#This Row],[Order Date]]</f>
        <v>2</v>
      </c>
      <c r="N265">
        <f>WEEKNUM(orders[[#This Row],[Order Date]])</f>
        <v>3</v>
      </c>
      <c r="O265" t="str" cm="1">
        <f t="array" ref="O265">_xlfn.IFS(orders[[#This Row],[Customer Gender]]="M","Male", orders[[#This Row],[Customer Gender]]="F","Female", orders[[#This Row],[Customer Gender]]="O","Other", TRUE,"Unknown")</f>
        <v>Female</v>
      </c>
    </row>
    <row r="266" spans="1:15" x14ac:dyDescent="0.3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1">
        <v>45669</v>
      </c>
      <c r="G266" s="1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f>orders[[#This Row],[Ship Date]]-orders[[#This Row],[Order Date]]</f>
        <v>0</v>
      </c>
      <c r="N266">
        <f>WEEKNUM(orders[[#This Row],[Order Date]])</f>
        <v>3</v>
      </c>
      <c r="O266" t="str" cm="1">
        <f t="array" ref="O266">_xlfn.IFS(orders[[#This Row],[Customer Gender]]="M","Male", orders[[#This Row],[Customer Gender]]="F","Female", orders[[#This Row],[Customer Gender]]="O","Other", TRUE,"Unknown")</f>
        <v>Male</v>
      </c>
    </row>
    <row r="267" spans="1:15" x14ac:dyDescent="0.3">
      <c r="A267" t="s">
        <v>347</v>
      </c>
      <c r="B267" t="s">
        <v>135</v>
      </c>
      <c r="C267">
        <v>4</v>
      </c>
      <c r="D267">
        <v>23.5</v>
      </c>
      <c r="E267">
        <v>94</v>
      </c>
      <c r="F267" s="1">
        <v>45669</v>
      </c>
      <c r="G267" s="1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f>orders[[#This Row],[Ship Date]]-orders[[#This Row],[Order Date]]</f>
        <v>1</v>
      </c>
      <c r="N267">
        <f>WEEKNUM(orders[[#This Row],[Order Date]])</f>
        <v>3</v>
      </c>
      <c r="O267" t="str" cm="1">
        <f t="array" ref="O267">_xlfn.IFS(orders[[#This Row],[Customer Gender]]="M","Male", orders[[#This Row],[Customer Gender]]="F","Female", orders[[#This Row],[Customer Gender]]="O","Other", TRUE,"Unknown")</f>
        <v>Female</v>
      </c>
    </row>
    <row r="268" spans="1:15" x14ac:dyDescent="0.3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1">
        <v>45669</v>
      </c>
      <c r="G268" s="1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f>orders[[#This Row],[Ship Date]]-orders[[#This Row],[Order Date]]</f>
        <v>1</v>
      </c>
      <c r="N268">
        <f>WEEKNUM(orders[[#This Row],[Order Date]])</f>
        <v>3</v>
      </c>
      <c r="O268" t="str" cm="1">
        <f t="array" ref="O268">_xlfn.IFS(orders[[#This Row],[Customer Gender]]="M","Male", orders[[#This Row],[Customer Gender]]="F","Female", orders[[#This Row],[Customer Gender]]="O","Other", TRUE,"Unknown")</f>
        <v>Unknown</v>
      </c>
    </row>
    <row r="269" spans="1:15" x14ac:dyDescent="0.3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1">
        <v>45669</v>
      </c>
      <c r="G269" s="1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f>orders[[#This Row],[Ship Date]]-orders[[#This Row],[Order Date]]</f>
        <v>3</v>
      </c>
      <c r="N269">
        <f>WEEKNUM(orders[[#This Row],[Order Date]])</f>
        <v>3</v>
      </c>
      <c r="O269" t="str" cm="1">
        <f t="array" ref="O269">_xlfn.IFS(orders[[#This Row],[Customer Gender]]="M","Male", orders[[#This Row],[Customer Gender]]="F","Female", orders[[#This Row],[Customer Gender]]="O","Other", TRUE,"Unknown")</f>
        <v>Female</v>
      </c>
    </row>
    <row r="270" spans="1:15" x14ac:dyDescent="0.3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1">
        <v>45669</v>
      </c>
      <c r="G270" s="1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f>orders[[#This Row],[Ship Date]]-orders[[#This Row],[Order Date]]</f>
        <v>4</v>
      </c>
      <c r="N270">
        <f>WEEKNUM(orders[[#This Row],[Order Date]])</f>
        <v>3</v>
      </c>
      <c r="O270" t="str" cm="1">
        <f t="array" ref="O270">_xlfn.IFS(orders[[#This Row],[Customer Gender]]="M","Male", orders[[#This Row],[Customer Gender]]="F","Female", orders[[#This Row],[Customer Gender]]="O","Other", TRUE,"Unknown")</f>
        <v>Female</v>
      </c>
    </row>
    <row r="271" spans="1:15" x14ac:dyDescent="0.3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1">
        <v>45669</v>
      </c>
      <c r="G271" s="1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f>orders[[#This Row],[Ship Date]]-orders[[#This Row],[Order Date]]</f>
        <v>1</v>
      </c>
      <c r="N271">
        <f>WEEKNUM(orders[[#This Row],[Order Date]])</f>
        <v>3</v>
      </c>
      <c r="O271" t="str" cm="1">
        <f t="array" ref="O271">_xlfn.IFS(orders[[#This Row],[Customer Gender]]="M","Male", orders[[#This Row],[Customer Gender]]="F","Female", orders[[#This Row],[Customer Gender]]="O","Other", TRUE,"Unknown")</f>
        <v>Female</v>
      </c>
    </row>
    <row r="272" spans="1:15" x14ac:dyDescent="0.3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1">
        <v>45669</v>
      </c>
      <c r="G272" s="1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f>orders[[#This Row],[Ship Date]]-orders[[#This Row],[Order Date]]</f>
        <v>1</v>
      </c>
      <c r="N272">
        <f>WEEKNUM(orders[[#This Row],[Order Date]])</f>
        <v>3</v>
      </c>
      <c r="O272" t="str" cm="1">
        <f t="array" ref="O272">_xlfn.IFS(orders[[#This Row],[Customer Gender]]="M","Male", orders[[#This Row],[Customer Gender]]="F","Female", orders[[#This Row],[Customer Gender]]="O","Other", TRUE,"Unknown")</f>
        <v>Female</v>
      </c>
    </row>
    <row r="273" spans="1:15" x14ac:dyDescent="0.3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1">
        <v>45669</v>
      </c>
      <c r="G273" s="1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f>orders[[#This Row],[Ship Date]]-orders[[#This Row],[Order Date]]</f>
        <v>4</v>
      </c>
      <c r="N273">
        <f>WEEKNUM(orders[[#This Row],[Order Date]])</f>
        <v>3</v>
      </c>
      <c r="O273" t="str" cm="1">
        <f t="array" ref="O273">_xlfn.IFS(orders[[#This Row],[Customer Gender]]="M","Male", orders[[#This Row],[Customer Gender]]="F","Female", orders[[#This Row],[Customer Gender]]="O","Other", TRUE,"Unknown")</f>
        <v>Female</v>
      </c>
    </row>
    <row r="274" spans="1:15" x14ac:dyDescent="0.3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1">
        <v>45669</v>
      </c>
      <c r="G274" s="1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f>orders[[#This Row],[Ship Date]]-orders[[#This Row],[Order Date]]</f>
        <v>1</v>
      </c>
      <c r="N274">
        <f>WEEKNUM(orders[[#This Row],[Order Date]])</f>
        <v>3</v>
      </c>
      <c r="O274" t="str" cm="1">
        <f t="array" ref="O274">_xlfn.IFS(orders[[#This Row],[Customer Gender]]="M","Male", orders[[#This Row],[Customer Gender]]="F","Female", orders[[#This Row],[Customer Gender]]="O","Other", TRUE,"Unknown")</f>
        <v>Female</v>
      </c>
    </row>
    <row r="275" spans="1:15" x14ac:dyDescent="0.3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1">
        <v>45669</v>
      </c>
      <c r="G275" s="1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f>orders[[#This Row],[Ship Date]]-orders[[#This Row],[Order Date]]</f>
        <v>1</v>
      </c>
      <c r="N275">
        <f>WEEKNUM(orders[[#This Row],[Order Date]])</f>
        <v>3</v>
      </c>
      <c r="O275" t="str" cm="1">
        <f t="array" ref="O275">_xlfn.IFS(orders[[#This Row],[Customer Gender]]="M","Male", orders[[#This Row],[Customer Gender]]="F","Female", orders[[#This Row],[Customer Gender]]="O","Other", TRUE,"Unknown")</f>
        <v>Male</v>
      </c>
    </row>
    <row r="276" spans="1:15" x14ac:dyDescent="0.3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1">
        <v>45669</v>
      </c>
      <c r="G276" s="1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f>orders[[#This Row],[Ship Date]]-orders[[#This Row],[Order Date]]</f>
        <v>1</v>
      </c>
      <c r="N276">
        <f>WEEKNUM(orders[[#This Row],[Order Date]])</f>
        <v>3</v>
      </c>
      <c r="O276" t="str" cm="1">
        <f t="array" ref="O276">_xlfn.IFS(orders[[#This Row],[Customer Gender]]="M","Male", orders[[#This Row],[Customer Gender]]="F","Female", orders[[#This Row],[Customer Gender]]="O","Other", TRUE,"Unknown")</f>
        <v>Male</v>
      </c>
    </row>
    <row r="277" spans="1:15" x14ac:dyDescent="0.3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1">
        <v>45669</v>
      </c>
      <c r="G277" s="1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f>orders[[#This Row],[Ship Date]]-orders[[#This Row],[Order Date]]</f>
        <v>3</v>
      </c>
      <c r="N277">
        <f>WEEKNUM(orders[[#This Row],[Order Date]])</f>
        <v>3</v>
      </c>
      <c r="O277" t="str" cm="1">
        <f t="array" ref="O277">_xlfn.IFS(orders[[#This Row],[Customer Gender]]="M","Male", orders[[#This Row],[Customer Gender]]="F","Female", orders[[#This Row],[Customer Gender]]="O","Other", TRUE,"Unknown")</f>
        <v>Female</v>
      </c>
    </row>
    <row r="278" spans="1:15" x14ac:dyDescent="0.3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1">
        <v>45669</v>
      </c>
      <c r="G278" s="1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f>orders[[#This Row],[Ship Date]]-orders[[#This Row],[Order Date]]</f>
        <v>7</v>
      </c>
      <c r="N278">
        <f>WEEKNUM(orders[[#This Row],[Order Date]])</f>
        <v>3</v>
      </c>
      <c r="O278" t="str" cm="1">
        <f t="array" ref="O278">_xlfn.IFS(orders[[#This Row],[Customer Gender]]="M","Male", orders[[#This Row],[Customer Gender]]="F","Female", orders[[#This Row],[Customer Gender]]="O","Other", TRUE,"Unknown")</f>
        <v>Unknown</v>
      </c>
    </row>
    <row r="279" spans="1:15" x14ac:dyDescent="0.3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1">
        <v>45669</v>
      </c>
      <c r="G279" s="1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f>orders[[#This Row],[Ship Date]]-orders[[#This Row],[Order Date]]</f>
        <v>1</v>
      </c>
      <c r="N279">
        <f>WEEKNUM(orders[[#This Row],[Order Date]])</f>
        <v>3</v>
      </c>
      <c r="O279" t="str" cm="1">
        <f t="array" ref="O279">_xlfn.IFS(orders[[#This Row],[Customer Gender]]="M","Male", orders[[#This Row],[Customer Gender]]="F","Female", orders[[#This Row],[Customer Gender]]="O","Other", TRUE,"Unknown")</f>
        <v>Female</v>
      </c>
    </row>
    <row r="280" spans="1:15" x14ac:dyDescent="0.3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1">
        <v>45670</v>
      </c>
      <c r="G280" s="1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f>orders[[#This Row],[Ship Date]]-orders[[#This Row],[Order Date]]</f>
        <v>2</v>
      </c>
      <c r="N280">
        <f>WEEKNUM(orders[[#This Row],[Order Date]])</f>
        <v>3</v>
      </c>
      <c r="O280" t="str" cm="1">
        <f t="array" ref="O280">_xlfn.IFS(orders[[#This Row],[Customer Gender]]="M","Male", orders[[#This Row],[Customer Gender]]="F","Female", orders[[#This Row],[Customer Gender]]="O","Other", TRUE,"Unknown")</f>
        <v>Female</v>
      </c>
    </row>
    <row r="281" spans="1:15" x14ac:dyDescent="0.3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1">
        <v>45670</v>
      </c>
      <c r="G281" s="1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f>orders[[#This Row],[Ship Date]]-orders[[#This Row],[Order Date]]</f>
        <v>3</v>
      </c>
      <c r="N281">
        <f>WEEKNUM(orders[[#This Row],[Order Date]])</f>
        <v>3</v>
      </c>
      <c r="O281" t="str" cm="1">
        <f t="array" ref="O281">_xlfn.IFS(orders[[#This Row],[Customer Gender]]="M","Male", orders[[#This Row],[Customer Gender]]="F","Female", orders[[#This Row],[Customer Gender]]="O","Other", TRUE,"Unknown")</f>
        <v>Female</v>
      </c>
    </row>
    <row r="282" spans="1:15" x14ac:dyDescent="0.3">
      <c r="A282" t="s">
        <v>362</v>
      </c>
      <c r="B282" t="s">
        <v>81</v>
      </c>
      <c r="C282">
        <v>2</v>
      </c>
      <c r="D282">
        <v>24.5</v>
      </c>
      <c r="E282">
        <v>49</v>
      </c>
      <c r="F282" s="1">
        <v>45670</v>
      </c>
      <c r="G282" s="1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f>orders[[#This Row],[Ship Date]]-orders[[#This Row],[Order Date]]</f>
        <v>1</v>
      </c>
      <c r="N282">
        <f>WEEKNUM(orders[[#This Row],[Order Date]])</f>
        <v>3</v>
      </c>
      <c r="O282" t="str" cm="1">
        <f t="array" ref="O282">_xlfn.IFS(orders[[#This Row],[Customer Gender]]="M","Male", orders[[#This Row],[Customer Gender]]="F","Female", orders[[#This Row],[Customer Gender]]="O","Other", TRUE,"Unknown")</f>
        <v>Male</v>
      </c>
    </row>
    <row r="283" spans="1:15" x14ac:dyDescent="0.3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1">
        <v>45670</v>
      </c>
      <c r="G283" s="1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f>orders[[#This Row],[Ship Date]]-orders[[#This Row],[Order Date]]</f>
        <v>5</v>
      </c>
      <c r="N283">
        <f>WEEKNUM(orders[[#This Row],[Order Date]])</f>
        <v>3</v>
      </c>
      <c r="O283" t="str" cm="1">
        <f t="array" ref="O283">_xlfn.IFS(orders[[#This Row],[Customer Gender]]="M","Male", orders[[#This Row],[Customer Gender]]="F","Female", orders[[#This Row],[Customer Gender]]="O","Other", TRUE,"Unknown")</f>
        <v>Male</v>
      </c>
    </row>
    <row r="284" spans="1:15" x14ac:dyDescent="0.3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1">
        <v>45670</v>
      </c>
      <c r="G284" s="1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f>orders[[#This Row],[Ship Date]]-orders[[#This Row],[Order Date]]</f>
        <v>1</v>
      </c>
      <c r="N284">
        <f>WEEKNUM(orders[[#This Row],[Order Date]])</f>
        <v>3</v>
      </c>
      <c r="O284" t="str" cm="1">
        <f t="array" ref="O284">_xlfn.IFS(orders[[#This Row],[Customer Gender]]="M","Male", orders[[#This Row],[Customer Gender]]="F","Female", orders[[#This Row],[Customer Gender]]="O","Other", TRUE,"Unknown")</f>
        <v>Female</v>
      </c>
    </row>
    <row r="285" spans="1:15" x14ac:dyDescent="0.3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1">
        <v>45670</v>
      </c>
      <c r="G285" s="1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f>orders[[#This Row],[Ship Date]]-orders[[#This Row],[Order Date]]</f>
        <v>0</v>
      </c>
      <c r="N285">
        <f>WEEKNUM(orders[[#This Row],[Order Date]])</f>
        <v>3</v>
      </c>
      <c r="O285" t="str" cm="1">
        <f t="array" ref="O285">_xlfn.IFS(orders[[#This Row],[Customer Gender]]="M","Male", orders[[#This Row],[Customer Gender]]="F","Female", orders[[#This Row],[Customer Gender]]="O","Other", TRUE,"Unknown")</f>
        <v>Male</v>
      </c>
    </row>
    <row r="286" spans="1:15" x14ac:dyDescent="0.3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1">
        <v>45670</v>
      </c>
      <c r="G286" s="1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f>orders[[#This Row],[Ship Date]]-orders[[#This Row],[Order Date]]</f>
        <v>1</v>
      </c>
      <c r="N286">
        <f>WEEKNUM(orders[[#This Row],[Order Date]])</f>
        <v>3</v>
      </c>
      <c r="O286" t="str" cm="1">
        <f t="array" ref="O286">_xlfn.IFS(orders[[#This Row],[Customer Gender]]="M","Male", orders[[#This Row],[Customer Gender]]="F","Female", orders[[#This Row],[Customer Gender]]="O","Other", TRUE,"Unknown")</f>
        <v>Male</v>
      </c>
    </row>
    <row r="287" spans="1:15" x14ac:dyDescent="0.3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1">
        <v>45670</v>
      </c>
      <c r="G287" s="1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f>orders[[#This Row],[Ship Date]]-orders[[#This Row],[Order Date]]</f>
        <v>1</v>
      </c>
      <c r="N287">
        <f>WEEKNUM(orders[[#This Row],[Order Date]])</f>
        <v>3</v>
      </c>
      <c r="O287" t="str" cm="1">
        <f t="array" ref="O287">_xlfn.IFS(orders[[#This Row],[Customer Gender]]="M","Male", orders[[#This Row],[Customer Gender]]="F","Female", orders[[#This Row],[Customer Gender]]="O","Other", TRUE,"Unknown")</f>
        <v>Female</v>
      </c>
    </row>
    <row r="288" spans="1:15" x14ac:dyDescent="0.3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1">
        <v>45670</v>
      </c>
      <c r="G288" s="1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f>orders[[#This Row],[Ship Date]]-orders[[#This Row],[Order Date]]</f>
        <v>3</v>
      </c>
      <c r="N288">
        <f>WEEKNUM(orders[[#This Row],[Order Date]])</f>
        <v>3</v>
      </c>
      <c r="O288" t="str" cm="1">
        <f t="array" ref="O288">_xlfn.IFS(orders[[#This Row],[Customer Gender]]="M","Male", orders[[#This Row],[Customer Gender]]="F","Female", orders[[#This Row],[Customer Gender]]="O","Other", TRUE,"Unknown")</f>
        <v>Female</v>
      </c>
    </row>
    <row r="289" spans="1:15" x14ac:dyDescent="0.3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1">
        <v>45670</v>
      </c>
      <c r="G289" s="1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f>orders[[#This Row],[Ship Date]]-orders[[#This Row],[Order Date]]</f>
        <v>1</v>
      </c>
      <c r="N289">
        <f>WEEKNUM(orders[[#This Row],[Order Date]])</f>
        <v>3</v>
      </c>
      <c r="O289" t="str" cm="1">
        <f t="array" ref="O289">_xlfn.IFS(orders[[#This Row],[Customer Gender]]="M","Male", orders[[#This Row],[Customer Gender]]="F","Female", orders[[#This Row],[Customer Gender]]="O","Other", TRUE,"Unknown")</f>
        <v>Male</v>
      </c>
    </row>
    <row r="290" spans="1:15" x14ac:dyDescent="0.3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1">
        <v>45670</v>
      </c>
      <c r="G290" s="1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f>orders[[#This Row],[Ship Date]]-orders[[#This Row],[Order Date]]</f>
        <v>1</v>
      </c>
      <c r="N290">
        <f>WEEKNUM(orders[[#This Row],[Order Date]])</f>
        <v>3</v>
      </c>
      <c r="O290" t="str" cm="1">
        <f t="array" ref="O290">_xlfn.IFS(orders[[#This Row],[Customer Gender]]="M","Male", orders[[#This Row],[Customer Gender]]="F","Female", orders[[#This Row],[Customer Gender]]="O","Other", TRUE,"Unknown")</f>
        <v>Male</v>
      </c>
    </row>
    <row r="291" spans="1:15" x14ac:dyDescent="0.3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1">
        <v>45670</v>
      </c>
      <c r="G291" s="1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f>orders[[#This Row],[Ship Date]]-orders[[#This Row],[Order Date]]</f>
        <v>1</v>
      </c>
      <c r="N291">
        <f>WEEKNUM(orders[[#This Row],[Order Date]])</f>
        <v>3</v>
      </c>
      <c r="O291" t="str" cm="1">
        <f t="array" ref="O291">_xlfn.IFS(orders[[#This Row],[Customer Gender]]="M","Male", orders[[#This Row],[Customer Gender]]="F","Female", orders[[#This Row],[Customer Gender]]="O","Other", TRUE,"Unknown")</f>
        <v>Male</v>
      </c>
    </row>
    <row r="292" spans="1:15" x14ac:dyDescent="0.3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1">
        <v>45670</v>
      </c>
      <c r="G292" s="1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f>orders[[#This Row],[Ship Date]]-orders[[#This Row],[Order Date]]</f>
        <v>4</v>
      </c>
      <c r="N292">
        <f>WEEKNUM(orders[[#This Row],[Order Date]])</f>
        <v>3</v>
      </c>
      <c r="O292" t="str" cm="1">
        <f t="array" ref="O292">_xlfn.IFS(orders[[#This Row],[Customer Gender]]="M","Male", orders[[#This Row],[Customer Gender]]="F","Female", orders[[#This Row],[Customer Gender]]="O","Other", TRUE,"Unknown")</f>
        <v>Male</v>
      </c>
    </row>
    <row r="293" spans="1:15" x14ac:dyDescent="0.3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1">
        <v>45670</v>
      </c>
      <c r="G293" s="1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f>orders[[#This Row],[Ship Date]]-orders[[#This Row],[Order Date]]</f>
        <v>4</v>
      </c>
      <c r="N293">
        <f>WEEKNUM(orders[[#This Row],[Order Date]])</f>
        <v>3</v>
      </c>
      <c r="O293" t="str" cm="1">
        <f t="array" ref="O293">_xlfn.IFS(orders[[#This Row],[Customer Gender]]="M","Male", orders[[#This Row],[Customer Gender]]="F","Female", orders[[#This Row],[Customer Gender]]="O","Other", TRUE,"Unknown")</f>
        <v>Male</v>
      </c>
    </row>
    <row r="294" spans="1:15" x14ac:dyDescent="0.3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1">
        <v>45670</v>
      </c>
      <c r="G294" s="1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f>orders[[#This Row],[Ship Date]]-orders[[#This Row],[Order Date]]</f>
        <v>2</v>
      </c>
      <c r="N294">
        <f>WEEKNUM(orders[[#This Row],[Order Date]])</f>
        <v>3</v>
      </c>
      <c r="O294" t="str" cm="1">
        <f t="array" ref="O294">_xlfn.IFS(orders[[#This Row],[Customer Gender]]="M","Male", orders[[#This Row],[Customer Gender]]="F","Female", orders[[#This Row],[Customer Gender]]="O","Other", TRUE,"Unknown")</f>
        <v>Female</v>
      </c>
    </row>
    <row r="295" spans="1:15" x14ac:dyDescent="0.3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1">
        <v>45670</v>
      </c>
      <c r="G295" s="1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f>orders[[#This Row],[Ship Date]]-orders[[#This Row],[Order Date]]</f>
        <v>1</v>
      </c>
      <c r="N295">
        <f>WEEKNUM(orders[[#This Row],[Order Date]])</f>
        <v>3</v>
      </c>
      <c r="O295" t="str" cm="1">
        <f t="array" ref="O295">_xlfn.IFS(orders[[#This Row],[Customer Gender]]="M","Male", orders[[#This Row],[Customer Gender]]="F","Female", orders[[#This Row],[Customer Gender]]="O","Other", TRUE,"Unknown")</f>
        <v>Male</v>
      </c>
    </row>
    <row r="296" spans="1:15" x14ac:dyDescent="0.3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1">
        <v>45670</v>
      </c>
      <c r="G296" s="1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f>orders[[#This Row],[Ship Date]]-orders[[#This Row],[Order Date]]</f>
        <v>2</v>
      </c>
      <c r="N296">
        <f>WEEKNUM(orders[[#This Row],[Order Date]])</f>
        <v>3</v>
      </c>
      <c r="O296" t="str" cm="1">
        <f t="array" ref="O296">_xlfn.IFS(orders[[#This Row],[Customer Gender]]="M","Male", orders[[#This Row],[Customer Gender]]="F","Female", orders[[#This Row],[Customer Gender]]="O","Other", TRUE,"Unknown")</f>
        <v>Male</v>
      </c>
    </row>
    <row r="297" spans="1:15" x14ac:dyDescent="0.3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1">
        <v>45670</v>
      </c>
      <c r="G297" s="1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f>orders[[#This Row],[Ship Date]]-orders[[#This Row],[Order Date]]</f>
        <v>3</v>
      </c>
      <c r="N297">
        <f>WEEKNUM(orders[[#This Row],[Order Date]])</f>
        <v>3</v>
      </c>
      <c r="O297" t="str" cm="1">
        <f t="array" ref="O297">_xlfn.IFS(orders[[#This Row],[Customer Gender]]="M","Male", orders[[#This Row],[Customer Gender]]="F","Female", orders[[#This Row],[Customer Gender]]="O","Other", TRUE,"Unknown")</f>
        <v>Female</v>
      </c>
    </row>
    <row r="298" spans="1:15" x14ac:dyDescent="0.3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1">
        <v>45670</v>
      </c>
      <c r="G298" s="1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f>orders[[#This Row],[Ship Date]]-orders[[#This Row],[Order Date]]</f>
        <v>13</v>
      </c>
      <c r="N298">
        <f>WEEKNUM(orders[[#This Row],[Order Date]])</f>
        <v>3</v>
      </c>
      <c r="O298" t="str" cm="1">
        <f t="array" ref="O298">_xlfn.IFS(orders[[#This Row],[Customer Gender]]="M","Male", orders[[#This Row],[Customer Gender]]="F","Female", orders[[#This Row],[Customer Gender]]="O","Other", TRUE,"Unknown")</f>
        <v>Female</v>
      </c>
    </row>
    <row r="299" spans="1:15" x14ac:dyDescent="0.3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1">
        <v>45670</v>
      </c>
      <c r="G299" s="1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f>orders[[#This Row],[Ship Date]]-orders[[#This Row],[Order Date]]</f>
        <v>2</v>
      </c>
      <c r="N299">
        <f>WEEKNUM(orders[[#This Row],[Order Date]])</f>
        <v>3</v>
      </c>
      <c r="O299" t="str" cm="1">
        <f t="array" ref="O299">_xlfn.IFS(orders[[#This Row],[Customer Gender]]="M","Male", orders[[#This Row],[Customer Gender]]="F","Female", orders[[#This Row],[Customer Gender]]="O","Other", TRUE,"Unknown")</f>
        <v>Male</v>
      </c>
    </row>
    <row r="300" spans="1:15" x14ac:dyDescent="0.3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1">
        <v>45670</v>
      </c>
      <c r="G300" s="1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f>orders[[#This Row],[Ship Date]]-orders[[#This Row],[Order Date]]</f>
        <v>2</v>
      </c>
      <c r="N300">
        <f>WEEKNUM(orders[[#This Row],[Order Date]])</f>
        <v>3</v>
      </c>
      <c r="O300" t="str" cm="1">
        <f t="array" ref="O300">_xlfn.IFS(orders[[#This Row],[Customer Gender]]="M","Male", orders[[#This Row],[Customer Gender]]="F","Female", orders[[#This Row],[Customer Gender]]="O","Other", TRUE,"Unknown")</f>
        <v>Female</v>
      </c>
    </row>
    <row r="301" spans="1:15" x14ac:dyDescent="0.3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1">
        <v>45670</v>
      </c>
      <c r="G301" s="1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f>orders[[#This Row],[Ship Date]]-orders[[#This Row],[Order Date]]</f>
        <v>1</v>
      </c>
      <c r="N301">
        <f>WEEKNUM(orders[[#This Row],[Order Date]])</f>
        <v>3</v>
      </c>
      <c r="O301" t="str" cm="1">
        <f t="array" ref="O301">_xlfn.IFS(orders[[#This Row],[Customer Gender]]="M","Male", orders[[#This Row],[Customer Gender]]="F","Female", orders[[#This Row],[Customer Gender]]="O","Other", TRUE,"Unknown")</f>
        <v>Male</v>
      </c>
    </row>
    <row r="302" spans="1:15" x14ac:dyDescent="0.3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1">
        <v>45670</v>
      </c>
      <c r="G302" s="1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f>orders[[#This Row],[Ship Date]]-orders[[#This Row],[Order Date]]</f>
        <v>4</v>
      </c>
      <c r="N302">
        <f>WEEKNUM(orders[[#This Row],[Order Date]])</f>
        <v>3</v>
      </c>
      <c r="O302" t="str" cm="1">
        <f t="array" ref="O302">_xlfn.IFS(orders[[#This Row],[Customer Gender]]="M","Male", orders[[#This Row],[Customer Gender]]="F","Female", orders[[#This Row],[Customer Gender]]="O","Other", TRUE,"Unknown")</f>
        <v>Female</v>
      </c>
    </row>
    <row r="303" spans="1:15" x14ac:dyDescent="0.3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1">
        <v>45670</v>
      </c>
      <c r="G303" s="1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f>orders[[#This Row],[Ship Date]]-orders[[#This Row],[Order Date]]</f>
        <v>2</v>
      </c>
      <c r="N303">
        <f>WEEKNUM(orders[[#This Row],[Order Date]])</f>
        <v>3</v>
      </c>
      <c r="O303" t="str" cm="1">
        <f t="array" ref="O303">_xlfn.IFS(orders[[#This Row],[Customer Gender]]="M","Male", orders[[#This Row],[Customer Gender]]="F","Female", orders[[#This Row],[Customer Gender]]="O","Other", TRUE,"Unknown")</f>
        <v>Female</v>
      </c>
    </row>
    <row r="304" spans="1:15" x14ac:dyDescent="0.3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1">
        <v>45670</v>
      </c>
      <c r="G304" s="1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f>orders[[#This Row],[Ship Date]]-orders[[#This Row],[Order Date]]</f>
        <v>2</v>
      </c>
      <c r="N304">
        <f>WEEKNUM(orders[[#This Row],[Order Date]])</f>
        <v>3</v>
      </c>
      <c r="O304" t="str" cm="1">
        <f t="array" ref="O304">_xlfn.IFS(orders[[#This Row],[Customer Gender]]="M","Male", orders[[#This Row],[Customer Gender]]="F","Female", orders[[#This Row],[Customer Gender]]="O","Other", TRUE,"Unknown")</f>
        <v>Female</v>
      </c>
    </row>
    <row r="305" spans="1:15" x14ac:dyDescent="0.3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1">
        <v>45670</v>
      </c>
      <c r="G305" s="1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f>orders[[#This Row],[Ship Date]]-orders[[#This Row],[Order Date]]</f>
        <v>1</v>
      </c>
      <c r="N305">
        <f>WEEKNUM(orders[[#This Row],[Order Date]])</f>
        <v>3</v>
      </c>
      <c r="O305" t="str" cm="1">
        <f t="array" ref="O305">_xlfn.IFS(orders[[#This Row],[Customer Gender]]="M","Male", orders[[#This Row],[Customer Gender]]="F","Female", orders[[#This Row],[Customer Gender]]="O","Other", TRUE,"Unknown")</f>
        <v>Female</v>
      </c>
    </row>
    <row r="306" spans="1:15" x14ac:dyDescent="0.3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1">
        <v>45670</v>
      </c>
      <c r="G306" s="1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f>orders[[#This Row],[Ship Date]]-orders[[#This Row],[Order Date]]</f>
        <v>0</v>
      </c>
      <c r="N306">
        <f>WEEKNUM(orders[[#This Row],[Order Date]])</f>
        <v>3</v>
      </c>
      <c r="O306" t="str" cm="1">
        <f t="array" ref="O306">_xlfn.IFS(orders[[#This Row],[Customer Gender]]="M","Male", orders[[#This Row],[Customer Gender]]="F","Female", orders[[#This Row],[Customer Gender]]="O","Other", TRUE,"Unknown")</f>
        <v>Male</v>
      </c>
    </row>
    <row r="307" spans="1:15" x14ac:dyDescent="0.3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1">
        <v>45670</v>
      </c>
      <c r="G307" s="1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f>orders[[#This Row],[Ship Date]]-orders[[#This Row],[Order Date]]</f>
        <v>1</v>
      </c>
      <c r="N307">
        <f>WEEKNUM(orders[[#This Row],[Order Date]])</f>
        <v>3</v>
      </c>
      <c r="O307" t="str" cm="1">
        <f t="array" ref="O307">_xlfn.IFS(orders[[#This Row],[Customer Gender]]="M","Male", orders[[#This Row],[Customer Gender]]="F","Female", orders[[#This Row],[Customer Gender]]="O","Other", TRUE,"Unknown")</f>
        <v>Female</v>
      </c>
    </row>
    <row r="308" spans="1:15" x14ac:dyDescent="0.3">
      <c r="A308" t="s">
        <v>390</v>
      </c>
      <c r="B308" t="s">
        <v>146</v>
      </c>
      <c r="C308">
        <v>3</v>
      </c>
      <c r="D308">
        <v>26</v>
      </c>
      <c r="E308">
        <v>78</v>
      </c>
      <c r="F308" s="1">
        <v>45670</v>
      </c>
      <c r="G308" s="1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f>orders[[#This Row],[Ship Date]]-orders[[#This Row],[Order Date]]</f>
        <v>3</v>
      </c>
      <c r="N308">
        <f>WEEKNUM(orders[[#This Row],[Order Date]])</f>
        <v>3</v>
      </c>
      <c r="O308" t="str" cm="1">
        <f t="array" ref="O308">_xlfn.IFS(orders[[#This Row],[Customer Gender]]="M","Male", orders[[#This Row],[Customer Gender]]="F","Female", orders[[#This Row],[Customer Gender]]="O","Other", TRUE,"Unknown")</f>
        <v>Female</v>
      </c>
    </row>
    <row r="309" spans="1:15" x14ac:dyDescent="0.3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1">
        <v>45670</v>
      </c>
      <c r="G309" s="1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f>orders[[#This Row],[Ship Date]]-orders[[#This Row],[Order Date]]</f>
        <v>5</v>
      </c>
      <c r="N309">
        <f>WEEKNUM(orders[[#This Row],[Order Date]])</f>
        <v>3</v>
      </c>
      <c r="O309" t="str" cm="1">
        <f t="array" ref="O309">_xlfn.IFS(orders[[#This Row],[Customer Gender]]="M","Male", orders[[#This Row],[Customer Gender]]="F","Female", orders[[#This Row],[Customer Gender]]="O","Other", TRUE,"Unknown")</f>
        <v>Female</v>
      </c>
    </row>
    <row r="310" spans="1:15" x14ac:dyDescent="0.3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1">
        <v>45671</v>
      </c>
      <c r="G310" s="1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f>orders[[#This Row],[Ship Date]]-orders[[#This Row],[Order Date]]</f>
        <v>1</v>
      </c>
      <c r="N310">
        <f>WEEKNUM(orders[[#This Row],[Order Date]])</f>
        <v>3</v>
      </c>
      <c r="O310" t="str" cm="1">
        <f t="array" ref="O310">_xlfn.IFS(orders[[#This Row],[Customer Gender]]="M","Male", orders[[#This Row],[Customer Gender]]="F","Female", orders[[#This Row],[Customer Gender]]="O","Other", TRUE,"Unknown")</f>
        <v>Male</v>
      </c>
    </row>
    <row r="311" spans="1:15" x14ac:dyDescent="0.3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1">
        <v>45671</v>
      </c>
      <c r="G311" s="1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f>orders[[#This Row],[Ship Date]]-orders[[#This Row],[Order Date]]</f>
        <v>0</v>
      </c>
      <c r="N311">
        <f>WEEKNUM(orders[[#This Row],[Order Date]])</f>
        <v>3</v>
      </c>
      <c r="O311" t="str" cm="1">
        <f t="array" ref="O311">_xlfn.IFS(orders[[#This Row],[Customer Gender]]="M","Male", orders[[#This Row],[Customer Gender]]="F","Female", orders[[#This Row],[Customer Gender]]="O","Other", TRUE,"Unknown")</f>
        <v>Female</v>
      </c>
    </row>
    <row r="312" spans="1:15" x14ac:dyDescent="0.3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1">
        <v>45671</v>
      </c>
      <c r="G312" s="1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f>orders[[#This Row],[Ship Date]]-orders[[#This Row],[Order Date]]</f>
        <v>1</v>
      </c>
      <c r="N312">
        <f>WEEKNUM(orders[[#This Row],[Order Date]])</f>
        <v>3</v>
      </c>
      <c r="O312" t="str" cm="1">
        <f t="array" ref="O312">_xlfn.IFS(orders[[#This Row],[Customer Gender]]="M","Male", orders[[#This Row],[Customer Gender]]="F","Female", orders[[#This Row],[Customer Gender]]="O","Other", TRUE,"Unknown")</f>
        <v>Male</v>
      </c>
    </row>
    <row r="313" spans="1:15" x14ac:dyDescent="0.3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1">
        <v>45671</v>
      </c>
      <c r="G313" s="1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f>orders[[#This Row],[Ship Date]]-orders[[#This Row],[Order Date]]</f>
        <v>4</v>
      </c>
      <c r="N313">
        <f>WEEKNUM(orders[[#This Row],[Order Date]])</f>
        <v>3</v>
      </c>
      <c r="O313" t="str" cm="1">
        <f t="array" ref="O313">_xlfn.IFS(orders[[#This Row],[Customer Gender]]="M","Male", orders[[#This Row],[Customer Gender]]="F","Female", orders[[#This Row],[Customer Gender]]="O","Other", TRUE,"Unknown")</f>
        <v>Male</v>
      </c>
    </row>
    <row r="314" spans="1:15" x14ac:dyDescent="0.3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1">
        <v>45671</v>
      </c>
      <c r="G314" s="1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f>orders[[#This Row],[Ship Date]]-orders[[#This Row],[Order Date]]</f>
        <v>1</v>
      </c>
      <c r="N314">
        <f>WEEKNUM(orders[[#This Row],[Order Date]])</f>
        <v>3</v>
      </c>
      <c r="O314" t="str" cm="1">
        <f t="array" ref="O314">_xlfn.IFS(orders[[#This Row],[Customer Gender]]="M","Male", orders[[#This Row],[Customer Gender]]="F","Female", orders[[#This Row],[Customer Gender]]="O","Other", TRUE,"Unknown")</f>
        <v>Male</v>
      </c>
    </row>
    <row r="315" spans="1:15" x14ac:dyDescent="0.3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1">
        <v>45671</v>
      </c>
      <c r="G315" s="1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f>orders[[#This Row],[Ship Date]]-orders[[#This Row],[Order Date]]</f>
        <v>1</v>
      </c>
      <c r="N315">
        <f>WEEKNUM(orders[[#This Row],[Order Date]])</f>
        <v>3</v>
      </c>
      <c r="O315" t="str" cm="1">
        <f t="array" ref="O315">_xlfn.IFS(orders[[#This Row],[Customer Gender]]="M","Male", orders[[#This Row],[Customer Gender]]="F","Female", orders[[#This Row],[Customer Gender]]="O","Other", TRUE,"Unknown")</f>
        <v>Female</v>
      </c>
    </row>
    <row r="316" spans="1:15" x14ac:dyDescent="0.3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1">
        <v>45671</v>
      </c>
      <c r="G316" s="1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f>orders[[#This Row],[Ship Date]]-orders[[#This Row],[Order Date]]</f>
        <v>3</v>
      </c>
      <c r="N316">
        <f>WEEKNUM(orders[[#This Row],[Order Date]])</f>
        <v>3</v>
      </c>
      <c r="O316" t="str" cm="1">
        <f t="array" ref="O316">_xlfn.IFS(orders[[#This Row],[Customer Gender]]="M","Male", orders[[#This Row],[Customer Gender]]="F","Female", orders[[#This Row],[Customer Gender]]="O","Other", TRUE,"Unknown")</f>
        <v>Male</v>
      </c>
    </row>
    <row r="317" spans="1:15" x14ac:dyDescent="0.3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1">
        <v>45671</v>
      </c>
      <c r="G317" s="1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f>orders[[#This Row],[Ship Date]]-orders[[#This Row],[Order Date]]</f>
        <v>2</v>
      </c>
      <c r="N317">
        <f>WEEKNUM(orders[[#This Row],[Order Date]])</f>
        <v>3</v>
      </c>
      <c r="O317" t="str" cm="1">
        <f t="array" ref="O317">_xlfn.IFS(orders[[#This Row],[Customer Gender]]="M","Male", orders[[#This Row],[Customer Gender]]="F","Female", orders[[#This Row],[Customer Gender]]="O","Other", TRUE,"Unknown")</f>
        <v>Female</v>
      </c>
    </row>
    <row r="318" spans="1:15" x14ac:dyDescent="0.3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1">
        <v>45671</v>
      </c>
      <c r="G318" s="1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f>orders[[#This Row],[Ship Date]]-orders[[#This Row],[Order Date]]</f>
        <v>1</v>
      </c>
      <c r="N318">
        <f>WEEKNUM(orders[[#This Row],[Order Date]])</f>
        <v>3</v>
      </c>
      <c r="O318" t="str" cm="1">
        <f t="array" ref="O318">_xlfn.IFS(orders[[#This Row],[Customer Gender]]="M","Male", orders[[#This Row],[Customer Gender]]="F","Female", orders[[#This Row],[Customer Gender]]="O","Other", TRUE,"Unknown")</f>
        <v>Unknown</v>
      </c>
    </row>
    <row r="319" spans="1:15" x14ac:dyDescent="0.3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1">
        <v>45671</v>
      </c>
      <c r="G319" s="1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f>orders[[#This Row],[Ship Date]]-orders[[#This Row],[Order Date]]</f>
        <v>1</v>
      </c>
      <c r="N319">
        <f>WEEKNUM(orders[[#This Row],[Order Date]])</f>
        <v>3</v>
      </c>
      <c r="O319" t="str" cm="1">
        <f t="array" ref="O319">_xlfn.IFS(orders[[#This Row],[Customer Gender]]="M","Male", orders[[#This Row],[Customer Gender]]="F","Female", orders[[#This Row],[Customer Gender]]="O","Other", TRUE,"Unknown")</f>
        <v>Female</v>
      </c>
    </row>
    <row r="320" spans="1:15" x14ac:dyDescent="0.3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1">
        <v>45671</v>
      </c>
      <c r="G320" s="1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f>orders[[#This Row],[Ship Date]]-orders[[#This Row],[Order Date]]</f>
        <v>3</v>
      </c>
      <c r="N320">
        <f>WEEKNUM(orders[[#This Row],[Order Date]])</f>
        <v>3</v>
      </c>
      <c r="O320" t="str" cm="1">
        <f t="array" ref="O320">_xlfn.IFS(orders[[#This Row],[Customer Gender]]="M","Male", orders[[#This Row],[Customer Gender]]="F","Female", orders[[#This Row],[Customer Gender]]="O","Other", TRUE,"Unknown")</f>
        <v>Female</v>
      </c>
    </row>
    <row r="321" spans="1:15" x14ac:dyDescent="0.3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1">
        <v>45671</v>
      </c>
      <c r="G321" s="1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f>orders[[#This Row],[Ship Date]]-orders[[#This Row],[Order Date]]</f>
        <v>4</v>
      </c>
      <c r="N321">
        <f>WEEKNUM(orders[[#This Row],[Order Date]])</f>
        <v>3</v>
      </c>
      <c r="O321" t="str" cm="1">
        <f t="array" ref="O321">_xlfn.IFS(orders[[#This Row],[Customer Gender]]="M","Male", orders[[#This Row],[Customer Gender]]="F","Female", orders[[#This Row],[Customer Gender]]="O","Other", TRUE,"Unknown")</f>
        <v>Male</v>
      </c>
    </row>
    <row r="322" spans="1:15" x14ac:dyDescent="0.3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1">
        <v>45671</v>
      </c>
      <c r="G322" s="1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f>orders[[#This Row],[Ship Date]]-orders[[#This Row],[Order Date]]</f>
        <v>2</v>
      </c>
      <c r="N322">
        <f>WEEKNUM(orders[[#This Row],[Order Date]])</f>
        <v>3</v>
      </c>
      <c r="O322" t="str" cm="1">
        <f t="array" ref="O322">_xlfn.IFS(orders[[#This Row],[Customer Gender]]="M","Male", orders[[#This Row],[Customer Gender]]="F","Female", orders[[#This Row],[Customer Gender]]="O","Other", TRUE,"Unknown")</f>
        <v>Other</v>
      </c>
    </row>
    <row r="323" spans="1:15" x14ac:dyDescent="0.3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1">
        <v>45671</v>
      </c>
      <c r="G323" s="1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f>orders[[#This Row],[Ship Date]]-orders[[#This Row],[Order Date]]</f>
        <v>7</v>
      </c>
      <c r="N323">
        <f>WEEKNUM(orders[[#This Row],[Order Date]])</f>
        <v>3</v>
      </c>
      <c r="O323" t="str" cm="1">
        <f t="array" ref="O323">_xlfn.IFS(orders[[#This Row],[Customer Gender]]="M","Male", orders[[#This Row],[Customer Gender]]="F","Female", orders[[#This Row],[Customer Gender]]="O","Other", TRUE,"Unknown")</f>
        <v>Unknown</v>
      </c>
    </row>
    <row r="324" spans="1:15" x14ac:dyDescent="0.3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1">
        <v>45671</v>
      </c>
      <c r="G324" s="1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f>orders[[#This Row],[Ship Date]]-orders[[#This Row],[Order Date]]</f>
        <v>1</v>
      </c>
      <c r="N324">
        <f>WEEKNUM(orders[[#This Row],[Order Date]])</f>
        <v>3</v>
      </c>
      <c r="O324" t="str" cm="1">
        <f t="array" ref="O324">_xlfn.IFS(orders[[#This Row],[Customer Gender]]="M","Male", orders[[#This Row],[Customer Gender]]="F","Female", orders[[#This Row],[Customer Gender]]="O","Other", TRUE,"Unknown")</f>
        <v>Female</v>
      </c>
    </row>
    <row r="325" spans="1:15" x14ac:dyDescent="0.3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1">
        <v>45671</v>
      </c>
      <c r="G325" s="1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f>orders[[#This Row],[Ship Date]]-orders[[#This Row],[Order Date]]</f>
        <v>6</v>
      </c>
      <c r="N325">
        <f>WEEKNUM(orders[[#This Row],[Order Date]])</f>
        <v>3</v>
      </c>
      <c r="O325" t="str" cm="1">
        <f t="array" ref="O325">_xlfn.IFS(orders[[#This Row],[Customer Gender]]="M","Male", orders[[#This Row],[Customer Gender]]="F","Female", orders[[#This Row],[Customer Gender]]="O","Other", TRUE,"Unknown")</f>
        <v>Male</v>
      </c>
    </row>
    <row r="326" spans="1:15" x14ac:dyDescent="0.3">
      <c r="A326" t="s">
        <v>409</v>
      </c>
      <c r="B326" t="s">
        <v>22</v>
      </c>
      <c r="C326">
        <v>2</v>
      </c>
      <c r="D326">
        <v>100</v>
      </c>
      <c r="E326">
        <v>200</v>
      </c>
      <c r="F326" s="1">
        <v>45671</v>
      </c>
      <c r="G326" s="1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f>orders[[#This Row],[Ship Date]]-orders[[#This Row],[Order Date]]</f>
        <v>1</v>
      </c>
      <c r="N326">
        <f>WEEKNUM(orders[[#This Row],[Order Date]])</f>
        <v>3</v>
      </c>
      <c r="O326" t="str" cm="1">
        <f t="array" ref="O326">_xlfn.IFS(orders[[#This Row],[Customer Gender]]="M","Male", orders[[#This Row],[Customer Gender]]="F","Female", orders[[#This Row],[Customer Gender]]="O","Other", TRUE,"Unknown")</f>
        <v>Female</v>
      </c>
    </row>
    <row r="327" spans="1:15" x14ac:dyDescent="0.3">
      <c r="A327" t="s">
        <v>410</v>
      </c>
      <c r="B327" t="s">
        <v>54</v>
      </c>
      <c r="C327">
        <v>3</v>
      </c>
      <c r="D327">
        <v>43</v>
      </c>
      <c r="E327">
        <v>129</v>
      </c>
      <c r="F327" s="1">
        <v>45672</v>
      </c>
      <c r="G327" s="1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f>orders[[#This Row],[Ship Date]]-orders[[#This Row],[Order Date]]</f>
        <v>0</v>
      </c>
      <c r="N327">
        <f>WEEKNUM(orders[[#This Row],[Order Date]])</f>
        <v>3</v>
      </c>
      <c r="O327" t="str" cm="1">
        <f t="array" ref="O327">_xlfn.IFS(orders[[#This Row],[Customer Gender]]="M","Male", orders[[#This Row],[Customer Gender]]="F","Female", orders[[#This Row],[Customer Gender]]="O","Other", TRUE,"Unknown")</f>
        <v>Female</v>
      </c>
    </row>
    <row r="328" spans="1:15" x14ac:dyDescent="0.3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1">
        <v>45672</v>
      </c>
      <c r="G328" s="1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f>orders[[#This Row],[Ship Date]]-orders[[#This Row],[Order Date]]</f>
        <v>2</v>
      </c>
      <c r="N328">
        <f>WEEKNUM(orders[[#This Row],[Order Date]])</f>
        <v>3</v>
      </c>
      <c r="O328" t="str" cm="1">
        <f t="array" ref="O328">_xlfn.IFS(orders[[#This Row],[Customer Gender]]="M","Male", orders[[#This Row],[Customer Gender]]="F","Female", orders[[#This Row],[Customer Gender]]="O","Other", TRUE,"Unknown")</f>
        <v>Male</v>
      </c>
    </row>
    <row r="329" spans="1:15" x14ac:dyDescent="0.3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1">
        <v>45672</v>
      </c>
      <c r="G329" s="1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f>orders[[#This Row],[Ship Date]]-orders[[#This Row],[Order Date]]</f>
        <v>1</v>
      </c>
      <c r="N329">
        <f>WEEKNUM(orders[[#This Row],[Order Date]])</f>
        <v>3</v>
      </c>
      <c r="O329" t="str" cm="1">
        <f t="array" ref="O329">_xlfn.IFS(orders[[#This Row],[Customer Gender]]="M","Male", orders[[#This Row],[Customer Gender]]="F","Female", orders[[#This Row],[Customer Gender]]="O","Other", TRUE,"Unknown")</f>
        <v>Male</v>
      </c>
    </row>
    <row r="330" spans="1:15" x14ac:dyDescent="0.3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1">
        <v>45672</v>
      </c>
      <c r="G330" s="1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f>orders[[#This Row],[Ship Date]]-orders[[#This Row],[Order Date]]</f>
        <v>3</v>
      </c>
      <c r="N330">
        <f>WEEKNUM(orders[[#This Row],[Order Date]])</f>
        <v>3</v>
      </c>
      <c r="O330" t="str" cm="1">
        <f t="array" ref="O330">_xlfn.IFS(orders[[#This Row],[Customer Gender]]="M","Male", orders[[#This Row],[Customer Gender]]="F","Female", orders[[#This Row],[Customer Gender]]="O","Other", TRUE,"Unknown")</f>
        <v>Female</v>
      </c>
    </row>
    <row r="331" spans="1:15" x14ac:dyDescent="0.3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1">
        <v>45672</v>
      </c>
      <c r="G331" s="1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f>orders[[#This Row],[Ship Date]]-orders[[#This Row],[Order Date]]</f>
        <v>1</v>
      </c>
      <c r="N331">
        <f>WEEKNUM(orders[[#This Row],[Order Date]])</f>
        <v>3</v>
      </c>
      <c r="O331" t="str" cm="1">
        <f t="array" ref="O331">_xlfn.IFS(orders[[#This Row],[Customer Gender]]="M","Male", orders[[#This Row],[Customer Gender]]="F","Female", orders[[#This Row],[Customer Gender]]="O","Other", TRUE,"Unknown")</f>
        <v>Female</v>
      </c>
    </row>
    <row r="332" spans="1:15" x14ac:dyDescent="0.3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1">
        <v>45672</v>
      </c>
      <c r="G332" s="1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f>orders[[#This Row],[Ship Date]]-orders[[#This Row],[Order Date]]</f>
        <v>1</v>
      </c>
      <c r="N332">
        <f>WEEKNUM(orders[[#This Row],[Order Date]])</f>
        <v>3</v>
      </c>
      <c r="O332" t="str" cm="1">
        <f t="array" ref="O332">_xlfn.IFS(orders[[#This Row],[Customer Gender]]="M","Male", orders[[#This Row],[Customer Gender]]="F","Female", orders[[#This Row],[Customer Gender]]="O","Other", TRUE,"Unknown")</f>
        <v>Female</v>
      </c>
    </row>
    <row r="333" spans="1:15" x14ac:dyDescent="0.3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1">
        <v>45672</v>
      </c>
      <c r="G333" s="1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f>orders[[#This Row],[Ship Date]]-orders[[#This Row],[Order Date]]</f>
        <v>1</v>
      </c>
      <c r="N333">
        <f>WEEKNUM(orders[[#This Row],[Order Date]])</f>
        <v>3</v>
      </c>
      <c r="O333" t="str" cm="1">
        <f t="array" ref="O333">_xlfn.IFS(orders[[#This Row],[Customer Gender]]="M","Male", orders[[#This Row],[Customer Gender]]="F","Female", orders[[#This Row],[Customer Gender]]="O","Other", TRUE,"Unknown")</f>
        <v>Female</v>
      </c>
    </row>
    <row r="334" spans="1:15" x14ac:dyDescent="0.3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1">
        <v>45672</v>
      </c>
      <c r="G334" s="1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f>orders[[#This Row],[Ship Date]]-orders[[#This Row],[Order Date]]</f>
        <v>2</v>
      </c>
      <c r="N334">
        <f>WEEKNUM(orders[[#This Row],[Order Date]])</f>
        <v>3</v>
      </c>
      <c r="O334" t="str" cm="1">
        <f t="array" ref="O334">_xlfn.IFS(orders[[#This Row],[Customer Gender]]="M","Male", orders[[#This Row],[Customer Gender]]="F","Female", orders[[#This Row],[Customer Gender]]="O","Other", TRUE,"Unknown")</f>
        <v>Male</v>
      </c>
    </row>
    <row r="335" spans="1:15" x14ac:dyDescent="0.3">
      <c r="A335" t="s">
        <v>419</v>
      </c>
      <c r="B335" t="s">
        <v>44</v>
      </c>
      <c r="C335">
        <v>7</v>
      </c>
      <c r="D335">
        <v>26</v>
      </c>
      <c r="E335">
        <v>182</v>
      </c>
      <c r="F335" s="1">
        <v>45672</v>
      </c>
      <c r="G335" s="1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f>orders[[#This Row],[Ship Date]]-orders[[#This Row],[Order Date]]</f>
        <v>3</v>
      </c>
      <c r="N335">
        <f>WEEKNUM(orders[[#This Row],[Order Date]])</f>
        <v>3</v>
      </c>
      <c r="O335" t="str" cm="1">
        <f t="array" ref="O335">_xlfn.IFS(orders[[#This Row],[Customer Gender]]="M","Male", orders[[#This Row],[Customer Gender]]="F","Female", orders[[#This Row],[Customer Gender]]="O","Other", TRUE,"Unknown")</f>
        <v>Female</v>
      </c>
    </row>
    <row r="336" spans="1:15" x14ac:dyDescent="0.3">
      <c r="A336" t="s">
        <v>420</v>
      </c>
      <c r="B336" t="s">
        <v>46</v>
      </c>
      <c r="C336">
        <v>6</v>
      </c>
      <c r="D336">
        <v>37.5</v>
      </c>
      <c r="E336">
        <v>225</v>
      </c>
      <c r="F336" s="1">
        <v>45672</v>
      </c>
      <c r="G336" s="1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f>orders[[#This Row],[Ship Date]]-orders[[#This Row],[Order Date]]</f>
        <v>1</v>
      </c>
      <c r="N336">
        <f>WEEKNUM(orders[[#This Row],[Order Date]])</f>
        <v>3</v>
      </c>
      <c r="O336" t="str" cm="1">
        <f t="array" ref="O336">_xlfn.IFS(orders[[#This Row],[Customer Gender]]="M","Male", orders[[#This Row],[Customer Gender]]="F","Female", orders[[#This Row],[Customer Gender]]="O","Other", TRUE,"Unknown")</f>
        <v>Female</v>
      </c>
    </row>
    <row r="337" spans="1:15" x14ac:dyDescent="0.3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1">
        <v>45672</v>
      </c>
      <c r="G337" s="1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f>orders[[#This Row],[Ship Date]]-orders[[#This Row],[Order Date]]</f>
        <v>6</v>
      </c>
      <c r="N337">
        <f>WEEKNUM(orders[[#This Row],[Order Date]])</f>
        <v>3</v>
      </c>
      <c r="O337" t="str" cm="1">
        <f t="array" ref="O337">_xlfn.IFS(orders[[#This Row],[Customer Gender]]="M","Male", orders[[#This Row],[Customer Gender]]="F","Female", orders[[#This Row],[Customer Gender]]="O","Other", TRUE,"Unknown")</f>
        <v>Male</v>
      </c>
    </row>
    <row r="338" spans="1:15" x14ac:dyDescent="0.3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1">
        <v>45672</v>
      </c>
      <c r="G338" s="1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f>orders[[#This Row],[Ship Date]]-orders[[#This Row],[Order Date]]</f>
        <v>12</v>
      </c>
      <c r="N338">
        <f>WEEKNUM(orders[[#This Row],[Order Date]])</f>
        <v>3</v>
      </c>
      <c r="O338" t="str" cm="1">
        <f t="array" ref="O338">_xlfn.IFS(orders[[#This Row],[Customer Gender]]="M","Male", orders[[#This Row],[Customer Gender]]="F","Female", orders[[#This Row],[Customer Gender]]="O","Other", TRUE,"Unknown")</f>
        <v>Unknown</v>
      </c>
    </row>
    <row r="339" spans="1:15" x14ac:dyDescent="0.3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1">
        <v>45672</v>
      </c>
      <c r="G339" s="1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f>orders[[#This Row],[Ship Date]]-orders[[#This Row],[Order Date]]</f>
        <v>2</v>
      </c>
      <c r="N339">
        <f>WEEKNUM(orders[[#This Row],[Order Date]])</f>
        <v>3</v>
      </c>
      <c r="O339" t="str" cm="1">
        <f t="array" ref="O339">_xlfn.IFS(orders[[#This Row],[Customer Gender]]="M","Male", orders[[#This Row],[Customer Gender]]="F","Female", orders[[#This Row],[Customer Gender]]="O","Other", TRUE,"Unknown")</f>
        <v>Female</v>
      </c>
    </row>
    <row r="340" spans="1:15" x14ac:dyDescent="0.3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1">
        <v>45672</v>
      </c>
      <c r="G340" s="1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f>orders[[#This Row],[Ship Date]]-orders[[#This Row],[Order Date]]</f>
        <v>0</v>
      </c>
      <c r="N340">
        <f>WEEKNUM(orders[[#This Row],[Order Date]])</f>
        <v>3</v>
      </c>
      <c r="O340" t="str" cm="1">
        <f t="array" ref="O340">_xlfn.IFS(orders[[#This Row],[Customer Gender]]="M","Male", orders[[#This Row],[Customer Gender]]="F","Female", orders[[#This Row],[Customer Gender]]="O","Other", TRUE,"Unknown")</f>
        <v>Male</v>
      </c>
    </row>
    <row r="341" spans="1:15" x14ac:dyDescent="0.3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1">
        <v>45672</v>
      </c>
      <c r="G341" s="1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f>orders[[#This Row],[Ship Date]]-orders[[#This Row],[Order Date]]</f>
        <v>0</v>
      </c>
      <c r="N341">
        <f>WEEKNUM(orders[[#This Row],[Order Date]])</f>
        <v>3</v>
      </c>
      <c r="O341" t="str" cm="1">
        <f t="array" ref="O341">_xlfn.IFS(orders[[#This Row],[Customer Gender]]="M","Male", orders[[#This Row],[Customer Gender]]="F","Female", orders[[#This Row],[Customer Gender]]="O","Other", TRUE,"Unknown")</f>
        <v>Female</v>
      </c>
    </row>
    <row r="342" spans="1:15" x14ac:dyDescent="0.3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1">
        <v>45672</v>
      </c>
      <c r="G342" s="1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f>orders[[#This Row],[Ship Date]]-orders[[#This Row],[Order Date]]</f>
        <v>2</v>
      </c>
      <c r="N342">
        <f>WEEKNUM(orders[[#This Row],[Order Date]])</f>
        <v>3</v>
      </c>
      <c r="O342" t="str" cm="1">
        <f t="array" ref="O342">_xlfn.IFS(orders[[#This Row],[Customer Gender]]="M","Male", orders[[#This Row],[Customer Gender]]="F","Female", orders[[#This Row],[Customer Gender]]="O","Other", TRUE,"Unknown")</f>
        <v>Female</v>
      </c>
    </row>
    <row r="343" spans="1:15" x14ac:dyDescent="0.3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1">
        <v>45672</v>
      </c>
      <c r="G343" s="1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f>orders[[#This Row],[Ship Date]]-orders[[#This Row],[Order Date]]</f>
        <v>11</v>
      </c>
      <c r="N343">
        <f>WEEKNUM(orders[[#This Row],[Order Date]])</f>
        <v>3</v>
      </c>
      <c r="O343" t="str" cm="1">
        <f t="array" ref="O343">_xlfn.IFS(orders[[#This Row],[Customer Gender]]="M","Male", orders[[#This Row],[Customer Gender]]="F","Female", orders[[#This Row],[Customer Gender]]="O","Other", TRUE,"Unknown")</f>
        <v>Male</v>
      </c>
    </row>
    <row r="344" spans="1:15" x14ac:dyDescent="0.3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1">
        <v>45672</v>
      </c>
      <c r="G344" s="1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f>orders[[#This Row],[Ship Date]]-orders[[#This Row],[Order Date]]</f>
        <v>2</v>
      </c>
      <c r="N344">
        <f>WEEKNUM(orders[[#This Row],[Order Date]])</f>
        <v>3</v>
      </c>
      <c r="O344" t="str" cm="1">
        <f t="array" ref="O344">_xlfn.IFS(orders[[#This Row],[Customer Gender]]="M","Male", orders[[#This Row],[Customer Gender]]="F","Female", orders[[#This Row],[Customer Gender]]="O","Other", TRUE,"Unknown")</f>
        <v>Female</v>
      </c>
    </row>
    <row r="345" spans="1:15" x14ac:dyDescent="0.3">
      <c r="A345" t="s">
        <v>430</v>
      </c>
      <c r="B345" t="s">
        <v>30</v>
      </c>
      <c r="C345">
        <v>5</v>
      </c>
      <c r="D345">
        <v>45.2</v>
      </c>
      <c r="E345">
        <v>226</v>
      </c>
      <c r="F345" s="1">
        <v>45672</v>
      </c>
      <c r="G345" s="1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f>orders[[#This Row],[Ship Date]]-orders[[#This Row],[Order Date]]</f>
        <v>4</v>
      </c>
      <c r="N345">
        <f>WEEKNUM(orders[[#This Row],[Order Date]])</f>
        <v>3</v>
      </c>
      <c r="O345" t="str" cm="1">
        <f t="array" ref="O345">_xlfn.IFS(orders[[#This Row],[Customer Gender]]="M","Male", orders[[#This Row],[Customer Gender]]="F","Female", orders[[#This Row],[Customer Gender]]="O","Other", TRUE,"Unknown")</f>
        <v>Female</v>
      </c>
    </row>
    <row r="346" spans="1:15" x14ac:dyDescent="0.3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1">
        <v>45672</v>
      </c>
      <c r="G346" s="1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f>orders[[#This Row],[Ship Date]]-orders[[#This Row],[Order Date]]</f>
        <v>0</v>
      </c>
      <c r="N346">
        <f>WEEKNUM(orders[[#This Row],[Order Date]])</f>
        <v>3</v>
      </c>
      <c r="O346" t="str" cm="1">
        <f t="array" ref="O346">_xlfn.IFS(orders[[#This Row],[Customer Gender]]="M","Male", orders[[#This Row],[Customer Gender]]="F","Female", orders[[#This Row],[Customer Gender]]="O","Other", TRUE,"Unknown")</f>
        <v>Female</v>
      </c>
    </row>
    <row r="347" spans="1:15" x14ac:dyDescent="0.3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1">
        <v>45672</v>
      </c>
      <c r="G347" s="1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f>orders[[#This Row],[Ship Date]]-orders[[#This Row],[Order Date]]</f>
        <v>2</v>
      </c>
      <c r="N347">
        <f>WEEKNUM(orders[[#This Row],[Order Date]])</f>
        <v>3</v>
      </c>
      <c r="O347" t="str" cm="1">
        <f t="array" ref="O347">_xlfn.IFS(orders[[#This Row],[Customer Gender]]="M","Male", orders[[#This Row],[Customer Gender]]="F","Female", orders[[#This Row],[Customer Gender]]="O","Other", TRUE,"Unknown")</f>
        <v>Unknown</v>
      </c>
    </row>
    <row r="348" spans="1:15" x14ac:dyDescent="0.3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1">
        <v>45672</v>
      </c>
      <c r="G348" s="1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f>orders[[#This Row],[Ship Date]]-orders[[#This Row],[Order Date]]</f>
        <v>2</v>
      </c>
      <c r="N348">
        <f>WEEKNUM(orders[[#This Row],[Order Date]])</f>
        <v>3</v>
      </c>
      <c r="O348" t="str" cm="1">
        <f t="array" ref="O348">_xlfn.IFS(orders[[#This Row],[Customer Gender]]="M","Male", orders[[#This Row],[Customer Gender]]="F","Female", orders[[#This Row],[Customer Gender]]="O","Other", TRUE,"Unknown")</f>
        <v>Male</v>
      </c>
    </row>
    <row r="349" spans="1:15" x14ac:dyDescent="0.3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1">
        <v>45672</v>
      </c>
      <c r="G349" s="1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f>orders[[#This Row],[Ship Date]]-orders[[#This Row],[Order Date]]</f>
        <v>1</v>
      </c>
      <c r="N349">
        <f>WEEKNUM(orders[[#This Row],[Order Date]])</f>
        <v>3</v>
      </c>
      <c r="O349" t="str" cm="1">
        <f t="array" ref="O349">_xlfn.IFS(orders[[#This Row],[Customer Gender]]="M","Male", orders[[#This Row],[Customer Gender]]="F","Female", orders[[#This Row],[Customer Gender]]="O","Other", TRUE,"Unknown")</f>
        <v>Male</v>
      </c>
    </row>
    <row r="350" spans="1:15" x14ac:dyDescent="0.3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1">
        <v>45672</v>
      </c>
      <c r="G350" s="1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f>orders[[#This Row],[Ship Date]]-orders[[#This Row],[Order Date]]</f>
        <v>4</v>
      </c>
      <c r="N350">
        <f>WEEKNUM(orders[[#This Row],[Order Date]])</f>
        <v>3</v>
      </c>
      <c r="O350" t="str" cm="1">
        <f t="array" ref="O350">_xlfn.IFS(orders[[#This Row],[Customer Gender]]="M","Male", orders[[#This Row],[Customer Gender]]="F","Female", orders[[#This Row],[Customer Gender]]="O","Other", TRUE,"Unknown")</f>
        <v>Male</v>
      </c>
    </row>
    <row r="351" spans="1:15" x14ac:dyDescent="0.3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1">
        <v>45672</v>
      </c>
      <c r="G351" s="1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f>orders[[#This Row],[Ship Date]]-orders[[#This Row],[Order Date]]</f>
        <v>1</v>
      </c>
      <c r="N351">
        <f>WEEKNUM(orders[[#This Row],[Order Date]])</f>
        <v>3</v>
      </c>
      <c r="O351" t="str" cm="1">
        <f t="array" ref="O351">_xlfn.IFS(orders[[#This Row],[Customer Gender]]="M","Male", orders[[#This Row],[Customer Gender]]="F","Female", orders[[#This Row],[Customer Gender]]="O","Other", TRUE,"Unknown")</f>
        <v>Female</v>
      </c>
    </row>
    <row r="352" spans="1:15" x14ac:dyDescent="0.3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1">
        <v>45672</v>
      </c>
      <c r="G352" s="1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f>orders[[#This Row],[Ship Date]]-orders[[#This Row],[Order Date]]</f>
        <v>1</v>
      </c>
      <c r="N352">
        <f>WEEKNUM(orders[[#This Row],[Order Date]])</f>
        <v>3</v>
      </c>
      <c r="O352" t="str" cm="1">
        <f t="array" ref="O352">_xlfn.IFS(orders[[#This Row],[Customer Gender]]="M","Male", orders[[#This Row],[Customer Gender]]="F","Female", orders[[#This Row],[Customer Gender]]="O","Other", TRUE,"Unknown")</f>
        <v>Male</v>
      </c>
    </row>
    <row r="353" spans="1:15" x14ac:dyDescent="0.3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1">
        <v>45672</v>
      </c>
      <c r="G353" s="1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f>orders[[#This Row],[Ship Date]]-orders[[#This Row],[Order Date]]</f>
        <v>0</v>
      </c>
      <c r="N353">
        <f>WEEKNUM(orders[[#This Row],[Order Date]])</f>
        <v>3</v>
      </c>
      <c r="O353" t="str" cm="1">
        <f t="array" ref="O353">_xlfn.IFS(orders[[#This Row],[Customer Gender]]="M","Male", orders[[#This Row],[Customer Gender]]="F","Female", orders[[#This Row],[Customer Gender]]="O","Other", TRUE,"Unknown")</f>
        <v>Female</v>
      </c>
    </row>
    <row r="354" spans="1:15" x14ac:dyDescent="0.3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1">
        <v>45672</v>
      </c>
      <c r="G354" s="1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f>orders[[#This Row],[Ship Date]]-orders[[#This Row],[Order Date]]</f>
        <v>8</v>
      </c>
      <c r="N354">
        <f>WEEKNUM(orders[[#This Row],[Order Date]])</f>
        <v>3</v>
      </c>
      <c r="O354" t="str" cm="1">
        <f t="array" ref="O354">_xlfn.IFS(orders[[#This Row],[Customer Gender]]="M","Male", orders[[#This Row],[Customer Gender]]="F","Female", orders[[#This Row],[Customer Gender]]="O","Other", TRUE,"Unknown")</f>
        <v>Female</v>
      </c>
    </row>
    <row r="355" spans="1:15" x14ac:dyDescent="0.3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1">
        <v>45673</v>
      </c>
      <c r="G355" s="1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f>orders[[#This Row],[Ship Date]]-orders[[#This Row],[Order Date]]</f>
        <v>1</v>
      </c>
      <c r="N355">
        <f>WEEKNUM(orders[[#This Row],[Order Date]])</f>
        <v>3</v>
      </c>
      <c r="O355" t="str" cm="1">
        <f t="array" ref="O355">_xlfn.IFS(orders[[#This Row],[Customer Gender]]="M","Male", orders[[#This Row],[Customer Gender]]="F","Female", orders[[#This Row],[Customer Gender]]="O","Other", TRUE,"Unknown")</f>
        <v>Male</v>
      </c>
    </row>
    <row r="356" spans="1:15" x14ac:dyDescent="0.3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1">
        <v>45673</v>
      </c>
      <c r="G356" s="1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f>orders[[#This Row],[Ship Date]]-orders[[#This Row],[Order Date]]</f>
        <v>6</v>
      </c>
      <c r="N356">
        <f>WEEKNUM(orders[[#This Row],[Order Date]])</f>
        <v>3</v>
      </c>
      <c r="O356" t="str" cm="1">
        <f t="array" ref="O356">_xlfn.IFS(orders[[#This Row],[Customer Gender]]="M","Male", orders[[#This Row],[Customer Gender]]="F","Female", orders[[#This Row],[Customer Gender]]="O","Other", TRUE,"Unknown")</f>
        <v>Male</v>
      </c>
    </row>
    <row r="357" spans="1:15" x14ac:dyDescent="0.3">
      <c r="A357" t="s">
        <v>443</v>
      </c>
      <c r="B357" t="s">
        <v>135</v>
      </c>
      <c r="C357">
        <v>1</v>
      </c>
      <c r="D357">
        <v>42</v>
      </c>
      <c r="E357">
        <v>42</v>
      </c>
      <c r="F357" s="1">
        <v>45673</v>
      </c>
      <c r="G357" s="1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f>orders[[#This Row],[Ship Date]]-orders[[#This Row],[Order Date]]</f>
        <v>1</v>
      </c>
      <c r="N357">
        <f>WEEKNUM(orders[[#This Row],[Order Date]])</f>
        <v>3</v>
      </c>
      <c r="O357" t="str" cm="1">
        <f t="array" ref="O357">_xlfn.IFS(orders[[#This Row],[Customer Gender]]="M","Male", orders[[#This Row],[Customer Gender]]="F","Female", orders[[#This Row],[Customer Gender]]="O","Other", TRUE,"Unknown")</f>
        <v>Unknown</v>
      </c>
    </row>
    <row r="358" spans="1:15" x14ac:dyDescent="0.3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1">
        <v>45673</v>
      </c>
      <c r="G358" s="1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f>orders[[#This Row],[Ship Date]]-orders[[#This Row],[Order Date]]</f>
        <v>2</v>
      </c>
      <c r="N358">
        <f>WEEKNUM(orders[[#This Row],[Order Date]])</f>
        <v>3</v>
      </c>
      <c r="O358" t="str" cm="1">
        <f t="array" ref="O358">_xlfn.IFS(orders[[#This Row],[Customer Gender]]="M","Male", orders[[#This Row],[Customer Gender]]="F","Female", orders[[#This Row],[Customer Gender]]="O","Other", TRUE,"Unknown")</f>
        <v>Female</v>
      </c>
    </row>
    <row r="359" spans="1:15" x14ac:dyDescent="0.3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1">
        <v>45673</v>
      </c>
      <c r="G359" s="1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f>orders[[#This Row],[Ship Date]]-orders[[#This Row],[Order Date]]</f>
        <v>3</v>
      </c>
      <c r="N359">
        <f>WEEKNUM(orders[[#This Row],[Order Date]])</f>
        <v>3</v>
      </c>
      <c r="O359" t="str" cm="1">
        <f t="array" ref="O359">_xlfn.IFS(orders[[#This Row],[Customer Gender]]="M","Male", orders[[#This Row],[Customer Gender]]="F","Female", orders[[#This Row],[Customer Gender]]="O","Other", TRUE,"Unknown")</f>
        <v>Female</v>
      </c>
    </row>
    <row r="360" spans="1:15" x14ac:dyDescent="0.3">
      <c r="A360" t="s">
        <v>446</v>
      </c>
      <c r="B360" t="s">
        <v>54</v>
      </c>
      <c r="C360">
        <v>3</v>
      </c>
      <c r="D360">
        <v>45</v>
      </c>
      <c r="E360">
        <v>135</v>
      </c>
      <c r="F360" s="1">
        <v>45673</v>
      </c>
      <c r="G360" s="1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f>orders[[#This Row],[Ship Date]]-orders[[#This Row],[Order Date]]</f>
        <v>0</v>
      </c>
      <c r="N360">
        <f>WEEKNUM(orders[[#This Row],[Order Date]])</f>
        <v>3</v>
      </c>
      <c r="O360" t="str" cm="1">
        <f t="array" ref="O360">_xlfn.IFS(orders[[#This Row],[Customer Gender]]="M","Male", orders[[#This Row],[Customer Gender]]="F","Female", orders[[#This Row],[Customer Gender]]="O","Other", TRUE,"Unknown")</f>
        <v>Female</v>
      </c>
    </row>
    <row r="361" spans="1:15" x14ac:dyDescent="0.3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1">
        <v>45673</v>
      </c>
      <c r="G361" s="1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f>orders[[#This Row],[Ship Date]]-orders[[#This Row],[Order Date]]</f>
        <v>1</v>
      </c>
      <c r="N361">
        <f>WEEKNUM(orders[[#This Row],[Order Date]])</f>
        <v>3</v>
      </c>
      <c r="O361" t="str" cm="1">
        <f t="array" ref="O361">_xlfn.IFS(orders[[#This Row],[Customer Gender]]="M","Male", orders[[#This Row],[Customer Gender]]="F","Female", orders[[#This Row],[Customer Gender]]="O","Other", TRUE,"Unknown")</f>
        <v>Male</v>
      </c>
    </row>
    <row r="362" spans="1:15" x14ac:dyDescent="0.3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1">
        <v>45673</v>
      </c>
      <c r="G362" s="1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f>orders[[#This Row],[Ship Date]]-orders[[#This Row],[Order Date]]</f>
        <v>6</v>
      </c>
      <c r="N362">
        <f>WEEKNUM(orders[[#This Row],[Order Date]])</f>
        <v>3</v>
      </c>
      <c r="O362" t="str" cm="1">
        <f t="array" ref="O362">_xlfn.IFS(orders[[#This Row],[Customer Gender]]="M","Male", orders[[#This Row],[Customer Gender]]="F","Female", orders[[#This Row],[Customer Gender]]="O","Other", TRUE,"Unknown")</f>
        <v>Female</v>
      </c>
    </row>
    <row r="363" spans="1:15" x14ac:dyDescent="0.3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1">
        <v>45673</v>
      </c>
      <c r="G363" s="1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f>orders[[#This Row],[Ship Date]]-orders[[#This Row],[Order Date]]</f>
        <v>1</v>
      </c>
      <c r="N363">
        <f>WEEKNUM(orders[[#This Row],[Order Date]])</f>
        <v>3</v>
      </c>
      <c r="O363" t="str" cm="1">
        <f t="array" ref="O363">_xlfn.IFS(orders[[#This Row],[Customer Gender]]="M","Male", orders[[#This Row],[Customer Gender]]="F","Female", orders[[#This Row],[Customer Gender]]="O","Other", TRUE,"Unknown")</f>
        <v>Other</v>
      </c>
    </row>
    <row r="364" spans="1:15" x14ac:dyDescent="0.3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1">
        <v>45673</v>
      </c>
      <c r="G364" s="1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f>orders[[#This Row],[Ship Date]]-orders[[#This Row],[Order Date]]</f>
        <v>4</v>
      </c>
      <c r="N364">
        <f>WEEKNUM(orders[[#This Row],[Order Date]])</f>
        <v>3</v>
      </c>
      <c r="O364" t="str" cm="1">
        <f t="array" ref="O364">_xlfn.IFS(orders[[#This Row],[Customer Gender]]="M","Male", orders[[#This Row],[Customer Gender]]="F","Female", orders[[#This Row],[Customer Gender]]="O","Other", TRUE,"Unknown")</f>
        <v>Male</v>
      </c>
    </row>
    <row r="365" spans="1:15" x14ac:dyDescent="0.3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1">
        <v>45673</v>
      </c>
      <c r="G365" s="1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f>orders[[#This Row],[Ship Date]]-orders[[#This Row],[Order Date]]</f>
        <v>2</v>
      </c>
      <c r="N365">
        <f>WEEKNUM(orders[[#This Row],[Order Date]])</f>
        <v>3</v>
      </c>
      <c r="O365" t="str" cm="1">
        <f t="array" ref="O365">_xlfn.IFS(orders[[#This Row],[Customer Gender]]="M","Male", orders[[#This Row],[Customer Gender]]="F","Female", orders[[#This Row],[Customer Gender]]="O","Other", TRUE,"Unknown")</f>
        <v>Female</v>
      </c>
    </row>
    <row r="366" spans="1:15" x14ac:dyDescent="0.3">
      <c r="A366" t="s">
        <v>452</v>
      </c>
      <c r="B366" t="s">
        <v>46</v>
      </c>
      <c r="C366">
        <v>8</v>
      </c>
      <c r="D366">
        <v>36</v>
      </c>
      <c r="E366">
        <v>288</v>
      </c>
      <c r="F366" s="1">
        <v>45673</v>
      </c>
      <c r="G366" s="1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f>orders[[#This Row],[Ship Date]]-orders[[#This Row],[Order Date]]</f>
        <v>3</v>
      </c>
      <c r="N366">
        <f>WEEKNUM(orders[[#This Row],[Order Date]])</f>
        <v>3</v>
      </c>
      <c r="O366" t="str" cm="1">
        <f t="array" ref="O366">_xlfn.IFS(orders[[#This Row],[Customer Gender]]="M","Male", orders[[#This Row],[Customer Gender]]="F","Female", orders[[#This Row],[Customer Gender]]="O","Other", TRUE,"Unknown")</f>
        <v>Male</v>
      </c>
    </row>
    <row r="367" spans="1:15" x14ac:dyDescent="0.3">
      <c r="A367" t="s">
        <v>453</v>
      </c>
      <c r="B367" t="s">
        <v>44</v>
      </c>
      <c r="C367">
        <v>12</v>
      </c>
      <c r="D367">
        <v>27</v>
      </c>
      <c r="E367">
        <v>324</v>
      </c>
      <c r="F367" s="1">
        <v>45673</v>
      </c>
      <c r="G367" s="1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f>orders[[#This Row],[Ship Date]]-orders[[#This Row],[Order Date]]</f>
        <v>2</v>
      </c>
      <c r="N367">
        <f>WEEKNUM(orders[[#This Row],[Order Date]])</f>
        <v>3</v>
      </c>
      <c r="O367" t="str" cm="1">
        <f t="array" ref="O367">_xlfn.IFS(orders[[#This Row],[Customer Gender]]="M","Male", orders[[#This Row],[Customer Gender]]="F","Female", orders[[#This Row],[Customer Gender]]="O","Other", TRUE,"Unknown")</f>
        <v>Female</v>
      </c>
    </row>
    <row r="368" spans="1:15" x14ac:dyDescent="0.3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1">
        <v>45673</v>
      </c>
      <c r="G368" s="1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f>orders[[#This Row],[Ship Date]]-orders[[#This Row],[Order Date]]</f>
        <v>1</v>
      </c>
      <c r="N368">
        <f>WEEKNUM(orders[[#This Row],[Order Date]])</f>
        <v>3</v>
      </c>
      <c r="O368" t="str" cm="1">
        <f t="array" ref="O368">_xlfn.IFS(orders[[#This Row],[Customer Gender]]="M","Male", orders[[#This Row],[Customer Gender]]="F","Female", orders[[#This Row],[Customer Gender]]="O","Other", TRUE,"Unknown")</f>
        <v>Unknown</v>
      </c>
    </row>
    <row r="369" spans="1:15" x14ac:dyDescent="0.3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1">
        <v>45673</v>
      </c>
      <c r="G369" s="1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f>orders[[#This Row],[Ship Date]]-orders[[#This Row],[Order Date]]</f>
        <v>1</v>
      </c>
      <c r="N369">
        <f>WEEKNUM(orders[[#This Row],[Order Date]])</f>
        <v>3</v>
      </c>
      <c r="O369" t="str" cm="1">
        <f t="array" ref="O369">_xlfn.IFS(orders[[#This Row],[Customer Gender]]="M","Male", orders[[#This Row],[Customer Gender]]="F","Female", orders[[#This Row],[Customer Gender]]="O","Other", TRUE,"Unknown")</f>
        <v>Female</v>
      </c>
    </row>
    <row r="370" spans="1:15" x14ac:dyDescent="0.3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1">
        <v>45673</v>
      </c>
      <c r="G370" s="1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f>orders[[#This Row],[Ship Date]]-orders[[#This Row],[Order Date]]</f>
        <v>5</v>
      </c>
      <c r="N370">
        <f>WEEKNUM(orders[[#This Row],[Order Date]])</f>
        <v>3</v>
      </c>
      <c r="O370" t="str" cm="1">
        <f t="array" ref="O370">_xlfn.IFS(orders[[#This Row],[Customer Gender]]="M","Male", orders[[#This Row],[Customer Gender]]="F","Female", orders[[#This Row],[Customer Gender]]="O","Other", TRUE,"Unknown")</f>
        <v>Male</v>
      </c>
    </row>
    <row r="371" spans="1:15" x14ac:dyDescent="0.3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1">
        <v>45673</v>
      </c>
      <c r="G371" s="1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f>orders[[#This Row],[Ship Date]]-orders[[#This Row],[Order Date]]</f>
        <v>1</v>
      </c>
      <c r="N371">
        <f>WEEKNUM(orders[[#This Row],[Order Date]])</f>
        <v>3</v>
      </c>
      <c r="O371" t="str" cm="1">
        <f t="array" ref="O371">_xlfn.IFS(orders[[#This Row],[Customer Gender]]="M","Male", orders[[#This Row],[Customer Gender]]="F","Female", orders[[#This Row],[Customer Gender]]="O","Other", TRUE,"Unknown")</f>
        <v>Female</v>
      </c>
    </row>
    <row r="372" spans="1:15" x14ac:dyDescent="0.3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1">
        <v>45673</v>
      </c>
      <c r="G372" s="1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f>orders[[#This Row],[Ship Date]]-orders[[#This Row],[Order Date]]</f>
        <v>2</v>
      </c>
      <c r="N372">
        <f>WEEKNUM(orders[[#This Row],[Order Date]])</f>
        <v>3</v>
      </c>
      <c r="O372" t="str" cm="1">
        <f t="array" ref="O372">_xlfn.IFS(orders[[#This Row],[Customer Gender]]="M","Male", orders[[#This Row],[Customer Gender]]="F","Female", orders[[#This Row],[Customer Gender]]="O","Other", TRUE,"Unknown")</f>
        <v>Female</v>
      </c>
    </row>
    <row r="373" spans="1:15" x14ac:dyDescent="0.3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1">
        <v>45674</v>
      </c>
      <c r="G373" s="1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f>orders[[#This Row],[Ship Date]]-orders[[#This Row],[Order Date]]</f>
        <v>1</v>
      </c>
      <c r="N373">
        <f>WEEKNUM(orders[[#This Row],[Order Date]])</f>
        <v>3</v>
      </c>
      <c r="O373" t="str" cm="1">
        <f t="array" ref="O373">_xlfn.IFS(orders[[#This Row],[Customer Gender]]="M","Male", orders[[#This Row],[Customer Gender]]="F","Female", orders[[#This Row],[Customer Gender]]="O","Other", TRUE,"Unknown")</f>
        <v>Male</v>
      </c>
    </row>
    <row r="374" spans="1:15" x14ac:dyDescent="0.3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1">
        <v>45674</v>
      </c>
      <c r="G374" s="1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f>orders[[#This Row],[Ship Date]]-orders[[#This Row],[Order Date]]</f>
        <v>10</v>
      </c>
      <c r="N374">
        <f>WEEKNUM(orders[[#This Row],[Order Date]])</f>
        <v>3</v>
      </c>
      <c r="O374" t="str" cm="1">
        <f t="array" ref="O374">_xlfn.IFS(orders[[#This Row],[Customer Gender]]="M","Male", orders[[#This Row],[Customer Gender]]="F","Female", orders[[#This Row],[Customer Gender]]="O","Other", TRUE,"Unknown")</f>
        <v>Male</v>
      </c>
    </row>
    <row r="375" spans="1:15" x14ac:dyDescent="0.3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1">
        <v>45674</v>
      </c>
      <c r="G375" s="1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f>orders[[#This Row],[Ship Date]]-orders[[#This Row],[Order Date]]</f>
        <v>1</v>
      </c>
      <c r="N375">
        <f>WEEKNUM(orders[[#This Row],[Order Date]])</f>
        <v>3</v>
      </c>
      <c r="O375" t="str" cm="1">
        <f t="array" ref="O375">_xlfn.IFS(orders[[#This Row],[Customer Gender]]="M","Male", orders[[#This Row],[Customer Gender]]="F","Female", orders[[#This Row],[Customer Gender]]="O","Other", TRUE,"Unknown")</f>
        <v>Unknown</v>
      </c>
    </row>
    <row r="376" spans="1:15" x14ac:dyDescent="0.3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1">
        <v>45674</v>
      </c>
      <c r="G376" s="1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f>orders[[#This Row],[Ship Date]]-orders[[#This Row],[Order Date]]</f>
        <v>0</v>
      </c>
      <c r="N376">
        <f>WEEKNUM(orders[[#This Row],[Order Date]])</f>
        <v>3</v>
      </c>
      <c r="O376" t="str" cm="1">
        <f t="array" ref="O376">_xlfn.IFS(orders[[#This Row],[Customer Gender]]="M","Male", orders[[#This Row],[Customer Gender]]="F","Female", orders[[#This Row],[Customer Gender]]="O","Other", TRUE,"Unknown")</f>
        <v>Male</v>
      </c>
    </row>
    <row r="377" spans="1:15" x14ac:dyDescent="0.3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1">
        <v>45674</v>
      </c>
      <c r="G377" s="1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f>orders[[#This Row],[Ship Date]]-orders[[#This Row],[Order Date]]</f>
        <v>2</v>
      </c>
      <c r="N377">
        <f>WEEKNUM(orders[[#This Row],[Order Date]])</f>
        <v>3</v>
      </c>
      <c r="O377" t="str" cm="1">
        <f t="array" ref="O377">_xlfn.IFS(orders[[#This Row],[Customer Gender]]="M","Male", orders[[#This Row],[Customer Gender]]="F","Female", orders[[#This Row],[Customer Gender]]="O","Other", TRUE,"Unknown")</f>
        <v>Female</v>
      </c>
    </row>
    <row r="378" spans="1:15" x14ac:dyDescent="0.3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1">
        <v>45674</v>
      </c>
      <c r="G378" s="1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f>orders[[#This Row],[Ship Date]]-orders[[#This Row],[Order Date]]</f>
        <v>3</v>
      </c>
      <c r="N378">
        <f>WEEKNUM(orders[[#This Row],[Order Date]])</f>
        <v>3</v>
      </c>
      <c r="O378" t="str" cm="1">
        <f t="array" ref="O378">_xlfn.IFS(orders[[#This Row],[Customer Gender]]="M","Male", orders[[#This Row],[Customer Gender]]="F","Female", orders[[#This Row],[Customer Gender]]="O","Other", TRUE,"Unknown")</f>
        <v>Other</v>
      </c>
    </row>
    <row r="379" spans="1:15" x14ac:dyDescent="0.3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1">
        <v>45674</v>
      </c>
      <c r="G379" s="1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f>orders[[#This Row],[Ship Date]]-orders[[#This Row],[Order Date]]</f>
        <v>4</v>
      </c>
      <c r="N379">
        <f>WEEKNUM(orders[[#This Row],[Order Date]])</f>
        <v>3</v>
      </c>
      <c r="O379" t="str" cm="1">
        <f t="array" ref="O379">_xlfn.IFS(orders[[#This Row],[Customer Gender]]="M","Male", orders[[#This Row],[Customer Gender]]="F","Female", orders[[#This Row],[Customer Gender]]="O","Other", TRUE,"Unknown")</f>
        <v>Female</v>
      </c>
    </row>
    <row r="380" spans="1:15" x14ac:dyDescent="0.3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1">
        <v>45674</v>
      </c>
      <c r="G380" s="1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f>orders[[#This Row],[Ship Date]]-orders[[#This Row],[Order Date]]</f>
        <v>2</v>
      </c>
      <c r="N380">
        <f>WEEKNUM(orders[[#This Row],[Order Date]])</f>
        <v>3</v>
      </c>
      <c r="O380" t="str" cm="1">
        <f t="array" ref="O380">_xlfn.IFS(orders[[#This Row],[Customer Gender]]="M","Male", orders[[#This Row],[Customer Gender]]="F","Female", orders[[#This Row],[Customer Gender]]="O","Other", TRUE,"Unknown")</f>
        <v>Female</v>
      </c>
    </row>
    <row r="381" spans="1:15" x14ac:dyDescent="0.3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1">
        <v>45674</v>
      </c>
      <c r="G381" s="1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f>orders[[#This Row],[Ship Date]]-orders[[#This Row],[Order Date]]</f>
        <v>1</v>
      </c>
      <c r="N381">
        <f>WEEKNUM(orders[[#This Row],[Order Date]])</f>
        <v>3</v>
      </c>
      <c r="O381" t="str" cm="1">
        <f t="array" ref="O381">_xlfn.IFS(orders[[#This Row],[Customer Gender]]="M","Male", orders[[#This Row],[Customer Gender]]="F","Female", orders[[#This Row],[Customer Gender]]="O","Other", TRUE,"Unknown")</f>
        <v>Female</v>
      </c>
    </row>
    <row r="382" spans="1:15" x14ac:dyDescent="0.3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1">
        <v>45674</v>
      </c>
      <c r="G382" s="1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f>orders[[#This Row],[Ship Date]]-orders[[#This Row],[Order Date]]</f>
        <v>0</v>
      </c>
      <c r="N382">
        <f>WEEKNUM(orders[[#This Row],[Order Date]])</f>
        <v>3</v>
      </c>
      <c r="O382" t="str" cm="1">
        <f t="array" ref="O382">_xlfn.IFS(orders[[#This Row],[Customer Gender]]="M","Male", orders[[#This Row],[Customer Gender]]="F","Female", orders[[#This Row],[Customer Gender]]="O","Other", TRUE,"Unknown")</f>
        <v>Male</v>
      </c>
    </row>
    <row r="383" spans="1:15" x14ac:dyDescent="0.3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1">
        <v>45674</v>
      </c>
      <c r="G383" s="1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f>orders[[#This Row],[Ship Date]]-orders[[#This Row],[Order Date]]</f>
        <v>1</v>
      </c>
      <c r="N383">
        <f>WEEKNUM(orders[[#This Row],[Order Date]])</f>
        <v>3</v>
      </c>
      <c r="O383" t="str" cm="1">
        <f t="array" ref="O383">_xlfn.IFS(orders[[#This Row],[Customer Gender]]="M","Male", orders[[#This Row],[Customer Gender]]="F","Female", orders[[#This Row],[Customer Gender]]="O","Other", TRUE,"Unknown")</f>
        <v>Other</v>
      </c>
    </row>
    <row r="384" spans="1:15" x14ac:dyDescent="0.3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1">
        <v>45674</v>
      </c>
      <c r="G384" s="1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f>orders[[#This Row],[Ship Date]]-orders[[#This Row],[Order Date]]</f>
        <v>1</v>
      </c>
      <c r="N384">
        <f>WEEKNUM(orders[[#This Row],[Order Date]])</f>
        <v>3</v>
      </c>
      <c r="O384" t="str" cm="1">
        <f t="array" ref="O384">_xlfn.IFS(orders[[#This Row],[Customer Gender]]="M","Male", orders[[#This Row],[Customer Gender]]="F","Female", orders[[#This Row],[Customer Gender]]="O","Other", TRUE,"Unknown")</f>
        <v>Male</v>
      </c>
    </row>
    <row r="385" spans="1:15" x14ac:dyDescent="0.3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1">
        <v>45674</v>
      </c>
      <c r="G385" s="1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f>orders[[#This Row],[Ship Date]]-orders[[#This Row],[Order Date]]</f>
        <v>1</v>
      </c>
      <c r="N385">
        <f>WEEKNUM(orders[[#This Row],[Order Date]])</f>
        <v>3</v>
      </c>
      <c r="O385" t="str" cm="1">
        <f t="array" ref="O385">_xlfn.IFS(orders[[#This Row],[Customer Gender]]="M","Male", orders[[#This Row],[Customer Gender]]="F","Female", orders[[#This Row],[Customer Gender]]="O","Other", TRUE,"Unknown")</f>
        <v>Female</v>
      </c>
    </row>
    <row r="386" spans="1:15" x14ac:dyDescent="0.3">
      <c r="A386" t="s">
        <v>472</v>
      </c>
      <c r="B386" t="s">
        <v>32</v>
      </c>
      <c r="C386">
        <v>5</v>
      </c>
      <c r="D386">
        <v>36</v>
      </c>
      <c r="E386">
        <v>180</v>
      </c>
      <c r="F386" s="1">
        <v>45674</v>
      </c>
      <c r="G386" s="1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f>orders[[#This Row],[Ship Date]]-orders[[#This Row],[Order Date]]</f>
        <v>2</v>
      </c>
      <c r="N386">
        <f>WEEKNUM(orders[[#This Row],[Order Date]])</f>
        <v>3</v>
      </c>
      <c r="O386" t="str" cm="1">
        <f t="array" ref="O386">_xlfn.IFS(orders[[#This Row],[Customer Gender]]="M","Male", orders[[#This Row],[Customer Gender]]="F","Female", orders[[#This Row],[Customer Gender]]="O","Other", TRUE,"Unknown")</f>
        <v>Female</v>
      </c>
    </row>
    <row r="387" spans="1:15" x14ac:dyDescent="0.3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1">
        <v>45674</v>
      </c>
      <c r="G387" s="1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f>orders[[#This Row],[Ship Date]]-orders[[#This Row],[Order Date]]</f>
        <v>3</v>
      </c>
      <c r="N387">
        <f>WEEKNUM(orders[[#This Row],[Order Date]])</f>
        <v>3</v>
      </c>
      <c r="O387" t="str" cm="1">
        <f t="array" ref="O387">_xlfn.IFS(orders[[#This Row],[Customer Gender]]="M","Male", orders[[#This Row],[Customer Gender]]="F","Female", orders[[#This Row],[Customer Gender]]="O","Other", TRUE,"Unknown")</f>
        <v>Unknown</v>
      </c>
    </row>
    <row r="388" spans="1:15" x14ac:dyDescent="0.3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1">
        <v>45674</v>
      </c>
      <c r="G388" s="1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f>orders[[#This Row],[Ship Date]]-orders[[#This Row],[Order Date]]</f>
        <v>1</v>
      </c>
      <c r="N388">
        <f>WEEKNUM(orders[[#This Row],[Order Date]])</f>
        <v>3</v>
      </c>
      <c r="O388" t="str" cm="1">
        <f t="array" ref="O388">_xlfn.IFS(orders[[#This Row],[Customer Gender]]="M","Male", orders[[#This Row],[Customer Gender]]="F","Female", orders[[#This Row],[Customer Gender]]="O","Other", TRUE,"Unknown")</f>
        <v>Male</v>
      </c>
    </row>
    <row r="389" spans="1:15" x14ac:dyDescent="0.3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1">
        <v>45674</v>
      </c>
      <c r="G389" s="1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f>orders[[#This Row],[Ship Date]]-orders[[#This Row],[Order Date]]</f>
        <v>1</v>
      </c>
      <c r="N389">
        <f>WEEKNUM(orders[[#This Row],[Order Date]])</f>
        <v>3</v>
      </c>
      <c r="O389" t="str" cm="1">
        <f t="array" ref="O389">_xlfn.IFS(orders[[#This Row],[Customer Gender]]="M","Male", orders[[#This Row],[Customer Gender]]="F","Female", orders[[#This Row],[Customer Gender]]="O","Other", TRUE,"Unknown")</f>
        <v>Male</v>
      </c>
    </row>
    <row r="390" spans="1:15" x14ac:dyDescent="0.3">
      <c r="A390" t="s">
        <v>476</v>
      </c>
      <c r="B390" t="s">
        <v>32</v>
      </c>
      <c r="C390">
        <v>10</v>
      </c>
      <c r="D390">
        <v>34</v>
      </c>
      <c r="E390">
        <v>340</v>
      </c>
      <c r="F390" s="1">
        <v>45674</v>
      </c>
      <c r="G390" s="1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f>orders[[#This Row],[Ship Date]]-orders[[#This Row],[Order Date]]</f>
        <v>4</v>
      </c>
      <c r="N390">
        <f>WEEKNUM(orders[[#This Row],[Order Date]])</f>
        <v>3</v>
      </c>
      <c r="O390" t="str" cm="1">
        <f t="array" ref="O390">_xlfn.IFS(orders[[#This Row],[Customer Gender]]="M","Male", orders[[#This Row],[Customer Gender]]="F","Female", orders[[#This Row],[Customer Gender]]="O","Other", TRUE,"Unknown")</f>
        <v>Female</v>
      </c>
    </row>
    <row r="391" spans="1:15" x14ac:dyDescent="0.3">
      <c r="A391" t="s">
        <v>477</v>
      </c>
      <c r="B391" t="s">
        <v>54</v>
      </c>
      <c r="C391">
        <v>5</v>
      </c>
      <c r="D391">
        <v>42.6</v>
      </c>
      <c r="E391">
        <v>213</v>
      </c>
      <c r="F391" s="1">
        <v>45674</v>
      </c>
      <c r="G391" s="1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f>orders[[#This Row],[Ship Date]]-orders[[#This Row],[Order Date]]</f>
        <v>3</v>
      </c>
      <c r="N391">
        <f>WEEKNUM(orders[[#This Row],[Order Date]])</f>
        <v>3</v>
      </c>
      <c r="O391" t="str" cm="1">
        <f t="array" ref="O391">_xlfn.IFS(orders[[#This Row],[Customer Gender]]="M","Male", orders[[#This Row],[Customer Gender]]="F","Female", orders[[#This Row],[Customer Gender]]="O","Other", TRUE,"Unknown")</f>
        <v>Male</v>
      </c>
    </row>
    <row r="392" spans="1:15" x14ac:dyDescent="0.3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1">
        <v>45674</v>
      </c>
      <c r="G392" s="1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f>orders[[#This Row],[Ship Date]]-orders[[#This Row],[Order Date]]</f>
        <v>0</v>
      </c>
      <c r="N392">
        <f>WEEKNUM(orders[[#This Row],[Order Date]])</f>
        <v>3</v>
      </c>
      <c r="O392" t="str" cm="1">
        <f t="array" ref="O392">_xlfn.IFS(orders[[#This Row],[Customer Gender]]="M","Male", orders[[#This Row],[Customer Gender]]="F","Female", orders[[#This Row],[Customer Gender]]="O","Other", TRUE,"Unknown")</f>
        <v>Female</v>
      </c>
    </row>
    <row r="393" spans="1:15" x14ac:dyDescent="0.3">
      <c r="A393" t="s">
        <v>479</v>
      </c>
      <c r="B393" t="s">
        <v>26</v>
      </c>
      <c r="C393">
        <v>1</v>
      </c>
      <c r="D393">
        <v>74</v>
      </c>
      <c r="E393">
        <v>74</v>
      </c>
      <c r="F393" s="1">
        <v>45675</v>
      </c>
      <c r="G393" s="1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f>orders[[#This Row],[Ship Date]]-orders[[#This Row],[Order Date]]</f>
        <v>1</v>
      </c>
      <c r="N393">
        <f>WEEKNUM(orders[[#This Row],[Order Date]])</f>
        <v>3</v>
      </c>
      <c r="O393" t="str" cm="1">
        <f t="array" ref="O393">_xlfn.IFS(orders[[#This Row],[Customer Gender]]="M","Male", orders[[#This Row],[Customer Gender]]="F","Female", orders[[#This Row],[Customer Gender]]="O","Other", TRUE,"Unknown")</f>
        <v>Male</v>
      </c>
    </row>
    <row r="394" spans="1:15" x14ac:dyDescent="0.3">
      <c r="A394" t="s">
        <v>480</v>
      </c>
      <c r="B394" t="s">
        <v>26</v>
      </c>
      <c r="C394">
        <v>5</v>
      </c>
      <c r="D394">
        <v>60.4</v>
      </c>
      <c r="E394">
        <v>302</v>
      </c>
      <c r="F394" s="1">
        <v>45675</v>
      </c>
      <c r="G394" s="1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f>orders[[#This Row],[Ship Date]]-orders[[#This Row],[Order Date]]</f>
        <v>3</v>
      </c>
      <c r="N394">
        <f>WEEKNUM(orders[[#This Row],[Order Date]])</f>
        <v>3</v>
      </c>
      <c r="O394" t="str" cm="1">
        <f t="array" ref="O394">_xlfn.IFS(orders[[#This Row],[Customer Gender]]="M","Male", orders[[#This Row],[Customer Gender]]="F","Female", orders[[#This Row],[Customer Gender]]="O","Other", TRUE,"Unknown")</f>
        <v>Female</v>
      </c>
    </row>
    <row r="395" spans="1:15" x14ac:dyDescent="0.3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1">
        <v>45675</v>
      </c>
      <c r="G395" s="1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f>orders[[#This Row],[Ship Date]]-orders[[#This Row],[Order Date]]</f>
        <v>3</v>
      </c>
      <c r="N395">
        <f>WEEKNUM(orders[[#This Row],[Order Date]])</f>
        <v>3</v>
      </c>
      <c r="O395" t="str" cm="1">
        <f t="array" ref="O395">_xlfn.IFS(orders[[#This Row],[Customer Gender]]="M","Male", orders[[#This Row],[Customer Gender]]="F","Female", orders[[#This Row],[Customer Gender]]="O","Other", TRUE,"Unknown")</f>
        <v>Male</v>
      </c>
    </row>
    <row r="396" spans="1:15" x14ac:dyDescent="0.3">
      <c r="A396" t="s">
        <v>482</v>
      </c>
      <c r="B396" t="s">
        <v>37</v>
      </c>
      <c r="C396">
        <v>5</v>
      </c>
      <c r="D396">
        <v>81</v>
      </c>
      <c r="E396">
        <v>405</v>
      </c>
      <c r="F396" s="1">
        <v>45675</v>
      </c>
      <c r="G396" s="1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f>orders[[#This Row],[Ship Date]]-orders[[#This Row],[Order Date]]</f>
        <v>6</v>
      </c>
      <c r="N396">
        <f>WEEKNUM(orders[[#This Row],[Order Date]])</f>
        <v>3</v>
      </c>
      <c r="O396" t="str" cm="1">
        <f t="array" ref="O396">_xlfn.IFS(orders[[#This Row],[Customer Gender]]="M","Male", orders[[#This Row],[Customer Gender]]="F","Female", orders[[#This Row],[Customer Gender]]="O","Other", TRUE,"Unknown")</f>
        <v>Male</v>
      </c>
    </row>
    <row r="397" spans="1:15" x14ac:dyDescent="0.3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1">
        <v>45675</v>
      </c>
      <c r="G397" s="1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f>orders[[#This Row],[Ship Date]]-orders[[#This Row],[Order Date]]</f>
        <v>2</v>
      </c>
      <c r="N397">
        <f>WEEKNUM(orders[[#This Row],[Order Date]])</f>
        <v>3</v>
      </c>
      <c r="O397" t="str" cm="1">
        <f t="array" ref="O397">_xlfn.IFS(orders[[#This Row],[Customer Gender]]="M","Male", orders[[#This Row],[Customer Gender]]="F","Female", orders[[#This Row],[Customer Gender]]="O","Other", TRUE,"Unknown")</f>
        <v>Other</v>
      </c>
    </row>
    <row r="398" spans="1:15" x14ac:dyDescent="0.3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1">
        <v>45675</v>
      </c>
      <c r="G398" s="1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f>orders[[#This Row],[Ship Date]]-orders[[#This Row],[Order Date]]</f>
        <v>5</v>
      </c>
      <c r="N398">
        <f>WEEKNUM(orders[[#This Row],[Order Date]])</f>
        <v>3</v>
      </c>
      <c r="O398" t="str" cm="1">
        <f t="array" ref="O398">_xlfn.IFS(orders[[#This Row],[Customer Gender]]="M","Male", orders[[#This Row],[Customer Gender]]="F","Female", orders[[#This Row],[Customer Gender]]="O","Other", TRUE,"Unknown")</f>
        <v>Male</v>
      </c>
    </row>
    <row r="399" spans="1:15" x14ac:dyDescent="0.3">
      <c r="A399" t="s">
        <v>485</v>
      </c>
      <c r="B399" t="s">
        <v>26</v>
      </c>
      <c r="C399">
        <v>5</v>
      </c>
      <c r="D399">
        <v>83.6</v>
      </c>
      <c r="E399">
        <v>418</v>
      </c>
      <c r="F399" s="1">
        <v>45675</v>
      </c>
      <c r="G399" s="1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f>orders[[#This Row],[Ship Date]]-orders[[#This Row],[Order Date]]</f>
        <v>0</v>
      </c>
      <c r="N399">
        <f>WEEKNUM(orders[[#This Row],[Order Date]])</f>
        <v>3</v>
      </c>
      <c r="O399" t="str" cm="1">
        <f t="array" ref="O399">_xlfn.IFS(orders[[#This Row],[Customer Gender]]="M","Male", orders[[#This Row],[Customer Gender]]="F","Female", orders[[#This Row],[Customer Gender]]="O","Other", TRUE,"Unknown")</f>
        <v>Female</v>
      </c>
    </row>
    <row r="400" spans="1:15" x14ac:dyDescent="0.3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1">
        <v>45675</v>
      </c>
      <c r="G400" s="1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f>orders[[#This Row],[Ship Date]]-orders[[#This Row],[Order Date]]</f>
        <v>2</v>
      </c>
      <c r="N400">
        <f>WEEKNUM(orders[[#This Row],[Order Date]])</f>
        <v>3</v>
      </c>
      <c r="O400" t="str" cm="1">
        <f t="array" ref="O400">_xlfn.IFS(orders[[#This Row],[Customer Gender]]="M","Male", orders[[#This Row],[Customer Gender]]="F","Female", orders[[#This Row],[Customer Gender]]="O","Other", TRUE,"Unknown")</f>
        <v>Male</v>
      </c>
    </row>
    <row r="401" spans="1:15" x14ac:dyDescent="0.3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1">
        <v>45675</v>
      </c>
      <c r="G401" s="1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f>orders[[#This Row],[Ship Date]]-orders[[#This Row],[Order Date]]</f>
        <v>1</v>
      </c>
      <c r="N401">
        <f>WEEKNUM(orders[[#This Row],[Order Date]])</f>
        <v>3</v>
      </c>
      <c r="O401" t="str" cm="1">
        <f t="array" ref="O401">_xlfn.IFS(orders[[#This Row],[Customer Gender]]="M","Male", orders[[#This Row],[Customer Gender]]="F","Female", orders[[#This Row],[Customer Gender]]="O","Other", TRUE,"Unknown")</f>
        <v>Male</v>
      </c>
    </row>
    <row r="402" spans="1:15" x14ac:dyDescent="0.3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1">
        <v>45675</v>
      </c>
      <c r="G402" s="1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f>orders[[#This Row],[Ship Date]]-orders[[#This Row],[Order Date]]</f>
        <v>3</v>
      </c>
      <c r="N402">
        <f>WEEKNUM(orders[[#This Row],[Order Date]])</f>
        <v>3</v>
      </c>
      <c r="O402" t="str" cm="1">
        <f t="array" ref="O402">_xlfn.IFS(orders[[#This Row],[Customer Gender]]="M","Male", orders[[#This Row],[Customer Gender]]="F","Female", orders[[#This Row],[Customer Gender]]="O","Other", TRUE,"Unknown")</f>
        <v>Male</v>
      </c>
    </row>
    <row r="403" spans="1:15" x14ac:dyDescent="0.3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1">
        <v>45675</v>
      </c>
      <c r="G403" s="1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f>orders[[#This Row],[Ship Date]]-orders[[#This Row],[Order Date]]</f>
        <v>0</v>
      </c>
      <c r="N403">
        <f>WEEKNUM(orders[[#This Row],[Order Date]])</f>
        <v>3</v>
      </c>
      <c r="O403" t="str" cm="1">
        <f t="array" ref="O403">_xlfn.IFS(orders[[#This Row],[Customer Gender]]="M","Male", orders[[#This Row],[Customer Gender]]="F","Female", orders[[#This Row],[Customer Gender]]="O","Other", TRUE,"Unknown")</f>
        <v>Female</v>
      </c>
    </row>
    <row r="404" spans="1:15" x14ac:dyDescent="0.3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1">
        <v>45675</v>
      </c>
      <c r="G404" s="1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f>orders[[#This Row],[Ship Date]]-orders[[#This Row],[Order Date]]</f>
        <v>2</v>
      </c>
      <c r="N404">
        <f>WEEKNUM(orders[[#This Row],[Order Date]])</f>
        <v>3</v>
      </c>
      <c r="O404" t="str" cm="1">
        <f t="array" ref="O404">_xlfn.IFS(orders[[#This Row],[Customer Gender]]="M","Male", orders[[#This Row],[Customer Gender]]="F","Female", orders[[#This Row],[Customer Gender]]="O","Other", TRUE,"Unknown")</f>
        <v>Female</v>
      </c>
    </row>
    <row r="405" spans="1:15" x14ac:dyDescent="0.3">
      <c r="A405" t="s">
        <v>491</v>
      </c>
      <c r="B405" t="s">
        <v>44</v>
      </c>
      <c r="C405">
        <v>5</v>
      </c>
      <c r="D405">
        <v>27.4</v>
      </c>
      <c r="E405">
        <v>137</v>
      </c>
      <c r="F405" s="1">
        <v>45675</v>
      </c>
      <c r="G405" s="1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f>orders[[#This Row],[Ship Date]]-orders[[#This Row],[Order Date]]</f>
        <v>2</v>
      </c>
      <c r="N405">
        <f>WEEKNUM(orders[[#This Row],[Order Date]])</f>
        <v>3</v>
      </c>
      <c r="O405" t="str" cm="1">
        <f t="array" ref="O405">_xlfn.IFS(orders[[#This Row],[Customer Gender]]="M","Male", orders[[#This Row],[Customer Gender]]="F","Female", orders[[#This Row],[Customer Gender]]="O","Other", TRUE,"Unknown")</f>
        <v>Other</v>
      </c>
    </row>
    <row r="406" spans="1:15" x14ac:dyDescent="0.3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1">
        <v>45675</v>
      </c>
      <c r="G406" s="1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f>orders[[#This Row],[Ship Date]]-orders[[#This Row],[Order Date]]</f>
        <v>1</v>
      </c>
      <c r="N406">
        <f>WEEKNUM(orders[[#This Row],[Order Date]])</f>
        <v>3</v>
      </c>
      <c r="O406" t="str" cm="1">
        <f t="array" ref="O406">_xlfn.IFS(orders[[#This Row],[Customer Gender]]="M","Male", orders[[#This Row],[Customer Gender]]="F","Female", orders[[#This Row],[Customer Gender]]="O","Other", TRUE,"Unknown")</f>
        <v>Female</v>
      </c>
    </row>
    <row r="407" spans="1:15" x14ac:dyDescent="0.3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1">
        <v>45675</v>
      </c>
      <c r="G407" s="1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f>orders[[#This Row],[Ship Date]]-orders[[#This Row],[Order Date]]</f>
        <v>2</v>
      </c>
      <c r="N407">
        <f>WEEKNUM(orders[[#This Row],[Order Date]])</f>
        <v>3</v>
      </c>
      <c r="O407" t="str" cm="1">
        <f t="array" ref="O407">_xlfn.IFS(orders[[#This Row],[Customer Gender]]="M","Male", orders[[#This Row],[Customer Gender]]="F","Female", orders[[#This Row],[Customer Gender]]="O","Other", TRUE,"Unknown")</f>
        <v>Female</v>
      </c>
    </row>
    <row r="408" spans="1:15" x14ac:dyDescent="0.3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1">
        <v>45675</v>
      </c>
      <c r="G408" s="1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f>orders[[#This Row],[Ship Date]]-orders[[#This Row],[Order Date]]</f>
        <v>2</v>
      </c>
      <c r="N408">
        <f>WEEKNUM(orders[[#This Row],[Order Date]])</f>
        <v>3</v>
      </c>
      <c r="O408" t="str" cm="1">
        <f t="array" ref="O408">_xlfn.IFS(orders[[#This Row],[Customer Gender]]="M","Male", orders[[#This Row],[Customer Gender]]="F","Female", orders[[#This Row],[Customer Gender]]="O","Other", TRUE,"Unknown")</f>
        <v>Female</v>
      </c>
    </row>
    <row r="409" spans="1:15" x14ac:dyDescent="0.3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1">
        <v>45676</v>
      </c>
      <c r="G409" s="1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f>orders[[#This Row],[Ship Date]]-orders[[#This Row],[Order Date]]</f>
        <v>1</v>
      </c>
      <c r="N409">
        <f>WEEKNUM(orders[[#This Row],[Order Date]])</f>
        <v>4</v>
      </c>
      <c r="O409" t="str" cm="1">
        <f t="array" ref="O409">_xlfn.IFS(orders[[#This Row],[Customer Gender]]="M","Male", orders[[#This Row],[Customer Gender]]="F","Female", orders[[#This Row],[Customer Gender]]="O","Other", TRUE,"Unknown")</f>
        <v>Male</v>
      </c>
    </row>
    <row r="410" spans="1:15" x14ac:dyDescent="0.3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1">
        <v>45676</v>
      </c>
      <c r="G410" s="1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f>orders[[#This Row],[Ship Date]]-orders[[#This Row],[Order Date]]</f>
        <v>1</v>
      </c>
      <c r="N410">
        <f>WEEKNUM(orders[[#This Row],[Order Date]])</f>
        <v>4</v>
      </c>
      <c r="O410" t="str" cm="1">
        <f t="array" ref="O410">_xlfn.IFS(orders[[#This Row],[Customer Gender]]="M","Male", orders[[#This Row],[Customer Gender]]="F","Female", orders[[#This Row],[Customer Gender]]="O","Other", TRUE,"Unknown")</f>
        <v>Male</v>
      </c>
    </row>
    <row r="411" spans="1:15" x14ac:dyDescent="0.3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1">
        <v>45676</v>
      </c>
      <c r="G411" s="1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f>orders[[#This Row],[Ship Date]]-orders[[#This Row],[Order Date]]</f>
        <v>1</v>
      </c>
      <c r="N411">
        <f>WEEKNUM(orders[[#This Row],[Order Date]])</f>
        <v>4</v>
      </c>
      <c r="O411" t="str" cm="1">
        <f t="array" ref="O411">_xlfn.IFS(orders[[#This Row],[Customer Gender]]="M","Male", orders[[#This Row],[Customer Gender]]="F","Female", orders[[#This Row],[Customer Gender]]="O","Other", TRUE,"Unknown")</f>
        <v>Male</v>
      </c>
    </row>
    <row r="412" spans="1:15" x14ac:dyDescent="0.3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1">
        <v>45676</v>
      </c>
      <c r="G412" s="1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f>orders[[#This Row],[Ship Date]]-orders[[#This Row],[Order Date]]</f>
        <v>3</v>
      </c>
      <c r="N412">
        <f>WEEKNUM(orders[[#This Row],[Order Date]])</f>
        <v>4</v>
      </c>
      <c r="O412" t="str" cm="1">
        <f t="array" ref="O412">_xlfn.IFS(orders[[#This Row],[Customer Gender]]="M","Male", orders[[#This Row],[Customer Gender]]="F","Female", orders[[#This Row],[Customer Gender]]="O","Other", TRUE,"Unknown")</f>
        <v>Female</v>
      </c>
    </row>
    <row r="413" spans="1:15" x14ac:dyDescent="0.3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1">
        <v>45676</v>
      </c>
      <c r="G413" s="1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f>orders[[#This Row],[Ship Date]]-orders[[#This Row],[Order Date]]</f>
        <v>2</v>
      </c>
      <c r="N413">
        <f>WEEKNUM(orders[[#This Row],[Order Date]])</f>
        <v>4</v>
      </c>
      <c r="O413" t="str" cm="1">
        <f t="array" ref="O413">_xlfn.IFS(orders[[#This Row],[Customer Gender]]="M","Male", orders[[#This Row],[Customer Gender]]="F","Female", orders[[#This Row],[Customer Gender]]="O","Other", TRUE,"Unknown")</f>
        <v>Male</v>
      </c>
    </row>
    <row r="414" spans="1:15" x14ac:dyDescent="0.3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1">
        <v>45676</v>
      </c>
      <c r="G414" s="1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f>orders[[#This Row],[Ship Date]]-orders[[#This Row],[Order Date]]</f>
        <v>3</v>
      </c>
      <c r="N414">
        <f>WEEKNUM(orders[[#This Row],[Order Date]])</f>
        <v>4</v>
      </c>
      <c r="O414" t="str" cm="1">
        <f t="array" ref="O414">_xlfn.IFS(orders[[#This Row],[Customer Gender]]="M","Male", orders[[#This Row],[Customer Gender]]="F","Female", orders[[#This Row],[Customer Gender]]="O","Other", TRUE,"Unknown")</f>
        <v>Male</v>
      </c>
    </row>
    <row r="415" spans="1:15" x14ac:dyDescent="0.3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1">
        <v>45676</v>
      </c>
      <c r="G415" s="1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f>orders[[#This Row],[Ship Date]]-orders[[#This Row],[Order Date]]</f>
        <v>8</v>
      </c>
      <c r="N415">
        <f>WEEKNUM(orders[[#This Row],[Order Date]])</f>
        <v>4</v>
      </c>
      <c r="O415" t="str" cm="1">
        <f t="array" ref="O415">_xlfn.IFS(orders[[#This Row],[Customer Gender]]="M","Male", orders[[#This Row],[Customer Gender]]="F","Female", orders[[#This Row],[Customer Gender]]="O","Other", TRUE,"Unknown")</f>
        <v>Female</v>
      </c>
    </row>
    <row r="416" spans="1:15" x14ac:dyDescent="0.3">
      <c r="A416" t="s">
        <v>502</v>
      </c>
      <c r="B416" t="s">
        <v>39</v>
      </c>
      <c r="C416">
        <v>2</v>
      </c>
      <c r="D416">
        <v>85</v>
      </c>
      <c r="E416">
        <v>170</v>
      </c>
      <c r="F416" s="1">
        <v>45676</v>
      </c>
      <c r="G416" s="1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f>orders[[#This Row],[Ship Date]]-orders[[#This Row],[Order Date]]</f>
        <v>3</v>
      </c>
      <c r="N416">
        <f>WEEKNUM(orders[[#This Row],[Order Date]])</f>
        <v>4</v>
      </c>
      <c r="O416" t="str" cm="1">
        <f t="array" ref="O416">_xlfn.IFS(orders[[#This Row],[Customer Gender]]="M","Male", orders[[#This Row],[Customer Gender]]="F","Female", orders[[#This Row],[Customer Gender]]="O","Other", TRUE,"Unknown")</f>
        <v>Unknown</v>
      </c>
    </row>
    <row r="417" spans="1:15" x14ac:dyDescent="0.3">
      <c r="A417" t="s">
        <v>503</v>
      </c>
      <c r="B417" t="s">
        <v>146</v>
      </c>
      <c r="C417">
        <v>2</v>
      </c>
      <c r="D417">
        <v>89</v>
      </c>
      <c r="E417">
        <v>178</v>
      </c>
      <c r="F417" s="1">
        <v>45676</v>
      </c>
      <c r="G417" s="1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f>orders[[#This Row],[Ship Date]]-orders[[#This Row],[Order Date]]</f>
        <v>2</v>
      </c>
      <c r="N417">
        <f>WEEKNUM(orders[[#This Row],[Order Date]])</f>
        <v>4</v>
      </c>
      <c r="O417" t="str" cm="1">
        <f t="array" ref="O417">_xlfn.IFS(orders[[#This Row],[Customer Gender]]="M","Male", orders[[#This Row],[Customer Gender]]="F","Female", orders[[#This Row],[Customer Gender]]="O","Other", TRUE,"Unknown")</f>
        <v>Female</v>
      </c>
    </row>
    <row r="418" spans="1:15" x14ac:dyDescent="0.3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1">
        <v>45676</v>
      </c>
      <c r="G418" s="1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f>orders[[#This Row],[Ship Date]]-orders[[#This Row],[Order Date]]</f>
        <v>1</v>
      </c>
      <c r="N418">
        <f>WEEKNUM(orders[[#This Row],[Order Date]])</f>
        <v>4</v>
      </c>
      <c r="O418" t="str" cm="1">
        <f t="array" ref="O418">_xlfn.IFS(orders[[#This Row],[Customer Gender]]="M","Male", orders[[#This Row],[Customer Gender]]="F","Female", orders[[#This Row],[Customer Gender]]="O","Other", TRUE,"Unknown")</f>
        <v>Other</v>
      </c>
    </row>
    <row r="419" spans="1:15" x14ac:dyDescent="0.3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1">
        <v>45676</v>
      </c>
      <c r="G419" s="1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f>orders[[#This Row],[Ship Date]]-orders[[#This Row],[Order Date]]</f>
        <v>1</v>
      </c>
      <c r="N419">
        <f>WEEKNUM(orders[[#This Row],[Order Date]])</f>
        <v>4</v>
      </c>
      <c r="O419" t="str" cm="1">
        <f t="array" ref="O419">_xlfn.IFS(orders[[#This Row],[Customer Gender]]="M","Male", orders[[#This Row],[Customer Gender]]="F","Female", orders[[#This Row],[Customer Gender]]="O","Other", TRUE,"Unknown")</f>
        <v>Male</v>
      </c>
    </row>
    <row r="420" spans="1:15" x14ac:dyDescent="0.3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1">
        <v>45676</v>
      </c>
      <c r="G420" s="1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f>orders[[#This Row],[Ship Date]]-orders[[#This Row],[Order Date]]</f>
        <v>0</v>
      </c>
      <c r="N420">
        <f>WEEKNUM(orders[[#This Row],[Order Date]])</f>
        <v>4</v>
      </c>
      <c r="O420" t="str" cm="1">
        <f t="array" ref="O420">_xlfn.IFS(orders[[#This Row],[Customer Gender]]="M","Male", orders[[#This Row],[Customer Gender]]="F","Female", orders[[#This Row],[Customer Gender]]="O","Other", TRUE,"Unknown")</f>
        <v>Female</v>
      </c>
    </row>
    <row r="421" spans="1:15" x14ac:dyDescent="0.3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1">
        <v>45676</v>
      </c>
      <c r="G421" s="1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f>orders[[#This Row],[Ship Date]]-orders[[#This Row],[Order Date]]</f>
        <v>4</v>
      </c>
      <c r="N421">
        <f>WEEKNUM(orders[[#This Row],[Order Date]])</f>
        <v>4</v>
      </c>
      <c r="O421" t="str" cm="1">
        <f t="array" ref="O421">_xlfn.IFS(orders[[#This Row],[Customer Gender]]="M","Male", orders[[#This Row],[Customer Gender]]="F","Female", orders[[#This Row],[Customer Gender]]="O","Other", TRUE,"Unknown")</f>
        <v>Male</v>
      </c>
    </row>
    <row r="422" spans="1:15" x14ac:dyDescent="0.3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1">
        <v>45676</v>
      </c>
      <c r="G422" s="1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f>orders[[#This Row],[Ship Date]]-orders[[#This Row],[Order Date]]</f>
        <v>1</v>
      </c>
      <c r="N422">
        <f>WEEKNUM(orders[[#This Row],[Order Date]])</f>
        <v>4</v>
      </c>
      <c r="O422" t="str" cm="1">
        <f t="array" ref="O422">_xlfn.IFS(orders[[#This Row],[Customer Gender]]="M","Male", orders[[#This Row],[Customer Gender]]="F","Female", orders[[#This Row],[Customer Gender]]="O","Other", TRUE,"Unknown")</f>
        <v>Male</v>
      </c>
    </row>
    <row r="423" spans="1:15" x14ac:dyDescent="0.3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1">
        <v>45676</v>
      </c>
      <c r="G423" s="1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f>orders[[#This Row],[Ship Date]]-orders[[#This Row],[Order Date]]</f>
        <v>1</v>
      </c>
      <c r="N423">
        <f>WEEKNUM(orders[[#This Row],[Order Date]])</f>
        <v>4</v>
      </c>
      <c r="O423" t="str" cm="1">
        <f t="array" ref="O423">_xlfn.IFS(orders[[#This Row],[Customer Gender]]="M","Male", orders[[#This Row],[Customer Gender]]="F","Female", orders[[#This Row],[Customer Gender]]="O","Other", TRUE,"Unknown")</f>
        <v>Female</v>
      </c>
    </row>
    <row r="424" spans="1:15" x14ac:dyDescent="0.3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1">
        <v>45676</v>
      </c>
      <c r="G424" s="1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f>orders[[#This Row],[Ship Date]]-orders[[#This Row],[Order Date]]</f>
        <v>3</v>
      </c>
      <c r="N424">
        <f>WEEKNUM(orders[[#This Row],[Order Date]])</f>
        <v>4</v>
      </c>
      <c r="O424" t="str" cm="1">
        <f t="array" ref="O424">_xlfn.IFS(orders[[#This Row],[Customer Gender]]="M","Male", orders[[#This Row],[Customer Gender]]="F","Female", orders[[#This Row],[Customer Gender]]="O","Other", TRUE,"Unknown")</f>
        <v>Male</v>
      </c>
    </row>
    <row r="425" spans="1:15" x14ac:dyDescent="0.3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1">
        <v>45676</v>
      </c>
      <c r="G425" s="1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f>orders[[#This Row],[Ship Date]]-orders[[#This Row],[Order Date]]</f>
        <v>6</v>
      </c>
      <c r="N425">
        <f>WEEKNUM(orders[[#This Row],[Order Date]])</f>
        <v>4</v>
      </c>
      <c r="O425" t="str" cm="1">
        <f t="array" ref="O425">_xlfn.IFS(orders[[#This Row],[Customer Gender]]="M","Male", orders[[#This Row],[Customer Gender]]="F","Female", orders[[#This Row],[Customer Gender]]="O","Other", TRUE,"Unknown")</f>
        <v>Other</v>
      </c>
    </row>
    <row r="426" spans="1:15" x14ac:dyDescent="0.3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1">
        <v>45676</v>
      </c>
      <c r="G426" s="1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f>orders[[#This Row],[Ship Date]]-orders[[#This Row],[Order Date]]</f>
        <v>3</v>
      </c>
      <c r="N426">
        <f>WEEKNUM(orders[[#This Row],[Order Date]])</f>
        <v>4</v>
      </c>
      <c r="O426" t="str" cm="1">
        <f t="array" ref="O426">_xlfn.IFS(orders[[#This Row],[Customer Gender]]="M","Male", orders[[#This Row],[Customer Gender]]="F","Female", orders[[#This Row],[Customer Gender]]="O","Other", TRUE,"Unknown")</f>
        <v>Female</v>
      </c>
    </row>
    <row r="427" spans="1:15" x14ac:dyDescent="0.3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1">
        <v>45676</v>
      </c>
      <c r="G427" s="1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f>orders[[#This Row],[Ship Date]]-orders[[#This Row],[Order Date]]</f>
        <v>2</v>
      </c>
      <c r="N427">
        <f>WEEKNUM(orders[[#This Row],[Order Date]])</f>
        <v>4</v>
      </c>
      <c r="O427" t="str" cm="1">
        <f t="array" ref="O427">_xlfn.IFS(orders[[#This Row],[Customer Gender]]="M","Male", orders[[#This Row],[Customer Gender]]="F","Female", orders[[#This Row],[Customer Gender]]="O","Other", TRUE,"Unknown")</f>
        <v>Female</v>
      </c>
    </row>
    <row r="428" spans="1:15" x14ac:dyDescent="0.3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1">
        <v>45676</v>
      </c>
      <c r="G428" s="1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f>orders[[#This Row],[Ship Date]]-orders[[#This Row],[Order Date]]</f>
        <v>3</v>
      </c>
      <c r="N428">
        <f>WEEKNUM(orders[[#This Row],[Order Date]])</f>
        <v>4</v>
      </c>
      <c r="O428" t="str" cm="1">
        <f t="array" ref="O428">_xlfn.IFS(orders[[#This Row],[Customer Gender]]="M","Male", orders[[#This Row],[Customer Gender]]="F","Female", orders[[#This Row],[Customer Gender]]="O","Other", TRUE,"Unknown")</f>
        <v>Female</v>
      </c>
    </row>
    <row r="429" spans="1:15" x14ac:dyDescent="0.3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1">
        <v>45676</v>
      </c>
      <c r="G429" s="1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f>orders[[#This Row],[Ship Date]]-orders[[#This Row],[Order Date]]</f>
        <v>2</v>
      </c>
      <c r="N429">
        <f>WEEKNUM(orders[[#This Row],[Order Date]])</f>
        <v>4</v>
      </c>
      <c r="O429" t="str" cm="1">
        <f t="array" ref="O429">_xlfn.IFS(orders[[#This Row],[Customer Gender]]="M","Male", orders[[#This Row],[Customer Gender]]="F","Female", orders[[#This Row],[Customer Gender]]="O","Other", TRUE,"Unknown")</f>
        <v>Male</v>
      </c>
    </row>
    <row r="430" spans="1:15" x14ac:dyDescent="0.3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1">
        <v>45676</v>
      </c>
      <c r="G430" s="1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f>orders[[#This Row],[Ship Date]]-orders[[#This Row],[Order Date]]</f>
        <v>1</v>
      </c>
      <c r="N430">
        <f>WEEKNUM(orders[[#This Row],[Order Date]])</f>
        <v>4</v>
      </c>
      <c r="O430" t="str" cm="1">
        <f t="array" ref="O430">_xlfn.IFS(orders[[#This Row],[Customer Gender]]="M","Male", orders[[#This Row],[Customer Gender]]="F","Female", orders[[#This Row],[Customer Gender]]="O","Other", TRUE,"Unknown")</f>
        <v>Female</v>
      </c>
    </row>
    <row r="431" spans="1:15" x14ac:dyDescent="0.3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1">
        <v>45676</v>
      </c>
      <c r="G431" s="1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f>orders[[#This Row],[Ship Date]]-orders[[#This Row],[Order Date]]</f>
        <v>1</v>
      </c>
      <c r="N431">
        <f>WEEKNUM(orders[[#This Row],[Order Date]])</f>
        <v>4</v>
      </c>
      <c r="O431" t="str" cm="1">
        <f t="array" ref="O431">_xlfn.IFS(orders[[#This Row],[Customer Gender]]="M","Male", orders[[#This Row],[Customer Gender]]="F","Female", orders[[#This Row],[Customer Gender]]="O","Other", TRUE,"Unknown")</f>
        <v>Female</v>
      </c>
    </row>
    <row r="432" spans="1:15" x14ac:dyDescent="0.3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1">
        <v>45676</v>
      </c>
      <c r="G432" s="1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f>orders[[#This Row],[Ship Date]]-orders[[#This Row],[Order Date]]</f>
        <v>4</v>
      </c>
      <c r="N432">
        <f>WEEKNUM(orders[[#This Row],[Order Date]])</f>
        <v>4</v>
      </c>
      <c r="O432" t="str" cm="1">
        <f t="array" ref="O432">_xlfn.IFS(orders[[#This Row],[Customer Gender]]="M","Male", orders[[#This Row],[Customer Gender]]="F","Female", orders[[#This Row],[Customer Gender]]="O","Other", TRUE,"Unknown")</f>
        <v>Female</v>
      </c>
    </row>
    <row r="433" spans="1:15" x14ac:dyDescent="0.3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1">
        <v>45676</v>
      </c>
      <c r="G433" s="1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f>orders[[#This Row],[Ship Date]]-orders[[#This Row],[Order Date]]</f>
        <v>5</v>
      </c>
      <c r="N433">
        <f>WEEKNUM(orders[[#This Row],[Order Date]])</f>
        <v>4</v>
      </c>
      <c r="O433" t="str" cm="1">
        <f t="array" ref="O433">_xlfn.IFS(orders[[#This Row],[Customer Gender]]="M","Male", orders[[#This Row],[Customer Gender]]="F","Female", orders[[#This Row],[Customer Gender]]="O","Other", TRUE,"Unknown")</f>
        <v>Female</v>
      </c>
    </row>
    <row r="434" spans="1:15" x14ac:dyDescent="0.3">
      <c r="A434" t="s">
        <v>520</v>
      </c>
      <c r="B434" t="s">
        <v>54</v>
      </c>
      <c r="C434">
        <v>3</v>
      </c>
      <c r="D434">
        <v>53</v>
      </c>
      <c r="E434">
        <v>159</v>
      </c>
      <c r="F434" s="1">
        <v>45676</v>
      </c>
      <c r="G434" s="1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f>orders[[#This Row],[Ship Date]]-orders[[#This Row],[Order Date]]</f>
        <v>7</v>
      </c>
      <c r="N434">
        <f>WEEKNUM(orders[[#This Row],[Order Date]])</f>
        <v>4</v>
      </c>
      <c r="O434" t="str" cm="1">
        <f t="array" ref="O434">_xlfn.IFS(orders[[#This Row],[Customer Gender]]="M","Male", orders[[#This Row],[Customer Gender]]="F","Female", orders[[#This Row],[Customer Gender]]="O","Other", TRUE,"Unknown")</f>
        <v>Female</v>
      </c>
    </row>
    <row r="435" spans="1:15" x14ac:dyDescent="0.3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1">
        <v>45676</v>
      </c>
      <c r="G435" s="1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f>orders[[#This Row],[Ship Date]]-orders[[#This Row],[Order Date]]</f>
        <v>3</v>
      </c>
      <c r="N435">
        <f>WEEKNUM(orders[[#This Row],[Order Date]])</f>
        <v>4</v>
      </c>
      <c r="O435" t="str" cm="1">
        <f t="array" ref="O435">_xlfn.IFS(orders[[#This Row],[Customer Gender]]="M","Male", orders[[#This Row],[Customer Gender]]="F","Female", orders[[#This Row],[Customer Gender]]="O","Other", TRUE,"Unknown")</f>
        <v>Male</v>
      </c>
    </row>
    <row r="436" spans="1:15" x14ac:dyDescent="0.3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1">
        <v>45676</v>
      </c>
      <c r="G436" s="1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f>orders[[#This Row],[Ship Date]]-orders[[#This Row],[Order Date]]</f>
        <v>1</v>
      </c>
      <c r="N436">
        <f>WEEKNUM(orders[[#This Row],[Order Date]])</f>
        <v>4</v>
      </c>
      <c r="O436" t="str" cm="1">
        <f t="array" ref="O436">_xlfn.IFS(orders[[#This Row],[Customer Gender]]="M","Male", orders[[#This Row],[Customer Gender]]="F","Female", orders[[#This Row],[Customer Gender]]="O","Other", TRUE,"Unknown")</f>
        <v>Female</v>
      </c>
    </row>
    <row r="437" spans="1:15" x14ac:dyDescent="0.3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1">
        <v>45676</v>
      </c>
      <c r="G437" s="1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f>orders[[#This Row],[Ship Date]]-orders[[#This Row],[Order Date]]</f>
        <v>1</v>
      </c>
      <c r="N437">
        <f>WEEKNUM(orders[[#This Row],[Order Date]])</f>
        <v>4</v>
      </c>
      <c r="O437" t="str" cm="1">
        <f t="array" ref="O437">_xlfn.IFS(orders[[#This Row],[Customer Gender]]="M","Male", orders[[#This Row],[Customer Gender]]="F","Female", orders[[#This Row],[Customer Gender]]="O","Other", TRUE,"Unknown")</f>
        <v>Male</v>
      </c>
    </row>
    <row r="438" spans="1:15" x14ac:dyDescent="0.3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1">
        <v>45676</v>
      </c>
      <c r="G438" s="1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f>orders[[#This Row],[Ship Date]]-orders[[#This Row],[Order Date]]</f>
        <v>1</v>
      </c>
      <c r="N438">
        <f>WEEKNUM(orders[[#This Row],[Order Date]])</f>
        <v>4</v>
      </c>
      <c r="O438" t="str" cm="1">
        <f t="array" ref="O438">_xlfn.IFS(orders[[#This Row],[Customer Gender]]="M","Male", orders[[#This Row],[Customer Gender]]="F","Female", orders[[#This Row],[Customer Gender]]="O","Other", TRUE,"Unknown")</f>
        <v>Female</v>
      </c>
    </row>
    <row r="439" spans="1:15" x14ac:dyDescent="0.3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1">
        <v>45676</v>
      </c>
      <c r="G439" s="1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f>orders[[#This Row],[Ship Date]]-orders[[#This Row],[Order Date]]</f>
        <v>11</v>
      </c>
      <c r="N439">
        <f>WEEKNUM(orders[[#This Row],[Order Date]])</f>
        <v>4</v>
      </c>
      <c r="O439" t="str" cm="1">
        <f t="array" ref="O439">_xlfn.IFS(orders[[#This Row],[Customer Gender]]="M","Male", orders[[#This Row],[Customer Gender]]="F","Female", orders[[#This Row],[Customer Gender]]="O","Other", TRUE,"Unknown")</f>
        <v>Male</v>
      </c>
    </row>
    <row r="440" spans="1:15" x14ac:dyDescent="0.3">
      <c r="A440" t="s">
        <v>526</v>
      </c>
      <c r="B440" t="s">
        <v>44</v>
      </c>
      <c r="C440">
        <v>2</v>
      </c>
      <c r="D440">
        <v>47.5</v>
      </c>
      <c r="E440">
        <v>95</v>
      </c>
      <c r="F440" s="1">
        <v>45677</v>
      </c>
      <c r="G440" s="1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f>orders[[#This Row],[Ship Date]]-orders[[#This Row],[Order Date]]</f>
        <v>2</v>
      </c>
      <c r="N440">
        <f>WEEKNUM(orders[[#This Row],[Order Date]])</f>
        <v>4</v>
      </c>
      <c r="O440" t="str" cm="1">
        <f t="array" ref="O440">_xlfn.IFS(orders[[#This Row],[Customer Gender]]="M","Male", orders[[#This Row],[Customer Gender]]="F","Female", orders[[#This Row],[Customer Gender]]="O","Other", TRUE,"Unknown")</f>
        <v>Female</v>
      </c>
    </row>
    <row r="441" spans="1:15" x14ac:dyDescent="0.3">
      <c r="A441" t="s">
        <v>527</v>
      </c>
      <c r="B441" t="s">
        <v>39</v>
      </c>
      <c r="C441">
        <v>5</v>
      </c>
      <c r="D441">
        <v>45.6</v>
      </c>
      <c r="E441">
        <v>228</v>
      </c>
      <c r="F441" s="1">
        <v>45677</v>
      </c>
      <c r="G441" s="1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f>orders[[#This Row],[Ship Date]]-orders[[#This Row],[Order Date]]</f>
        <v>2</v>
      </c>
      <c r="N441">
        <f>WEEKNUM(orders[[#This Row],[Order Date]])</f>
        <v>4</v>
      </c>
      <c r="O441" t="str" cm="1">
        <f t="array" ref="O441">_xlfn.IFS(orders[[#This Row],[Customer Gender]]="M","Male", orders[[#This Row],[Customer Gender]]="F","Female", orders[[#This Row],[Customer Gender]]="O","Other", TRUE,"Unknown")</f>
        <v>Female</v>
      </c>
    </row>
    <row r="442" spans="1:15" x14ac:dyDescent="0.3">
      <c r="A442" t="s">
        <v>528</v>
      </c>
      <c r="B442" t="s">
        <v>46</v>
      </c>
      <c r="C442">
        <v>2</v>
      </c>
      <c r="D442">
        <v>50.5</v>
      </c>
      <c r="E442">
        <v>101</v>
      </c>
      <c r="F442" s="1">
        <v>45677</v>
      </c>
      <c r="G442" s="1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f>orders[[#This Row],[Ship Date]]-orders[[#This Row],[Order Date]]</f>
        <v>2</v>
      </c>
      <c r="N442">
        <f>WEEKNUM(orders[[#This Row],[Order Date]])</f>
        <v>4</v>
      </c>
      <c r="O442" t="str" cm="1">
        <f t="array" ref="O442">_xlfn.IFS(orders[[#This Row],[Customer Gender]]="M","Male", orders[[#This Row],[Customer Gender]]="F","Female", orders[[#This Row],[Customer Gender]]="O","Other", TRUE,"Unknown")</f>
        <v>Male</v>
      </c>
    </row>
    <row r="443" spans="1:15" x14ac:dyDescent="0.3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1">
        <v>45677</v>
      </c>
      <c r="G443" s="1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f>orders[[#This Row],[Ship Date]]-orders[[#This Row],[Order Date]]</f>
        <v>3</v>
      </c>
      <c r="N443">
        <f>WEEKNUM(orders[[#This Row],[Order Date]])</f>
        <v>4</v>
      </c>
      <c r="O443" t="str" cm="1">
        <f t="array" ref="O443">_xlfn.IFS(orders[[#This Row],[Customer Gender]]="M","Male", orders[[#This Row],[Customer Gender]]="F","Female", orders[[#This Row],[Customer Gender]]="O","Other", TRUE,"Unknown")</f>
        <v>Female</v>
      </c>
    </row>
    <row r="444" spans="1:15" x14ac:dyDescent="0.3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1">
        <v>45677</v>
      </c>
      <c r="G444" s="1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f>orders[[#This Row],[Ship Date]]-orders[[#This Row],[Order Date]]</f>
        <v>2</v>
      </c>
      <c r="N444">
        <f>WEEKNUM(orders[[#This Row],[Order Date]])</f>
        <v>4</v>
      </c>
      <c r="O444" t="str" cm="1">
        <f t="array" ref="O444">_xlfn.IFS(orders[[#This Row],[Customer Gender]]="M","Male", orders[[#This Row],[Customer Gender]]="F","Female", orders[[#This Row],[Customer Gender]]="O","Other", TRUE,"Unknown")</f>
        <v>Other</v>
      </c>
    </row>
    <row r="445" spans="1:15" x14ac:dyDescent="0.3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1">
        <v>45677</v>
      </c>
      <c r="G445" s="1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f>orders[[#This Row],[Ship Date]]-orders[[#This Row],[Order Date]]</f>
        <v>1</v>
      </c>
      <c r="N445">
        <f>WEEKNUM(orders[[#This Row],[Order Date]])</f>
        <v>4</v>
      </c>
      <c r="O445" t="str" cm="1">
        <f t="array" ref="O445">_xlfn.IFS(orders[[#This Row],[Customer Gender]]="M","Male", orders[[#This Row],[Customer Gender]]="F","Female", orders[[#This Row],[Customer Gender]]="O","Other", TRUE,"Unknown")</f>
        <v>Male</v>
      </c>
    </row>
    <row r="446" spans="1:15" x14ac:dyDescent="0.3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1">
        <v>45677</v>
      </c>
      <c r="G446" s="1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f>orders[[#This Row],[Ship Date]]-orders[[#This Row],[Order Date]]</f>
        <v>2</v>
      </c>
      <c r="N446">
        <f>WEEKNUM(orders[[#This Row],[Order Date]])</f>
        <v>4</v>
      </c>
      <c r="O446" t="str" cm="1">
        <f t="array" ref="O446">_xlfn.IFS(orders[[#This Row],[Customer Gender]]="M","Male", orders[[#This Row],[Customer Gender]]="F","Female", orders[[#This Row],[Customer Gender]]="O","Other", TRUE,"Unknown")</f>
        <v>Female</v>
      </c>
    </row>
    <row r="447" spans="1:15" x14ac:dyDescent="0.3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1">
        <v>45677</v>
      </c>
      <c r="G447" s="1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f>orders[[#This Row],[Ship Date]]-orders[[#This Row],[Order Date]]</f>
        <v>1</v>
      </c>
      <c r="N447">
        <f>WEEKNUM(orders[[#This Row],[Order Date]])</f>
        <v>4</v>
      </c>
      <c r="O447" t="str" cm="1">
        <f t="array" ref="O447">_xlfn.IFS(orders[[#This Row],[Customer Gender]]="M","Male", orders[[#This Row],[Customer Gender]]="F","Female", orders[[#This Row],[Customer Gender]]="O","Other", TRUE,"Unknown")</f>
        <v>Female</v>
      </c>
    </row>
    <row r="448" spans="1:15" x14ac:dyDescent="0.3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1">
        <v>45677</v>
      </c>
      <c r="G448" s="1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f>orders[[#This Row],[Ship Date]]-orders[[#This Row],[Order Date]]</f>
        <v>1</v>
      </c>
      <c r="N448">
        <f>WEEKNUM(orders[[#This Row],[Order Date]])</f>
        <v>4</v>
      </c>
      <c r="O448" t="str" cm="1">
        <f t="array" ref="O448">_xlfn.IFS(orders[[#This Row],[Customer Gender]]="M","Male", orders[[#This Row],[Customer Gender]]="F","Female", orders[[#This Row],[Customer Gender]]="O","Other", TRUE,"Unknown")</f>
        <v>Female</v>
      </c>
    </row>
    <row r="449" spans="1:15" x14ac:dyDescent="0.3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1">
        <v>45677</v>
      </c>
      <c r="G449" s="1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f>orders[[#This Row],[Ship Date]]-orders[[#This Row],[Order Date]]</f>
        <v>1</v>
      </c>
      <c r="N449">
        <f>WEEKNUM(orders[[#This Row],[Order Date]])</f>
        <v>4</v>
      </c>
      <c r="O449" t="str" cm="1">
        <f t="array" ref="O449">_xlfn.IFS(orders[[#This Row],[Customer Gender]]="M","Male", orders[[#This Row],[Customer Gender]]="F","Female", orders[[#This Row],[Customer Gender]]="O","Other", TRUE,"Unknown")</f>
        <v>Male</v>
      </c>
    </row>
    <row r="450" spans="1:15" x14ac:dyDescent="0.3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1">
        <v>45677</v>
      </c>
      <c r="G450" s="1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f>orders[[#This Row],[Ship Date]]-orders[[#This Row],[Order Date]]</f>
        <v>3</v>
      </c>
      <c r="N450">
        <f>WEEKNUM(orders[[#This Row],[Order Date]])</f>
        <v>4</v>
      </c>
      <c r="O450" t="str" cm="1">
        <f t="array" ref="O450">_xlfn.IFS(orders[[#This Row],[Customer Gender]]="M","Male", orders[[#This Row],[Customer Gender]]="F","Female", orders[[#This Row],[Customer Gender]]="O","Other", TRUE,"Unknown")</f>
        <v>Female</v>
      </c>
    </row>
    <row r="451" spans="1:15" x14ac:dyDescent="0.3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1">
        <v>45677</v>
      </c>
      <c r="G451" s="1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f>orders[[#This Row],[Ship Date]]-orders[[#This Row],[Order Date]]</f>
        <v>2</v>
      </c>
      <c r="N451">
        <f>WEEKNUM(orders[[#This Row],[Order Date]])</f>
        <v>4</v>
      </c>
      <c r="O451" t="str" cm="1">
        <f t="array" ref="O451">_xlfn.IFS(orders[[#This Row],[Customer Gender]]="M","Male", orders[[#This Row],[Customer Gender]]="F","Female", orders[[#This Row],[Customer Gender]]="O","Other", TRUE,"Unknown")</f>
        <v>Female</v>
      </c>
    </row>
    <row r="452" spans="1:15" x14ac:dyDescent="0.3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1">
        <v>45677</v>
      </c>
      <c r="G452" s="1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f>orders[[#This Row],[Ship Date]]-orders[[#This Row],[Order Date]]</f>
        <v>2</v>
      </c>
      <c r="N452">
        <f>WEEKNUM(orders[[#This Row],[Order Date]])</f>
        <v>4</v>
      </c>
      <c r="O452" t="str" cm="1">
        <f t="array" ref="O452">_xlfn.IFS(orders[[#This Row],[Customer Gender]]="M","Male", orders[[#This Row],[Customer Gender]]="F","Female", orders[[#This Row],[Customer Gender]]="O","Other", TRUE,"Unknown")</f>
        <v>Unknown</v>
      </c>
    </row>
    <row r="453" spans="1:15" x14ac:dyDescent="0.3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1">
        <v>45677</v>
      </c>
      <c r="G453" s="1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f>orders[[#This Row],[Ship Date]]-orders[[#This Row],[Order Date]]</f>
        <v>6</v>
      </c>
      <c r="N453">
        <f>WEEKNUM(orders[[#This Row],[Order Date]])</f>
        <v>4</v>
      </c>
      <c r="O453" t="str" cm="1">
        <f t="array" ref="O453">_xlfn.IFS(orders[[#This Row],[Customer Gender]]="M","Male", orders[[#This Row],[Customer Gender]]="F","Female", orders[[#This Row],[Customer Gender]]="O","Other", TRUE,"Unknown")</f>
        <v>Female</v>
      </c>
    </row>
    <row r="454" spans="1:15" x14ac:dyDescent="0.3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1">
        <v>45677</v>
      </c>
      <c r="G454" s="1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f>orders[[#This Row],[Ship Date]]-orders[[#This Row],[Order Date]]</f>
        <v>1</v>
      </c>
      <c r="N454">
        <f>WEEKNUM(orders[[#This Row],[Order Date]])</f>
        <v>4</v>
      </c>
      <c r="O454" t="str" cm="1">
        <f t="array" ref="O454">_xlfn.IFS(orders[[#This Row],[Customer Gender]]="M","Male", orders[[#This Row],[Customer Gender]]="F","Female", orders[[#This Row],[Customer Gender]]="O","Other", TRUE,"Unknown")</f>
        <v>Female</v>
      </c>
    </row>
    <row r="455" spans="1:15" x14ac:dyDescent="0.3">
      <c r="A455" t="s">
        <v>541</v>
      </c>
      <c r="B455" t="s">
        <v>39</v>
      </c>
      <c r="C455">
        <v>6</v>
      </c>
      <c r="D455">
        <v>62.5</v>
      </c>
      <c r="E455">
        <v>375</v>
      </c>
      <c r="F455" s="1">
        <v>45677</v>
      </c>
      <c r="G455" s="1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f>orders[[#This Row],[Ship Date]]-orders[[#This Row],[Order Date]]</f>
        <v>2</v>
      </c>
      <c r="N455">
        <f>WEEKNUM(orders[[#This Row],[Order Date]])</f>
        <v>4</v>
      </c>
      <c r="O455" t="str" cm="1">
        <f t="array" ref="O455">_xlfn.IFS(orders[[#This Row],[Customer Gender]]="M","Male", orders[[#This Row],[Customer Gender]]="F","Female", orders[[#This Row],[Customer Gender]]="O","Other", TRUE,"Unknown")</f>
        <v>Female</v>
      </c>
    </row>
    <row r="456" spans="1:15" x14ac:dyDescent="0.3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1">
        <v>45677</v>
      </c>
      <c r="G456" s="1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f>orders[[#This Row],[Ship Date]]-orders[[#This Row],[Order Date]]</f>
        <v>1</v>
      </c>
      <c r="N456">
        <f>WEEKNUM(orders[[#This Row],[Order Date]])</f>
        <v>4</v>
      </c>
      <c r="O456" t="str" cm="1">
        <f t="array" ref="O456">_xlfn.IFS(orders[[#This Row],[Customer Gender]]="M","Male", orders[[#This Row],[Customer Gender]]="F","Female", orders[[#This Row],[Customer Gender]]="O","Other", TRUE,"Unknown")</f>
        <v>Female</v>
      </c>
    </row>
    <row r="457" spans="1:15" x14ac:dyDescent="0.3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1">
        <v>45677</v>
      </c>
      <c r="G457" s="1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f>orders[[#This Row],[Ship Date]]-orders[[#This Row],[Order Date]]</f>
        <v>11</v>
      </c>
      <c r="N457">
        <f>WEEKNUM(orders[[#This Row],[Order Date]])</f>
        <v>4</v>
      </c>
      <c r="O457" t="str" cm="1">
        <f t="array" ref="O457">_xlfn.IFS(orders[[#This Row],[Customer Gender]]="M","Male", orders[[#This Row],[Customer Gender]]="F","Female", orders[[#This Row],[Customer Gender]]="O","Other", TRUE,"Unknown")</f>
        <v>Female</v>
      </c>
    </row>
    <row r="458" spans="1:15" x14ac:dyDescent="0.3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1">
        <v>45677</v>
      </c>
      <c r="G458" s="1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f>orders[[#This Row],[Ship Date]]-orders[[#This Row],[Order Date]]</f>
        <v>0</v>
      </c>
      <c r="N458">
        <f>WEEKNUM(orders[[#This Row],[Order Date]])</f>
        <v>4</v>
      </c>
      <c r="O458" t="str" cm="1">
        <f t="array" ref="O458">_xlfn.IFS(orders[[#This Row],[Customer Gender]]="M","Male", orders[[#This Row],[Customer Gender]]="F","Female", orders[[#This Row],[Customer Gender]]="O","Other", TRUE,"Unknown")</f>
        <v>Female</v>
      </c>
    </row>
    <row r="459" spans="1:15" x14ac:dyDescent="0.3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1">
        <v>45678</v>
      </c>
      <c r="G459" s="1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f>orders[[#This Row],[Ship Date]]-orders[[#This Row],[Order Date]]</f>
        <v>2</v>
      </c>
      <c r="N459">
        <f>WEEKNUM(orders[[#This Row],[Order Date]])</f>
        <v>4</v>
      </c>
      <c r="O459" t="str" cm="1">
        <f t="array" ref="O459">_xlfn.IFS(orders[[#This Row],[Customer Gender]]="M","Male", orders[[#This Row],[Customer Gender]]="F","Female", orders[[#This Row],[Customer Gender]]="O","Other", TRUE,"Unknown")</f>
        <v>Female</v>
      </c>
    </row>
    <row r="460" spans="1:15" x14ac:dyDescent="0.3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1">
        <v>45678</v>
      </c>
      <c r="G460" s="1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f>orders[[#This Row],[Ship Date]]-orders[[#This Row],[Order Date]]</f>
        <v>2</v>
      </c>
      <c r="N460">
        <f>WEEKNUM(orders[[#This Row],[Order Date]])</f>
        <v>4</v>
      </c>
      <c r="O460" t="str" cm="1">
        <f t="array" ref="O460">_xlfn.IFS(orders[[#This Row],[Customer Gender]]="M","Male", orders[[#This Row],[Customer Gender]]="F","Female", orders[[#This Row],[Customer Gender]]="O","Other", TRUE,"Unknown")</f>
        <v>Female</v>
      </c>
    </row>
    <row r="461" spans="1:15" x14ac:dyDescent="0.3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1">
        <v>45678</v>
      </c>
      <c r="G461" s="1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f>orders[[#This Row],[Ship Date]]-orders[[#This Row],[Order Date]]</f>
        <v>1</v>
      </c>
      <c r="N461">
        <f>WEEKNUM(orders[[#This Row],[Order Date]])</f>
        <v>4</v>
      </c>
      <c r="O461" t="str" cm="1">
        <f t="array" ref="O461">_xlfn.IFS(orders[[#This Row],[Customer Gender]]="M","Male", orders[[#This Row],[Customer Gender]]="F","Female", orders[[#This Row],[Customer Gender]]="O","Other", TRUE,"Unknown")</f>
        <v>Male</v>
      </c>
    </row>
    <row r="462" spans="1:15" x14ac:dyDescent="0.3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1">
        <v>45678</v>
      </c>
      <c r="G462" s="1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f>orders[[#This Row],[Ship Date]]-orders[[#This Row],[Order Date]]</f>
        <v>3</v>
      </c>
      <c r="N462">
        <f>WEEKNUM(orders[[#This Row],[Order Date]])</f>
        <v>4</v>
      </c>
      <c r="O462" t="str" cm="1">
        <f t="array" ref="O462">_xlfn.IFS(orders[[#This Row],[Customer Gender]]="M","Male", orders[[#This Row],[Customer Gender]]="F","Female", orders[[#This Row],[Customer Gender]]="O","Other", TRUE,"Unknown")</f>
        <v>Female</v>
      </c>
    </row>
    <row r="463" spans="1:15" x14ac:dyDescent="0.3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1">
        <v>45678</v>
      </c>
      <c r="G463" s="1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f>orders[[#This Row],[Ship Date]]-orders[[#This Row],[Order Date]]</f>
        <v>4</v>
      </c>
      <c r="N463">
        <f>WEEKNUM(orders[[#This Row],[Order Date]])</f>
        <v>4</v>
      </c>
      <c r="O463" t="str" cm="1">
        <f t="array" ref="O463">_xlfn.IFS(orders[[#This Row],[Customer Gender]]="M","Male", orders[[#This Row],[Customer Gender]]="F","Female", orders[[#This Row],[Customer Gender]]="O","Other", TRUE,"Unknown")</f>
        <v>Male</v>
      </c>
    </row>
    <row r="464" spans="1:15" x14ac:dyDescent="0.3">
      <c r="A464" t="s">
        <v>551</v>
      </c>
      <c r="B464" t="s">
        <v>22</v>
      </c>
      <c r="C464">
        <v>2</v>
      </c>
      <c r="D464">
        <v>61</v>
      </c>
      <c r="E464">
        <v>122</v>
      </c>
      <c r="F464" s="1">
        <v>45678</v>
      </c>
      <c r="G464" s="1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f>orders[[#This Row],[Ship Date]]-orders[[#This Row],[Order Date]]</f>
        <v>1</v>
      </c>
      <c r="N464">
        <f>WEEKNUM(orders[[#This Row],[Order Date]])</f>
        <v>4</v>
      </c>
      <c r="O464" t="str" cm="1">
        <f t="array" ref="O464">_xlfn.IFS(orders[[#This Row],[Customer Gender]]="M","Male", orders[[#This Row],[Customer Gender]]="F","Female", orders[[#This Row],[Customer Gender]]="O","Other", TRUE,"Unknown")</f>
        <v>Male</v>
      </c>
    </row>
    <row r="465" spans="1:15" x14ac:dyDescent="0.3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1">
        <v>45678</v>
      </c>
      <c r="G465" s="1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f>orders[[#This Row],[Ship Date]]-orders[[#This Row],[Order Date]]</f>
        <v>2</v>
      </c>
      <c r="N465">
        <f>WEEKNUM(orders[[#This Row],[Order Date]])</f>
        <v>4</v>
      </c>
      <c r="O465" t="str" cm="1">
        <f t="array" ref="O465">_xlfn.IFS(orders[[#This Row],[Customer Gender]]="M","Male", orders[[#This Row],[Customer Gender]]="F","Female", orders[[#This Row],[Customer Gender]]="O","Other", TRUE,"Unknown")</f>
        <v>Male</v>
      </c>
    </row>
    <row r="466" spans="1:15" x14ac:dyDescent="0.3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1">
        <v>45678</v>
      </c>
      <c r="G466" s="1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f>orders[[#This Row],[Ship Date]]-orders[[#This Row],[Order Date]]</f>
        <v>2</v>
      </c>
      <c r="N466">
        <f>WEEKNUM(orders[[#This Row],[Order Date]])</f>
        <v>4</v>
      </c>
      <c r="O466" t="str" cm="1">
        <f t="array" ref="O466">_xlfn.IFS(orders[[#This Row],[Customer Gender]]="M","Male", orders[[#This Row],[Customer Gender]]="F","Female", orders[[#This Row],[Customer Gender]]="O","Other", TRUE,"Unknown")</f>
        <v>Unknown</v>
      </c>
    </row>
    <row r="467" spans="1:15" x14ac:dyDescent="0.3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1">
        <v>45678</v>
      </c>
      <c r="G467" s="1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f>orders[[#This Row],[Ship Date]]-orders[[#This Row],[Order Date]]</f>
        <v>1</v>
      </c>
      <c r="N467">
        <f>WEEKNUM(orders[[#This Row],[Order Date]])</f>
        <v>4</v>
      </c>
      <c r="O467" t="str" cm="1">
        <f t="array" ref="O467">_xlfn.IFS(orders[[#This Row],[Customer Gender]]="M","Male", orders[[#This Row],[Customer Gender]]="F","Female", orders[[#This Row],[Customer Gender]]="O","Other", TRUE,"Unknown")</f>
        <v>Male</v>
      </c>
    </row>
    <row r="468" spans="1:15" x14ac:dyDescent="0.3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1">
        <v>45678</v>
      </c>
      <c r="G468" s="1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f>orders[[#This Row],[Ship Date]]-orders[[#This Row],[Order Date]]</f>
        <v>1</v>
      </c>
      <c r="N468">
        <f>WEEKNUM(orders[[#This Row],[Order Date]])</f>
        <v>4</v>
      </c>
      <c r="O468" t="str" cm="1">
        <f t="array" ref="O468">_xlfn.IFS(orders[[#This Row],[Customer Gender]]="M","Male", orders[[#This Row],[Customer Gender]]="F","Female", orders[[#This Row],[Customer Gender]]="O","Other", TRUE,"Unknown")</f>
        <v>Female</v>
      </c>
    </row>
    <row r="469" spans="1:15" x14ac:dyDescent="0.3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1">
        <v>45678</v>
      </c>
      <c r="G469" s="1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f>orders[[#This Row],[Ship Date]]-orders[[#This Row],[Order Date]]</f>
        <v>4</v>
      </c>
      <c r="N469">
        <f>WEEKNUM(orders[[#This Row],[Order Date]])</f>
        <v>4</v>
      </c>
      <c r="O469" t="str" cm="1">
        <f t="array" ref="O469">_xlfn.IFS(orders[[#This Row],[Customer Gender]]="M","Male", orders[[#This Row],[Customer Gender]]="F","Female", orders[[#This Row],[Customer Gender]]="O","Other", TRUE,"Unknown")</f>
        <v>Female</v>
      </c>
    </row>
    <row r="470" spans="1:15" x14ac:dyDescent="0.3">
      <c r="A470" t="s">
        <v>557</v>
      </c>
      <c r="B470" t="s">
        <v>37</v>
      </c>
      <c r="C470">
        <v>5</v>
      </c>
      <c r="D470">
        <v>49</v>
      </c>
      <c r="E470">
        <v>245</v>
      </c>
      <c r="F470" s="1">
        <v>45678</v>
      </c>
      <c r="G470" s="1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f>orders[[#This Row],[Ship Date]]-orders[[#This Row],[Order Date]]</f>
        <v>1</v>
      </c>
      <c r="N470">
        <f>WEEKNUM(orders[[#This Row],[Order Date]])</f>
        <v>4</v>
      </c>
      <c r="O470" t="str" cm="1">
        <f t="array" ref="O470">_xlfn.IFS(orders[[#This Row],[Customer Gender]]="M","Male", orders[[#This Row],[Customer Gender]]="F","Female", orders[[#This Row],[Customer Gender]]="O","Other", TRUE,"Unknown")</f>
        <v>Male</v>
      </c>
    </row>
    <row r="471" spans="1:15" x14ac:dyDescent="0.3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1">
        <v>45678</v>
      </c>
      <c r="G471" s="1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f>orders[[#This Row],[Ship Date]]-orders[[#This Row],[Order Date]]</f>
        <v>1</v>
      </c>
      <c r="N471">
        <f>WEEKNUM(orders[[#This Row],[Order Date]])</f>
        <v>4</v>
      </c>
      <c r="O471" t="str" cm="1">
        <f t="array" ref="O471">_xlfn.IFS(orders[[#This Row],[Customer Gender]]="M","Male", orders[[#This Row],[Customer Gender]]="F","Female", orders[[#This Row],[Customer Gender]]="O","Other", TRUE,"Unknown")</f>
        <v>Male</v>
      </c>
    </row>
    <row r="472" spans="1:15" x14ac:dyDescent="0.3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1">
        <v>45678</v>
      </c>
      <c r="G472" s="1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f>orders[[#This Row],[Ship Date]]-orders[[#This Row],[Order Date]]</f>
        <v>1</v>
      </c>
      <c r="N472">
        <f>WEEKNUM(orders[[#This Row],[Order Date]])</f>
        <v>4</v>
      </c>
      <c r="O472" t="str" cm="1">
        <f t="array" ref="O472">_xlfn.IFS(orders[[#This Row],[Customer Gender]]="M","Male", orders[[#This Row],[Customer Gender]]="F","Female", orders[[#This Row],[Customer Gender]]="O","Other", TRUE,"Unknown")</f>
        <v>Female</v>
      </c>
    </row>
    <row r="473" spans="1:15" x14ac:dyDescent="0.3">
      <c r="A473" t="s">
        <v>560</v>
      </c>
      <c r="B473" t="s">
        <v>44</v>
      </c>
      <c r="C473">
        <v>4</v>
      </c>
      <c r="D473">
        <v>40</v>
      </c>
      <c r="E473">
        <v>160</v>
      </c>
      <c r="F473" s="1">
        <v>45678</v>
      </c>
      <c r="G473" s="1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f>orders[[#This Row],[Ship Date]]-orders[[#This Row],[Order Date]]</f>
        <v>1</v>
      </c>
      <c r="N473">
        <f>WEEKNUM(orders[[#This Row],[Order Date]])</f>
        <v>4</v>
      </c>
      <c r="O473" t="str" cm="1">
        <f t="array" ref="O473">_xlfn.IFS(orders[[#This Row],[Customer Gender]]="M","Male", orders[[#This Row],[Customer Gender]]="F","Female", orders[[#This Row],[Customer Gender]]="O","Other", TRUE,"Unknown")</f>
        <v>Other</v>
      </c>
    </row>
    <row r="474" spans="1:15" x14ac:dyDescent="0.3">
      <c r="A474" t="s">
        <v>561</v>
      </c>
      <c r="B474" t="s">
        <v>37</v>
      </c>
      <c r="C474">
        <v>2</v>
      </c>
      <c r="D474">
        <v>38.5</v>
      </c>
      <c r="E474">
        <v>77</v>
      </c>
      <c r="F474" s="1">
        <v>45678</v>
      </c>
      <c r="G474" s="1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f>orders[[#This Row],[Ship Date]]-orders[[#This Row],[Order Date]]</f>
        <v>3</v>
      </c>
      <c r="N474">
        <f>WEEKNUM(orders[[#This Row],[Order Date]])</f>
        <v>4</v>
      </c>
      <c r="O474" t="str" cm="1">
        <f t="array" ref="O474">_xlfn.IFS(orders[[#This Row],[Customer Gender]]="M","Male", orders[[#This Row],[Customer Gender]]="F","Female", orders[[#This Row],[Customer Gender]]="O","Other", TRUE,"Unknown")</f>
        <v>Male</v>
      </c>
    </row>
    <row r="475" spans="1:15" x14ac:dyDescent="0.3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1">
        <v>45678</v>
      </c>
      <c r="G475" s="1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f>orders[[#This Row],[Ship Date]]-orders[[#This Row],[Order Date]]</f>
        <v>1</v>
      </c>
      <c r="N475">
        <f>WEEKNUM(orders[[#This Row],[Order Date]])</f>
        <v>4</v>
      </c>
      <c r="O475" t="str" cm="1">
        <f t="array" ref="O475">_xlfn.IFS(orders[[#This Row],[Customer Gender]]="M","Male", orders[[#This Row],[Customer Gender]]="F","Female", orders[[#This Row],[Customer Gender]]="O","Other", TRUE,"Unknown")</f>
        <v>Unknown</v>
      </c>
    </row>
    <row r="476" spans="1:15" x14ac:dyDescent="0.3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1">
        <v>45678</v>
      </c>
      <c r="G476" s="1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f>orders[[#This Row],[Ship Date]]-orders[[#This Row],[Order Date]]</f>
        <v>1</v>
      </c>
      <c r="N476">
        <f>WEEKNUM(orders[[#This Row],[Order Date]])</f>
        <v>4</v>
      </c>
      <c r="O476" t="str" cm="1">
        <f t="array" ref="O476">_xlfn.IFS(orders[[#This Row],[Customer Gender]]="M","Male", orders[[#This Row],[Customer Gender]]="F","Female", orders[[#This Row],[Customer Gender]]="O","Other", TRUE,"Unknown")</f>
        <v>Female</v>
      </c>
    </row>
    <row r="477" spans="1:15" x14ac:dyDescent="0.3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1">
        <v>45678</v>
      </c>
      <c r="G477" s="1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f>orders[[#This Row],[Ship Date]]-orders[[#This Row],[Order Date]]</f>
        <v>3</v>
      </c>
      <c r="N477">
        <f>WEEKNUM(orders[[#This Row],[Order Date]])</f>
        <v>4</v>
      </c>
      <c r="O477" t="str" cm="1">
        <f t="array" ref="O477">_xlfn.IFS(orders[[#This Row],[Customer Gender]]="M","Male", orders[[#This Row],[Customer Gender]]="F","Female", orders[[#This Row],[Customer Gender]]="O","Other", TRUE,"Unknown")</f>
        <v>Male</v>
      </c>
    </row>
    <row r="478" spans="1:15" x14ac:dyDescent="0.3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1">
        <v>45678</v>
      </c>
      <c r="G478" s="1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f>orders[[#This Row],[Ship Date]]-orders[[#This Row],[Order Date]]</f>
        <v>3</v>
      </c>
      <c r="N478">
        <f>WEEKNUM(orders[[#This Row],[Order Date]])</f>
        <v>4</v>
      </c>
      <c r="O478" t="str" cm="1">
        <f t="array" ref="O478">_xlfn.IFS(orders[[#This Row],[Customer Gender]]="M","Male", orders[[#This Row],[Customer Gender]]="F","Female", orders[[#This Row],[Customer Gender]]="O","Other", TRUE,"Unknown")</f>
        <v>Female</v>
      </c>
    </row>
    <row r="479" spans="1:15" x14ac:dyDescent="0.3">
      <c r="A479" t="s">
        <v>566</v>
      </c>
      <c r="B479" t="s">
        <v>46</v>
      </c>
      <c r="C479">
        <v>5</v>
      </c>
      <c r="D479">
        <v>73.2</v>
      </c>
      <c r="E479">
        <v>366</v>
      </c>
      <c r="F479" s="1">
        <v>45678</v>
      </c>
      <c r="G479" s="1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f>orders[[#This Row],[Ship Date]]-orders[[#This Row],[Order Date]]</f>
        <v>1</v>
      </c>
      <c r="N479">
        <f>WEEKNUM(orders[[#This Row],[Order Date]])</f>
        <v>4</v>
      </c>
      <c r="O479" t="str" cm="1">
        <f t="array" ref="O479">_xlfn.IFS(orders[[#This Row],[Customer Gender]]="M","Male", orders[[#This Row],[Customer Gender]]="F","Female", orders[[#This Row],[Customer Gender]]="O","Other", TRUE,"Unknown")</f>
        <v>Female</v>
      </c>
    </row>
    <row r="480" spans="1:15" x14ac:dyDescent="0.3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1">
        <v>45678</v>
      </c>
      <c r="G480" s="1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f>orders[[#This Row],[Ship Date]]-orders[[#This Row],[Order Date]]</f>
        <v>4</v>
      </c>
      <c r="N480">
        <f>WEEKNUM(orders[[#This Row],[Order Date]])</f>
        <v>4</v>
      </c>
      <c r="O480" t="str" cm="1">
        <f t="array" ref="O480">_xlfn.IFS(orders[[#This Row],[Customer Gender]]="M","Male", orders[[#This Row],[Customer Gender]]="F","Female", orders[[#This Row],[Customer Gender]]="O","Other", TRUE,"Unknown")</f>
        <v>Female</v>
      </c>
    </row>
    <row r="481" spans="1:15" x14ac:dyDescent="0.3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1">
        <v>45678</v>
      </c>
      <c r="G481" s="1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f>orders[[#This Row],[Ship Date]]-orders[[#This Row],[Order Date]]</f>
        <v>1</v>
      </c>
      <c r="N481">
        <f>WEEKNUM(orders[[#This Row],[Order Date]])</f>
        <v>4</v>
      </c>
      <c r="O481" t="str" cm="1">
        <f t="array" ref="O481">_xlfn.IFS(orders[[#This Row],[Customer Gender]]="M","Male", orders[[#This Row],[Customer Gender]]="F","Female", orders[[#This Row],[Customer Gender]]="O","Other", TRUE,"Unknown")</f>
        <v>Male</v>
      </c>
    </row>
    <row r="482" spans="1:15" x14ac:dyDescent="0.3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1">
        <v>45678</v>
      </c>
      <c r="G482" s="1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f>orders[[#This Row],[Ship Date]]-orders[[#This Row],[Order Date]]</f>
        <v>3</v>
      </c>
      <c r="N482">
        <f>WEEKNUM(orders[[#This Row],[Order Date]])</f>
        <v>4</v>
      </c>
      <c r="O482" t="str" cm="1">
        <f t="array" ref="O482">_xlfn.IFS(orders[[#This Row],[Customer Gender]]="M","Male", orders[[#This Row],[Customer Gender]]="F","Female", orders[[#This Row],[Customer Gender]]="O","Other", TRUE,"Unknown")</f>
        <v>Male</v>
      </c>
    </row>
    <row r="483" spans="1:15" x14ac:dyDescent="0.3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1">
        <v>45678</v>
      </c>
      <c r="G483" s="1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f>orders[[#This Row],[Ship Date]]-orders[[#This Row],[Order Date]]</f>
        <v>1</v>
      </c>
      <c r="N483">
        <f>WEEKNUM(orders[[#This Row],[Order Date]])</f>
        <v>4</v>
      </c>
      <c r="O483" t="str" cm="1">
        <f t="array" ref="O483">_xlfn.IFS(orders[[#This Row],[Customer Gender]]="M","Male", orders[[#This Row],[Customer Gender]]="F","Female", orders[[#This Row],[Customer Gender]]="O","Other", TRUE,"Unknown")</f>
        <v>Male</v>
      </c>
    </row>
    <row r="484" spans="1:15" x14ac:dyDescent="0.3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1">
        <v>45679</v>
      </c>
      <c r="G484" s="1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f>orders[[#This Row],[Ship Date]]-orders[[#This Row],[Order Date]]</f>
        <v>3</v>
      </c>
      <c r="N484">
        <f>WEEKNUM(orders[[#This Row],[Order Date]])</f>
        <v>4</v>
      </c>
      <c r="O484" t="str" cm="1">
        <f t="array" ref="O484">_xlfn.IFS(orders[[#This Row],[Customer Gender]]="M","Male", orders[[#This Row],[Customer Gender]]="F","Female", orders[[#This Row],[Customer Gender]]="O","Other", TRUE,"Unknown")</f>
        <v>Female</v>
      </c>
    </row>
    <row r="485" spans="1:15" x14ac:dyDescent="0.3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1">
        <v>45679</v>
      </c>
      <c r="G485" s="1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f>orders[[#This Row],[Ship Date]]-orders[[#This Row],[Order Date]]</f>
        <v>3</v>
      </c>
      <c r="N485">
        <f>WEEKNUM(orders[[#This Row],[Order Date]])</f>
        <v>4</v>
      </c>
      <c r="O485" t="str" cm="1">
        <f t="array" ref="O485">_xlfn.IFS(orders[[#This Row],[Customer Gender]]="M","Male", orders[[#This Row],[Customer Gender]]="F","Female", orders[[#This Row],[Customer Gender]]="O","Other", TRUE,"Unknown")</f>
        <v>Male</v>
      </c>
    </row>
    <row r="486" spans="1:15" x14ac:dyDescent="0.3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1">
        <v>45679</v>
      </c>
      <c r="G486" s="1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f>orders[[#This Row],[Ship Date]]-orders[[#This Row],[Order Date]]</f>
        <v>7</v>
      </c>
      <c r="N486">
        <f>WEEKNUM(orders[[#This Row],[Order Date]])</f>
        <v>4</v>
      </c>
      <c r="O486" t="str" cm="1">
        <f t="array" ref="O486">_xlfn.IFS(orders[[#This Row],[Customer Gender]]="M","Male", orders[[#This Row],[Customer Gender]]="F","Female", orders[[#This Row],[Customer Gender]]="O","Other", TRUE,"Unknown")</f>
        <v>Female</v>
      </c>
    </row>
    <row r="487" spans="1:15" x14ac:dyDescent="0.3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1">
        <v>45679</v>
      </c>
      <c r="G487" s="1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f>orders[[#This Row],[Ship Date]]-orders[[#This Row],[Order Date]]</f>
        <v>5</v>
      </c>
      <c r="N487">
        <f>WEEKNUM(orders[[#This Row],[Order Date]])</f>
        <v>4</v>
      </c>
      <c r="O487" t="str" cm="1">
        <f t="array" ref="O487">_xlfn.IFS(orders[[#This Row],[Customer Gender]]="M","Male", orders[[#This Row],[Customer Gender]]="F","Female", orders[[#This Row],[Customer Gender]]="O","Other", TRUE,"Unknown")</f>
        <v>Female</v>
      </c>
    </row>
    <row r="488" spans="1:15" x14ac:dyDescent="0.3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1">
        <v>45679</v>
      </c>
      <c r="G488" s="1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f>orders[[#This Row],[Ship Date]]-orders[[#This Row],[Order Date]]</f>
        <v>1</v>
      </c>
      <c r="N488">
        <f>WEEKNUM(orders[[#This Row],[Order Date]])</f>
        <v>4</v>
      </c>
      <c r="O488" t="str" cm="1">
        <f t="array" ref="O488">_xlfn.IFS(orders[[#This Row],[Customer Gender]]="M","Male", orders[[#This Row],[Customer Gender]]="F","Female", orders[[#This Row],[Customer Gender]]="O","Other", TRUE,"Unknown")</f>
        <v>Male</v>
      </c>
    </row>
    <row r="489" spans="1:15" x14ac:dyDescent="0.3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1">
        <v>45679</v>
      </c>
      <c r="G489" s="1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f>orders[[#This Row],[Ship Date]]-orders[[#This Row],[Order Date]]</f>
        <v>1</v>
      </c>
      <c r="N489">
        <f>WEEKNUM(orders[[#This Row],[Order Date]])</f>
        <v>4</v>
      </c>
      <c r="O489" t="str" cm="1">
        <f t="array" ref="O489">_xlfn.IFS(orders[[#This Row],[Customer Gender]]="M","Male", orders[[#This Row],[Customer Gender]]="F","Female", orders[[#This Row],[Customer Gender]]="O","Other", TRUE,"Unknown")</f>
        <v>Male</v>
      </c>
    </row>
    <row r="490" spans="1:15" x14ac:dyDescent="0.3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1">
        <v>45679</v>
      </c>
      <c r="G490" s="1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f>orders[[#This Row],[Ship Date]]-orders[[#This Row],[Order Date]]</f>
        <v>2</v>
      </c>
      <c r="N490">
        <f>WEEKNUM(orders[[#This Row],[Order Date]])</f>
        <v>4</v>
      </c>
      <c r="O490" t="str" cm="1">
        <f t="array" ref="O490">_xlfn.IFS(orders[[#This Row],[Customer Gender]]="M","Male", orders[[#This Row],[Customer Gender]]="F","Female", orders[[#This Row],[Customer Gender]]="O","Other", TRUE,"Unknown")</f>
        <v>Unknown</v>
      </c>
    </row>
    <row r="491" spans="1:15" x14ac:dyDescent="0.3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1">
        <v>45679</v>
      </c>
      <c r="G491" s="1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f>orders[[#This Row],[Ship Date]]-orders[[#This Row],[Order Date]]</f>
        <v>2</v>
      </c>
      <c r="N491">
        <f>WEEKNUM(orders[[#This Row],[Order Date]])</f>
        <v>4</v>
      </c>
      <c r="O491" t="str" cm="1">
        <f t="array" ref="O491">_xlfn.IFS(orders[[#This Row],[Customer Gender]]="M","Male", orders[[#This Row],[Customer Gender]]="F","Female", orders[[#This Row],[Customer Gender]]="O","Other", TRUE,"Unknown")</f>
        <v>Female</v>
      </c>
    </row>
    <row r="492" spans="1:15" x14ac:dyDescent="0.3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1">
        <v>45679</v>
      </c>
      <c r="G492" s="1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f>orders[[#This Row],[Ship Date]]-orders[[#This Row],[Order Date]]</f>
        <v>1</v>
      </c>
      <c r="N492">
        <f>WEEKNUM(orders[[#This Row],[Order Date]])</f>
        <v>4</v>
      </c>
      <c r="O492" t="str" cm="1">
        <f t="array" ref="O492">_xlfn.IFS(orders[[#This Row],[Customer Gender]]="M","Male", orders[[#This Row],[Customer Gender]]="F","Female", orders[[#This Row],[Customer Gender]]="O","Other", TRUE,"Unknown")</f>
        <v>Female</v>
      </c>
    </row>
    <row r="493" spans="1:15" x14ac:dyDescent="0.3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1">
        <v>45679</v>
      </c>
      <c r="G493" s="1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f>orders[[#This Row],[Ship Date]]-orders[[#This Row],[Order Date]]</f>
        <v>2</v>
      </c>
      <c r="N493">
        <f>WEEKNUM(orders[[#This Row],[Order Date]])</f>
        <v>4</v>
      </c>
      <c r="O493" t="str" cm="1">
        <f t="array" ref="O493">_xlfn.IFS(orders[[#This Row],[Customer Gender]]="M","Male", orders[[#This Row],[Customer Gender]]="F","Female", orders[[#This Row],[Customer Gender]]="O","Other", TRUE,"Unknown")</f>
        <v>Female</v>
      </c>
    </row>
    <row r="494" spans="1:15" x14ac:dyDescent="0.3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1">
        <v>45679</v>
      </c>
      <c r="G494" s="1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f>orders[[#This Row],[Ship Date]]-orders[[#This Row],[Order Date]]</f>
        <v>2</v>
      </c>
      <c r="N494">
        <f>WEEKNUM(orders[[#This Row],[Order Date]])</f>
        <v>4</v>
      </c>
      <c r="O494" t="str" cm="1">
        <f t="array" ref="O494">_xlfn.IFS(orders[[#This Row],[Customer Gender]]="M","Male", orders[[#This Row],[Customer Gender]]="F","Female", orders[[#This Row],[Customer Gender]]="O","Other", TRUE,"Unknown")</f>
        <v>Female</v>
      </c>
    </row>
    <row r="495" spans="1:15" x14ac:dyDescent="0.3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1">
        <v>45679</v>
      </c>
      <c r="G495" s="1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f>orders[[#This Row],[Ship Date]]-orders[[#This Row],[Order Date]]</f>
        <v>2</v>
      </c>
      <c r="N495">
        <f>WEEKNUM(orders[[#This Row],[Order Date]])</f>
        <v>4</v>
      </c>
      <c r="O495" t="str" cm="1">
        <f t="array" ref="O495">_xlfn.IFS(orders[[#This Row],[Customer Gender]]="M","Male", orders[[#This Row],[Customer Gender]]="F","Female", orders[[#This Row],[Customer Gender]]="O","Other", TRUE,"Unknown")</f>
        <v>Female</v>
      </c>
    </row>
    <row r="496" spans="1:15" x14ac:dyDescent="0.3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1">
        <v>45679</v>
      </c>
      <c r="G496" s="1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f>orders[[#This Row],[Ship Date]]-orders[[#This Row],[Order Date]]</f>
        <v>1</v>
      </c>
      <c r="N496">
        <f>WEEKNUM(orders[[#This Row],[Order Date]])</f>
        <v>4</v>
      </c>
      <c r="O496" t="str" cm="1">
        <f t="array" ref="O496">_xlfn.IFS(orders[[#This Row],[Customer Gender]]="M","Male", orders[[#This Row],[Customer Gender]]="F","Female", orders[[#This Row],[Customer Gender]]="O","Other", TRUE,"Unknown")</f>
        <v>Female</v>
      </c>
    </row>
    <row r="497" spans="1:15" x14ac:dyDescent="0.3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1">
        <v>45679</v>
      </c>
      <c r="G497" s="1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f>orders[[#This Row],[Ship Date]]-orders[[#This Row],[Order Date]]</f>
        <v>1</v>
      </c>
      <c r="N497">
        <f>WEEKNUM(orders[[#This Row],[Order Date]])</f>
        <v>4</v>
      </c>
      <c r="O497" t="str" cm="1">
        <f t="array" ref="O497">_xlfn.IFS(orders[[#This Row],[Customer Gender]]="M","Male", orders[[#This Row],[Customer Gender]]="F","Female", orders[[#This Row],[Customer Gender]]="O","Other", TRUE,"Unknown")</f>
        <v>Female</v>
      </c>
    </row>
    <row r="498" spans="1:15" x14ac:dyDescent="0.3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1">
        <v>45679</v>
      </c>
      <c r="G498" s="1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f>orders[[#This Row],[Ship Date]]-orders[[#This Row],[Order Date]]</f>
        <v>1</v>
      </c>
      <c r="N498">
        <f>WEEKNUM(orders[[#This Row],[Order Date]])</f>
        <v>4</v>
      </c>
      <c r="O498" t="str" cm="1">
        <f t="array" ref="O498">_xlfn.IFS(orders[[#This Row],[Customer Gender]]="M","Male", orders[[#This Row],[Customer Gender]]="F","Female", orders[[#This Row],[Customer Gender]]="O","Other", TRUE,"Unknown")</f>
        <v>Male</v>
      </c>
    </row>
    <row r="499" spans="1:15" x14ac:dyDescent="0.3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1">
        <v>45679</v>
      </c>
      <c r="G499" s="1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f>orders[[#This Row],[Ship Date]]-orders[[#This Row],[Order Date]]</f>
        <v>4</v>
      </c>
      <c r="N499">
        <f>WEEKNUM(orders[[#This Row],[Order Date]])</f>
        <v>4</v>
      </c>
      <c r="O499" t="str" cm="1">
        <f t="array" ref="O499">_xlfn.IFS(orders[[#This Row],[Customer Gender]]="M","Male", orders[[#This Row],[Customer Gender]]="F","Female", orders[[#This Row],[Customer Gender]]="O","Other", TRUE,"Unknown")</f>
        <v>Female</v>
      </c>
    </row>
    <row r="500" spans="1:15" x14ac:dyDescent="0.3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1">
        <v>45679</v>
      </c>
      <c r="G500" s="1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f>orders[[#This Row],[Ship Date]]-orders[[#This Row],[Order Date]]</f>
        <v>1</v>
      </c>
      <c r="N500">
        <f>WEEKNUM(orders[[#This Row],[Order Date]])</f>
        <v>4</v>
      </c>
      <c r="O500" t="str" cm="1">
        <f t="array" ref="O500">_xlfn.IFS(orders[[#This Row],[Customer Gender]]="M","Male", orders[[#This Row],[Customer Gender]]="F","Female", orders[[#This Row],[Customer Gender]]="O","Other", TRUE,"Unknown")</f>
        <v>Male</v>
      </c>
    </row>
    <row r="501" spans="1:15" x14ac:dyDescent="0.3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1">
        <v>45679</v>
      </c>
      <c r="G501" s="1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f>orders[[#This Row],[Ship Date]]-orders[[#This Row],[Order Date]]</f>
        <v>1</v>
      </c>
      <c r="N501">
        <f>WEEKNUM(orders[[#This Row],[Order Date]])</f>
        <v>4</v>
      </c>
      <c r="O501" t="str" cm="1">
        <f t="array" ref="O501">_xlfn.IFS(orders[[#This Row],[Customer Gender]]="M","Male", orders[[#This Row],[Customer Gender]]="F","Female", orders[[#This Row],[Customer Gender]]="O","Other", TRUE,"Unknown")</f>
        <v>Other</v>
      </c>
    </row>
    <row r="502" spans="1:15" x14ac:dyDescent="0.3">
      <c r="A502" t="s">
        <v>590</v>
      </c>
      <c r="B502" t="s">
        <v>54</v>
      </c>
      <c r="C502">
        <v>2</v>
      </c>
      <c r="D502">
        <v>30.5</v>
      </c>
      <c r="E502">
        <v>61</v>
      </c>
      <c r="F502" s="1">
        <v>45679</v>
      </c>
      <c r="G502" s="1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f>orders[[#This Row],[Ship Date]]-orders[[#This Row],[Order Date]]</f>
        <v>0</v>
      </c>
      <c r="N502">
        <f>WEEKNUM(orders[[#This Row],[Order Date]])</f>
        <v>4</v>
      </c>
      <c r="O502" t="str" cm="1">
        <f t="array" ref="O502">_xlfn.IFS(orders[[#This Row],[Customer Gender]]="M","Male", orders[[#This Row],[Customer Gender]]="F","Female", orders[[#This Row],[Customer Gender]]="O","Other", TRUE,"Unknown")</f>
        <v>Unknown</v>
      </c>
    </row>
    <row r="503" spans="1:15" x14ac:dyDescent="0.3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1">
        <v>45679</v>
      </c>
      <c r="G503" s="1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f>orders[[#This Row],[Ship Date]]-orders[[#This Row],[Order Date]]</f>
        <v>1</v>
      </c>
      <c r="N503">
        <f>WEEKNUM(orders[[#This Row],[Order Date]])</f>
        <v>4</v>
      </c>
      <c r="O503" t="str" cm="1">
        <f t="array" ref="O503">_xlfn.IFS(orders[[#This Row],[Customer Gender]]="M","Male", orders[[#This Row],[Customer Gender]]="F","Female", orders[[#This Row],[Customer Gender]]="O","Other", TRUE,"Unknown")</f>
        <v>Male</v>
      </c>
    </row>
    <row r="504" spans="1:15" x14ac:dyDescent="0.3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1">
        <v>45679</v>
      </c>
      <c r="G504" s="1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f>orders[[#This Row],[Ship Date]]-orders[[#This Row],[Order Date]]</f>
        <v>4</v>
      </c>
      <c r="N504">
        <f>WEEKNUM(orders[[#This Row],[Order Date]])</f>
        <v>4</v>
      </c>
      <c r="O504" t="str" cm="1">
        <f t="array" ref="O504">_xlfn.IFS(orders[[#This Row],[Customer Gender]]="M","Male", orders[[#This Row],[Customer Gender]]="F","Female", orders[[#This Row],[Customer Gender]]="O","Other", TRUE,"Unknown")</f>
        <v>Female</v>
      </c>
    </row>
    <row r="505" spans="1:15" x14ac:dyDescent="0.3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1">
        <v>45679</v>
      </c>
      <c r="G505" s="1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f>orders[[#This Row],[Ship Date]]-orders[[#This Row],[Order Date]]</f>
        <v>3</v>
      </c>
      <c r="N505">
        <f>WEEKNUM(orders[[#This Row],[Order Date]])</f>
        <v>4</v>
      </c>
      <c r="O505" t="str" cm="1">
        <f t="array" ref="O505">_xlfn.IFS(orders[[#This Row],[Customer Gender]]="M","Male", orders[[#This Row],[Customer Gender]]="F","Female", orders[[#This Row],[Customer Gender]]="O","Other", TRUE,"Unknown")</f>
        <v>Female</v>
      </c>
    </row>
    <row r="506" spans="1:15" x14ac:dyDescent="0.3">
      <c r="A506" t="s">
        <v>594</v>
      </c>
      <c r="B506" t="s">
        <v>39</v>
      </c>
      <c r="C506">
        <v>2</v>
      </c>
      <c r="D506">
        <v>41.5</v>
      </c>
      <c r="E506">
        <v>83</v>
      </c>
      <c r="F506" s="1">
        <v>45679</v>
      </c>
      <c r="G506" s="1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f>orders[[#This Row],[Ship Date]]-orders[[#This Row],[Order Date]]</f>
        <v>3</v>
      </c>
      <c r="N506">
        <f>WEEKNUM(orders[[#This Row],[Order Date]])</f>
        <v>4</v>
      </c>
      <c r="O506" t="str" cm="1">
        <f t="array" ref="O506">_xlfn.IFS(orders[[#This Row],[Customer Gender]]="M","Male", orders[[#This Row],[Customer Gender]]="F","Female", orders[[#This Row],[Customer Gender]]="O","Other", TRUE,"Unknown")</f>
        <v>Female</v>
      </c>
    </row>
    <row r="507" spans="1:15" x14ac:dyDescent="0.3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1">
        <v>45679</v>
      </c>
      <c r="G507" s="1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f>orders[[#This Row],[Ship Date]]-orders[[#This Row],[Order Date]]</f>
        <v>4</v>
      </c>
      <c r="N507">
        <f>WEEKNUM(orders[[#This Row],[Order Date]])</f>
        <v>4</v>
      </c>
      <c r="O507" t="str" cm="1">
        <f t="array" ref="O507">_xlfn.IFS(orders[[#This Row],[Customer Gender]]="M","Male", orders[[#This Row],[Customer Gender]]="F","Female", orders[[#This Row],[Customer Gender]]="O","Other", TRUE,"Unknown")</f>
        <v>Female</v>
      </c>
    </row>
    <row r="508" spans="1:15" x14ac:dyDescent="0.3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1">
        <v>45679</v>
      </c>
      <c r="G508" s="1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f>orders[[#This Row],[Ship Date]]-orders[[#This Row],[Order Date]]</f>
        <v>3</v>
      </c>
      <c r="N508">
        <f>WEEKNUM(orders[[#This Row],[Order Date]])</f>
        <v>4</v>
      </c>
      <c r="O508" t="str" cm="1">
        <f t="array" ref="O508">_xlfn.IFS(orders[[#This Row],[Customer Gender]]="M","Male", orders[[#This Row],[Customer Gender]]="F","Female", orders[[#This Row],[Customer Gender]]="O","Other", TRUE,"Unknown")</f>
        <v>Female</v>
      </c>
    </row>
    <row r="509" spans="1:15" x14ac:dyDescent="0.3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1">
        <v>45679</v>
      </c>
      <c r="G509" s="1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f>orders[[#This Row],[Ship Date]]-orders[[#This Row],[Order Date]]</f>
        <v>2</v>
      </c>
      <c r="N509">
        <f>WEEKNUM(orders[[#This Row],[Order Date]])</f>
        <v>4</v>
      </c>
      <c r="O509" t="str" cm="1">
        <f t="array" ref="O509">_xlfn.IFS(orders[[#This Row],[Customer Gender]]="M","Male", orders[[#This Row],[Customer Gender]]="F","Female", orders[[#This Row],[Customer Gender]]="O","Other", TRUE,"Unknown")</f>
        <v>Male</v>
      </c>
    </row>
    <row r="510" spans="1:15" x14ac:dyDescent="0.3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1">
        <v>45679</v>
      </c>
      <c r="G510" s="1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f>orders[[#This Row],[Ship Date]]-orders[[#This Row],[Order Date]]</f>
        <v>1</v>
      </c>
      <c r="N510">
        <f>WEEKNUM(orders[[#This Row],[Order Date]])</f>
        <v>4</v>
      </c>
      <c r="O510" t="str" cm="1">
        <f t="array" ref="O510">_xlfn.IFS(orders[[#This Row],[Customer Gender]]="M","Male", orders[[#This Row],[Customer Gender]]="F","Female", orders[[#This Row],[Customer Gender]]="O","Other", TRUE,"Unknown")</f>
        <v>Male</v>
      </c>
    </row>
    <row r="511" spans="1:15" x14ac:dyDescent="0.3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1">
        <v>45679</v>
      </c>
      <c r="G511" s="1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f>orders[[#This Row],[Ship Date]]-orders[[#This Row],[Order Date]]</f>
        <v>2</v>
      </c>
      <c r="N511">
        <f>WEEKNUM(orders[[#This Row],[Order Date]])</f>
        <v>4</v>
      </c>
      <c r="O511" t="str" cm="1">
        <f t="array" ref="O511">_xlfn.IFS(orders[[#This Row],[Customer Gender]]="M","Male", orders[[#This Row],[Customer Gender]]="F","Female", orders[[#This Row],[Customer Gender]]="O","Other", TRUE,"Unknown")</f>
        <v>Female</v>
      </c>
    </row>
    <row r="512" spans="1:15" x14ac:dyDescent="0.3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1">
        <v>45679</v>
      </c>
      <c r="G512" s="1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f>orders[[#This Row],[Ship Date]]-orders[[#This Row],[Order Date]]</f>
        <v>2</v>
      </c>
      <c r="N512">
        <f>WEEKNUM(orders[[#This Row],[Order Date]])</f>
        <v>4</v>
      </c>
      <c r="O512" t="str" cm="1">
        <f t="array" ref="O512">_xlfn.IFS(orders[[#This Row],[Customer Gender]]="M","Male", orders[[#This Row],[Customer Gender]]="F","Female", orders[[#This Row],[Customer Gender]]="O","Other", TRUE,"Unknown")</f>
        <v>Female</v>
      </c>
    </row>
    <row r="513" spans="1:15" x14ac:dyDescent="0.3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1">
        <v>45679</v>
      </c>
      <c r="G513" s="1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f>orders[[#This Row],[Ship Date]]-orders[[#This Row],[Order Date]]</f>
        <v>0</v>
      </c>
      <c r="N513">
        <f>WEEKNUM(orders[[#This Row],[Order Date]])</f>
        <v>4</v>
      </c>
      <c r="O513" t="str" cm="1">
        <f t="array" ref="O513">_xlfn.IFS(orders[[#This Row],[Customer Gender]]="M","Male", orders[[#This Row],[Customer Gender]]="F","Female", orders[[#This Row],[Customer Gender]]="O","Other", TRUE,"Unknown")</f>
        <v>Unknown</v>
      </c>
    </row>
    <row r="514" spans="1:15" x14ac:dyDescent="0.3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1">
        <v>45679</v>
      </c>
      <c r="G514" s="1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f>orders[[#This Row],[Ship Date]]-orders[[#This Row],[Order Date]]</f>
        <v>1</v>
      </c>
      <c r="N514">
        <f>WEEKNUM(orders[[#This Row],[Order Date]])</f>
        <v>4</v>
      </c>
      <c r="O514" t="str" cm="1">
        <f t="array" ref="O514">_xlfn.IFS(orders[[#This Row],[Customer Gender]]="M","Male", orders[[#This Row],[Customer Gender]]="F","Female", orders[[#This Row],[Customer Gender]]="O","Other", TRUE,"Unknown")</f>
        <v>Female</v>
      </c>
    </row>
    <row r="515" spans="1:15" x14ac:dyDescent="0.3">
      <c r="A515" t="s">
        <v>603</v>
      </c>
      <c r="B515" t="s">
        <v>44</v>
      </c>
      <c r="C515">
        <v>5</v>
      </c>
      <c r="D515">
        <v>16</v>
      </c>
      <c r="E515">
        <v>80</v>
      </c>
      <c r="F515" s="1">
        <v>45679</v>
      </c>
      <c r="G515" s="1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f>orders[[#This Row],[Ship Date]]-orders[[#This Row],[Order Date]]</f>
        <v>2</v>
      </c>
      <c r="N515">
        <f>WEEKNUM(orders[[#This Row],[Order Date]])</f>
        <v>4</v>
      </c>
      <c r="O515" t="str" cm="1">
        <f t="array" ref="O515">_xlfn.IFS(orders[[#This Row],[Customer Gender]]="M","Male", orders[[#This Row],[Customer Gender]]="F","Female", orders[[#This Row],[Customer Gender]]="O","Other", TRUE,"Unknown")</f>
        <v>Male</v>
      </c>
    </row>
    <row r="516" spans="1:15" x14ac:dyDescent="0.3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1">
        <v>45680</v>
      </c>
      <c r="G516" s="1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f>orders[[#This Row],[Ship Date]]-orders[[#This Row],[Order Date]]</f>
        <v>2</v>
      </c>
      <c r="N516">
        <f>WEEKNUM(orders[[#This Row],[Order Date]])</f>
        <v>4</v>
      </c>
      <c r="O516" t="str" cm="1">
        <f t="array" ref="O516">_xlfn.IFS(orders[[#This Row],[Customer Gender]]="M","Male", orders[[#This Row],[Customer Gender]]="F","Female", orders[[#This Row],[Customer Gender]]="O","Other", TRUE,"Unknown")</f>
        <v>Male</v>
      </c>
    </row>
    <row r="517" spans="1:15" x14ac:dyDescent="0.3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1">
        <v>45680</v>
      </c>
      <c r="G517" s="1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f>orders[[#This Row],[Ship Date]]-orders[[#This Row],[Order Date]]</f>
        <v>1</v>
      </c>
      <c r="N517">
        <f>WEEKNUM(orders[[#This Row],[Order Date]])</f>
        <v>4</v>
      </c>
      <c r="O517" t="str" cm="1">
        <f t="array" ref="O517">_xlfn.IFS(orders[[#This Row],[Customer Gender]]="M","Male", orders[[#This Row],[Customer Gender]]="F","Female", orders[[#This Row],[Customer Gender]]="O","Other", TRUE,"Unknown")</f>
        <v>Unknown</v>
      </c>
    </row>
    <row r="518" spans="1:15" x14ac:dyDescent="0.3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1">
        <v>45680</v>
      </c>
      <c r="G518" s="1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f>orders[[#This Row],[Ship Date]]-orders[[#This Row],[Order Date]]</f>
        <v>2</v>
      </c>
      <c r="N518">
        <f>WEEKNUM(orders[[#This Row],[Order Date]])</f>
        <v>4</v>
      </c>
      <c r="O518" t="str" cm="1">
        <f t="array" ref="O518">_xlfn.IFS(orders[[#This Row],[Customer Gender]]="M","Male", orders[[#This Row],[Customer Gender]]="F","Female", orders[[#This Row],[Customer Gender]]="O","Other", TRUE,"Unknown")</f>
        <v>Female</v>
      </c>
    </row>
    <row r="519" spans="1:15" x14ac:dyDescent="0.3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1">
        <v>45680</v>
      </c>
      <c r="G519" s="1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f>orders[[#This Row],[Ship Date]]-orders[[#This Row],[Order Date]]</f>
        <v>3</v>
      </c>
      <c r="N519">
        <f>WEEKNUM(orders[[#This Row],[Order Date]])</f>
        <v>4</v>
      </c>
      <c r="O519" t="str" cm="1">
        <f t="array" ref="O519">_xlfn.IFS(orders[[#This Row],[Customer Gender]]="M","Male", orders[[#This Row],[Customer Gender]]="F","Female", orders[[#This Row],[Customer Gender]]="O","Other", TRUE,"Unknown")</f>
        <v>Female</v>
      </c>
    </row>
    <row r="520" spans="1:15" x14ac:dyDescent="0.3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1">
        <v>45680</v>
      </c>
      <c r="G520" s="1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f>orders[[#This Row],[Ship Date]]-orders[[#This Row],[Order Date]]</f>
        <v>4</v>
      </c>
      <c r="N520">
        <f>WEEKNUM(orders[[#This Row],[Order Date]])</f>
        <v>4</v>
      </c>
      <c r="O520" t="str" cm="1">
        <f t="array" ref="O520">_xlfn.IFS(orders[[#This Row],[Customer Gender]]="M","Male", orders[[#This Row],[Customer Gender]]="F","Female", orders[[#This Row],[Customer Gender]]="O","Other", TRUE,"Unknown")</f>
        <v>Female</v>
      </c>
    </row>
    <row r="521" spans="1:15" x14ac:dyDescent="0.3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1">
        <v>45680</v>
      </c>
      <c r="G521" s="1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f>orders[[#This Row],[Ship Date]]-orders[[#This Row],[Order Date]]</f>
        <v>3</v>
      </c>
      <c r="N521">
        <f>WEEKNUM(orders[[#This Row],[Order Date]])</f>
        <v>4</v>
      </c>
      <c r="O521" t="str" cm="1">
        <f t="array" ref="O521">_xlfn.IFS(orders[[#This Row],[Customer Gender]]="M","Male", orders[[#This Row],[Customer Gender]]="F","Female", orders[[#This Row],[Customer Gender]]="O","Other", TRUE,"Unknown")</f>
        <v>Female</v>
      </c>
    </row>
    <row r="522" spans="1:15" x14ac:dyDescent="0.3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1">
        <v>45680</v>
      </c>
      <c r="G522" s="1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f>orders[[#This Row],[Ship Date]]-orders[[#This Row],[Order Date]]</f>
        <v>1</v>
      </c>
      <c r="N522">
        <f>WEEKNUM(orders[[#This Row],[Order Date]])</f>
        <v>4</v>
      </c>
      <c r="O522" t="str" cm="1">
        <f t="array" ref="O522">_xlfn.IFS(orders[[#This Row],[Customer Gender]]="M","Male", orders[[#This Row],[Customer Gender]]="F","Female", orders[[#This Row],[Customer Gender]]="O","Other", TRUE,"Unknown")</f>
        <v>Male</v>
      </c>
    </row>
    <row r="523" spans="1:15" x14ac:dyDescent="0.3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1">
        <v>45680</v>
      </c>
      <c r="G523" s="1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f>orders[[#This Row],[Ship Date]]-orders[[#This Row],[Order Date]]</f>
        <v>0</v>
      </c>
      <c r="N523">
        <f>WEEKNUM(orders[[#This Row],[Order Date]])</f>
        <v>4</v>
      </c>
      <c r="O523" t="str" cm="1">
        <f t="array" ref="O523">_xlfn.IFS(orders[[#This Row],[Customer Gender]]="M","Male", orders[[#This Row],[Customer Gender]]="F","Female", orders[[#This Row],[Customer Gender]]="O","Other", TRUE,"Unknown")</f>
        <v>Female</v>
      </c>
    </row>
    <row r="524" spans="1:15" x14ac:dyDescent="0.3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1">
        <v>45680</v>
      </c>
      <c r="G524" s="1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f>orders[[#This Row],[Ship Date]]-orders[[#This Row],[Order Date]]</f>
        <v>0</v>
      </c>
      <c r="N524">
        <f>WEEKNUM(orders[[#This Row],[Order Date]])</f>
        <v>4</v>
      </c>
      <c r="O524" t="str" cm="1">
        <f t="array" ref="O524">_xlfn.IFS(orders[[#This Row],[Customer Gender]]="M","Male", orders[[#This Row],[Customer Gender]]="F","Female", orders[[#This Row],[Customer Gender]]="O","Other", TRUE,"Unknown")</f>
        <v>Unknown</v>
      </c>
    </row>
    <row r="525" spans="1:15" x14ac:dyDescent="0.3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1">
        <v>45680</v>
      </c>
      <c r="G525" s="1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f>orders[[#This Row],[Ship Date]]-orders[[#This Row],[Order Date]]</f>
        <v>1</v>
      </c>
      <c r="N525">
        <f>WEEKNUM(orders[[#This Row],[Order Date]])</f>
        <v>4</v>
      </c>
      <c r="O525" t="str" cm="1">
        <f t="array" ref="O525">_xlfn.IFS(orders[[#This Row],[Customer Gender]]="M","Male", orders[[#This Row],[Customer Gender]]="F","Female", orders[[#This Row],[Customer Gender]]="O","Other", TRUE,"Unknown")</f>
        <v>Female</v>
      </c>
    </row>
    <row r="526" spans="1:15" x14ac:dyDescent="0.3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1">
        <v>45680</v>
      </c>
      <c r="G526" s="1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f>orders[[#This Row],[Ship Date]]-orders[[#This Row],[Order Date]]</f>
        <v>1</v>
      </c>
      <c r="N526">
        <f>WEEKNUM(orders[[#This Row],[Order Date]])</f>
        <v>4</v>
      </c>
      <c r="O526" t="str" cm="1">
        <f t="array" ref="O526">_xlfn.IFS(orders[[#This Row],[Customer Gender]]="M","Male", orders[[#This Row],[Customer Gender]]="F","Female", orders[[#This Row],[Customer Gender]]="O","Other", TRUE,"Unknown")</f>
        <v>Female</v>
      </c>
    </row>
    <row r="527" spans="1:15" x14ac:dyDescent="0.3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1">
        <v>45680</v>
      </c>
      <c r="G527" s="1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f>orders[[#This Row],[Ship Date]]-orders[[#This Row],[Order Date]]</f>
        <v>1</v>
      </c>
      <c r="N527">
        <f>WEEKNUM(orders[[#This Row],[Order Date]])</f>
        <v>4</v>
      </c>
      <c r="O527" t="str" cm="1">
        <f t="array" ref="O527">_xlfn.IFS(orders[[#This Row],[Customer Gender]]="M","Male", orders[[#This Row],[Customer Gender]]="F","Female", orders[[#This Row],[Customer Gender]]="O","Other", TRUE,"Unknown")</f>
        <v>Male</v>
      </c>
    </row>
    <row r="528" spans="1:15" x14ac:dyDescent="0.3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1">
        <v>45680</v>
      </c>
      <c r="G528" s="1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f>orders[[#This Row],[Ship Date]]-orders[[#This Row],[Order Date]]</f>
        <v>1</v>
      </c>
      <c r="N528">
        <f>WEEKNUM(orders[[#This Row],[Order Date]])</f>
        <v>4</v>
      </c>
      <c r="O528" t="str" cm="1">
        <f t="array" ref="O528">_xlfn.IFS(orders[[#This Row],[Customer Gender]]="M","Male", orders[[#This Row],[Customer Gender]]="F","Female", orders[[#This Row],[Customer Gender]]="O","Other", TRUE,"Unknown")</f>
        <v>Male</v>
      </c>
    </row>
    <row r="529" spans="1:15" x14ac:dyDescent="0.3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1">
        <v>45680</v>
      </c>
      <c r="G529" s="1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f>orders[[#This Row],[Ship Date]]-orders[[#This Row],[Order Date]]</f>
        <v>2</v>
      </c>
      <c r="N529">
        <f>WEEKNUM(orders[[#This Row],[Order Date]])</f>
        <v>4</v>
      </c>
      <c r="O529" t="str" cm="1">
        <f t="array" ref="O529">_xlfn.IFS(orders[[#This Row],[Customer Gender]]="M","Male", orders[[#This Row],[Customer Gender]]="F","Female", orders[[#This Row],[Customer Gender]]="O","Other", TRUE,"Unknown")</f>
        <v>Female</v>
      </c>
    </row>
    <row r="530" spans="1:15" x14ac:dyDescent="0.3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1">
        <v>45680</v>
      </c>
      <c r="G530" s="1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f>orders[[#This Row],[Ship Date]]-orders[[#This Row],[Order Date]]</f>
        <v>1</v>
      </c>
      <c r="N530">
        <f>WEEKNUM(orders[[#This Row],[Order Date]])</f>
        <v>4</v>
      </c>
      <c r="O530" t="str" cm="1">
        <f t="array" ref="O530">_xlfn.IFS(orders[[#This Row],[Customer Gender]]="M","Male", orders[[#This Row],[Customer Gender]]="F","Female", orders[[#This Row],[Customer Gender]]="O","Other", TRUE,"Unknown")</f>
        <v>Female</v>
      </c>
    </row>
    <row r="531" spans="1:15" x14ac:dyDescent="0.3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1">
        <v>45680</v>
      </c>
      <c r="G531" s="1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f>orders[[#This Row],[Ship Date]]-orders[[#This Row],[Order Date]]</f>
        <v>1</v>
      </c>
      <c r="N531">
        <f>WEEKNUM(orders[[#This Row],[Order Date]])</f>
        <v>4</v>
      </c>
      <c r="O531" t="str" cm="1">
        <f t="array" ref="O531">_xlfn.IFS(orders[[#This Row],[Customer Gender]]="M","Male", orders[[#This Row],[Customer Gender]]="F","Female", orders[[#This Row],[Customer Gender]]="O","Other", TRUE,"Unknown")</f>
        <v>Female</v>
      </c>
    </row>
    <row r="532" spans="1:15" x14ac:dyDescent="0.3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1">
        <v>45680</v>
      </c>
      <c r="G532" s="1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f>orders[[#This Row],[Ship Date]]-orders[[#This Row],[Order Date]]</f>
        <v>1</v>
      </c>
      <c r="N532">
        <f>WEEKNUM(orders[[#This Row],[Order Date]])</f>
        <v>4</v>
      </c>
      <c r="O532" t="str" cm="1">
        <f t="array" ref="O532">_xlfn.IFS(orders[[#This Row],[Customer Gender]]="M","Male", orders[[#This Row],[Customer Gender]]="F","Female", orders[[#This Row],[Customer Gender]]="O","Other", TRUE,"Unknown")</f>
        <v>Female</v>
      </c>
    </row>
    <row r="533" spans="1:15" x14ac:dyDescent="0.3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1">
        <v>45680</v>
      </c>
      <c r="G533" s="1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f>orders[[#This Row],[Ship Date]]-orders[[#This Row],[Order Date]]</f>
        <v>1</v>
      </c>
      <c r="N533">
        <f>WEEKNUM(orders[[#This Row],[Order Date]])</f>
        <v>4</v>
      </c>
      <c r="O533" t="str" cm="1">
        <f t="array" ref="O533">_xlfn.IFS(orders[[#This Row],[Customer Gender]]="M","Male", orders[[#This Row],[Customer Gender]]="F","Female", orders[[#This Row],[Customer Gender]]="O","Other", TRUE,"Unknown")</f>
        <v>Female</v>
      </c>
    </row>
    <row r="534" spans="1:15" x14ac:dyDescent="0.3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1">
        <v>45680</v>
      </c>
      <c r="G534" s="1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f>orders[[#This Row],[Ship Date]]-orders[[#This Row],[Order Date]]</f>
        <v>3</v>
      </c>
      <c r="N534">
        <f>WEEKNUM(orders[[#This Row],[Order Date]])</f>
        <v>4</v>
      </c>
      <c r="O534" t="str" cm="1">
        <f t="array" ref="O534">_xlfn.IFS(orders[[#This Row],[Customer Gender]]="M","Male", orders[[#This Row],[Customer Gender]]="F","Female", orders[[#This Row],[Customer Gender]]="O","Other", TRUE,"Unknown")</f>
        <v>Female</v>
      </c>
    </row>
    <row r="535" spans="1:15" x14ac:dyDescent="0.3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1">
        <v>45680</v>
      </c>
      <c r="G535" s="1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f>orders[[#This Row],[Ship Date]]-orders[[#This Row],[Order Date]]</f>
        <v>1</v>
      </c>
      <c r="N535">
        <f>WEEKNUM(orders[[#This Row],[Order Date]])</f>
        <v>4</v>
      </c>
      <c r="O535" t="str" cm="1">
        <f t="array" ref="O535">_xlfn.IFS(orders[[#This Row],[Customer Gender]]="M","Male", orders[[#This Row],[Customer Gender]]="F","Female", orders[[#This Row],[Customer Gender]]="O","Other", TRUE,"Unknown")</f>
        <v>Female</v>
      </c>
    </row>
    <row r="536" spans="1:15" x14ac:dyDescent="0.3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1">
        <v>45680</v>
      </c>
      <c r="G536" s="1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f>orders[[#This Row],[Ship Date]]-orders[[#This Row],[Order Date]]</f>
        <v>4</v>
      </c>
      <c r="N536">
        <f>WEEKNUM(orders[[#This Row],[Order Date]])</f>
        <v>4</v>
      </c>
      <c r="O536" t="str" cm="1">
        <f t="array" ref="O536">_xlfn.IFS(orders[[#This Row],[Customer Gender]]="M","Male", orders[[#This Row],[Customer Gender]]="F","Female", orders[[#This Row],[Customer Gender]]="O","Other", TRUE,"Unknown")</f>
        <v>Female</v>
      </c>
    </row>
    <row r="537" spans="1:15" x14ac:dyDescent="0.3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1">
        <v>45680</v>
      </c>
      <c r="G537" s="1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f>orders[[#This Row],[Ship Date]]-orders[[#This Row],[Order Date]]</f>
        <v>3</v>
      </c>
      <c r="N537">
        <f>WEEKNUM(orders[[#This Row],[Order Date]])</f>
        <v>4</v>
      </c>
      <c r="O537" t="str" cm="1">
        <f t="array" ref="O537">_xlfn.IFS(orders[[#This Row],[Customer Gender]]="M","Male", orders[[#This Row],[Customer Gender]]="F","Female", orders[[#This Row],[Customer Gender]]="O","Other", TRUE,"Unknown")</f>
        <v>Female</v>
      </c>
    </row>
    <row r="538" spans="1:15" x14ac:dyDescent="0.3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1">
        <v>45680</v>
      </c>
      <c r="G538" s="1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f>orders[[#This Row],[Ship Date]]-orders[[#This Row],[Order Date]]</f>
        <v>1</v>
      </c>
      <c r="N538">
        <f>WEEKNUM(orders[[#This Row],[Order Date]])</f>
        <v>4</v>
      </c>
      <c r="O538" t="str" cm="1">
        <f t="array" ref="O538">_xlfn.IFS(orders[[#This Row],[Customer Gender]]="M","Male", orders[[#This Row],[Customer Gender]]="F","Female", orders[[#This Row],[Customer Gender]]="O","Other", TRUE,"Unknown")</f>
        <v>Male</v>
      </c>
    </row>
    <row r="539" spans="1:15" x14ac:dyDescent="0.3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1">
        <v>45680</v>
      </c>
      <c r="G539" s="1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f>orders[[#This Row],[Ship Date]]-orders[[#This Row],[Order Date]]</f>
        <v>2</v>
      </c>
      <c r="N539">
        <f>WEEKNUM(orders[[#This Row],[Order Date]])</f>
        <v>4</v>
      </c>
      <c r="O539" t="str" cm="1">
        <f t="array" ref="O539">_xlfn.IFS(orders[[#This Row],[Customer Gender]]="M","Male", orders[[#This Row],[Customer Gender]]="F","Female", orders[[#This Row],[Customer Gender]]="O","Other", TRUE,"Unknown")</f>
        <v>Female</v>
      </c>
    </row>
    <row r="540" spans="1:15" x14ac:dyDescent="0.3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1">
        <v>45680</v>
      </c>
      <c r="G540" s="1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f>orders[[#This Row],[Ship Date]]-orders[[#This Row],[Order Date]]</f>
        <v>1</v>
      </c>
      <c r="N540">
        <f>WEEKNUM(orders[[#This Row],[Order Date]])</f>
        <v>4</v>
      </c>
      <c r="O540" t="str" cm="1">
        <f t="array" ref="O540">_xlfn.IFS(orders[[#This Row],[Customer Gender]]="M","Male", orders[[#This Row],[Customer Gender]]="F","Female", orders[[#This Row],[Customer Gender]]="O","Other", TRUE,"Unknown")</f>
        <v>Male</v>
      </c>
    </row>
    <row r="541" spans="1:15" x14ac:dyDescent="0.3">
      <c r="A541" t="s">
        <v>630</v>
      </c>
      <c r="B541" t="s">
        <v>42</v>
      </c>
      <c r="C541">
        <v>5</v>
      </c>
      <c r="D541">
        <v>79.2</v>
      </c>
      <c r="E541">
        <v>396</v>
      </c>
      <c r="F541" s="1">
        <v>45680</v>
      </c>
      <c r="G541" s="1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f>orders[[#This Row],[Ship Date]]-orders[[#This Row],[Order Date]]</f>
        <v>1</v>
      </c>
      <c r="N541">
        <f>WEEKNUM(orders[[#This Row],[Order Date]])</f>
        <v>4</v>
      </c>
      <c r="O541" t="str" cm="1">
        <f t="array" ref="O541">_xlfn.IFS(orders[[#This Row],[Customer Gender]]="M","Male", orders[[#This Row],[Customer Gender]]="F","Female", orders[[#This Row],[Customer Gender]]="O","Other", TRUE,"Unknown")</f>
        <v>Female</v>
      </c>
    </row>
    <row r="542" spans="1:15" x14ac:dyDescent="0.3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1">
        <v>45680</v>
      </c>
      <c r="G542" s="1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f>orders[[#This Row],[Ship Date]]-orders[[#This Row],[Order Date]]</f>
        <v>2</v>
      </c>
      <c r="N542">
        <f>WEEKNUM(orders[[#This Row],[Order Date]])</f>
        <v>4</v>
      </c>
      <c r="O542" t="str" cm="1">
        <f t="array" ref="O542">_xlfn.IFS(orders[[#This Row],[Customer Gender]]="M","Male", orders[[#This Row],[Customer Gender]]="F","Female", orders[[#This Row],[Customer Gender]]="O","Other", TRUE,"Unknown")</f>
        <v>Male</v>
      </c>
    </row>
    <row r="543" spans="1:15" x14ac:dyDescent="0.3">
      <c r="A543" t="s">
        <v>632</v>
      </c>
      <c r="B543" t="s">
        <v>44</v>
      </c>
      <c r="C543">
        <v>4</v>
      </c>
      <c r="D543">
        <v>18</v>
      </c>
      <c r="E543">
        <v>72</v>
      </c>
      <c r="F543" s="1">
        <v>45680</v>
      </c>
      <c r="G543" s="1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f>orders[[#This Row],[Ship Date]]-orders[[#This Row],[Order Date]]</f>
        <v>1</v>
      </c>
      <c r="N543">
        <f>WEEKNUM(orders[[#This Row],[Order Date]])</f>
        <v>4</v>
      </c>
      <c r="O543" t="str" cm="1">
        <f t="array" ref="O543">_xlfn.IFS(orders[[#This Row],[Customer Gender]]="M","Male", orders[[#This Row],[Customer Gender]]="F","Female", orders[[#This Row],[Customer Gender]]="O","Other", TRUE,"Unknown")</f>
        <v>Male</v>
      </c>
    </row>
    <row r="544" spans="1:15" x14ac:dyDescent="0.3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1">
        <v>45680</v>
      </c>
      <c r="G544" s="1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f>orders[[#This Row],[Ship Date]]-orders[[#This Row],[Order Date]]</f>
        <v>2</v>
      </c>
      <c r="N544">
        <f>WEEKNUM(orders[[#This Row],[Order Date]])</f>
        <v>4</v>
      </c>
      <c r="O544" t="str" cm="1">
        <f t="array" ref="O544">_xlfn.IFS(orders[[#This Row],[Customer Gender]]="M","Male", orders[[#This Row],[Customer Gender]]="F","Female", orders[[#This Row],[Customer Gender]]="O","Other", TRUE,"Unknown")</f>
        <v>Female</v>
      </c>
    </row>
    <row r="545" spans="1:15" x14ac:dyDescent="0.3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1">
        <v>45680</v>
      </c>
      <c r="G545" s="1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f>orders[[#This Row],[Ship Date]]-orders[[#This Row],[Order Date]]</f>
        <v>2</v>
      </c>
      <c r="N545">
        <f>WEEKNUM(orders[[#This Row],[Order Date]])</f>
        <v>4</v>
      </c>
      <c r="O545" t="str" cm="1">
        <f t="array" ref="O545">_xlfn.IFS(orders[[#This Row],[Customer Gender]]="M","Male", orders[[#This Row],[Customer Gender]]="F","Female", orders[[#This Row],[Customer Gender]]="O","Other", TRUE,"Unknown")</f>
        <v>Female</v>
      </c>
    </row>
    <row r="546" spans="1:15" x14ac:dyDescent="0.3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1">
        <v>45680</v>
      </c>
      <c r="G546" s="1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f>orders[[#This Row],[Ship Date]]-orders[[#This Row],[Order Date]]</f>
        <v>2</v>
      </c>
      <c r="N546">
        <f>WEEKNUM(orders[[#This Row],[Order Date]])</f>
        <v>4</v>
      </c>
      <c r="O546" t="str" cm="1">
        <f t="array" ref="O546">_xlfn.IFS(orders[[#This Row],[Customer Gender]]="M","Male", orders[[#This Row],[Customer Gender]]="F","Female", orders[[#This Row],[Customer Gender]]="O","Other", TRUE,"Unknown")</f>
        <v>Female</v>
      </c>
    </row>
    <row r="547" spans="1:15" x14ac:dyDescent="0.3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1">
        <v>45681</v>
      </c>
      <c r="G547" s="1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f>orders[[#This Row],[Ship Date]]-orders[[#This Row],[Order Date]]</f>
        <v>3</v>
      </c>
      <c r="N547">
        <f>WEEKNUM(orders[[#This Row],[Order Date]])</f>
        <v>4</v>
      </c>
      <c r="O547" t="str" cm="1">
        <f t="array" ref="O547">_xlfn.IFS(orders[[#This Row],[Customer Gender]]="M","Male", orders[[#This Row],[Customer Gender]]="F","Female", orders[[#This Row],[Customer Gender]]="O","Other", TRUE,"Unknown")</f>
        <v>Female</v>
      </c>
    </row>
    <row r="548" spans="1:15" x14ac:dyDescent="0.3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1">
        <v>45681</v>
      </c>
      <c r="G548" s="1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f>orders[[#This Row],[Ship Date]]-orders[[#This Row],[Order Date]]</f>
        <v>1</v>
      </c>
      <c r="N548">
        <f>WEEKNUM(orders[[#This Row],[Order Date]])</f>
        <v>4</v>
      </c>
      <c r="O548" t="str" cm="1">
        <f t="array" ref="O548">_xlfn.IFS(orders[[#This Row],[Customer Gender]]="M","Male", orders[[#This Row],[Customer Gender]]="F","Female", orders[[#This Row],[Customer Gender]]="O","Other", TRUE,"Unknown")</f>
        <v>Unknown</v>
      </c>
    </row>
    <row r="549" spans="1:15" x14ac:dyDescent="0.3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1">
        <v>45681</v>
      </c>
      <c r="G549" s="1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f>orders[[#This Row],[Ship Date]]-orders[[#This Row],[Order Date]]</f>
        <v>3</v>
      </c>
      <c r="N549">
        <f>WEEKNUM(orders[[#This Row],[Order Date]])</f>
        <v>4</v>
      </c>
      <c r="O549" t="str" cm="1">
        <f t="array" ref="O549">_xlfn.IFS(orders[[#This Row],[Customer Gender]]="M","Male", orders[[#This Row],[Customer Gender]]="F","Female", orders[[#This Row],[Customer Gender]]="O","Other", TRUE,"Unknown")</f>
        <v>Male</v>
      </c>
    </row>
    <row r="550" spans="1:15" x14ac:dyDescent="0.3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1">
        <v>45681</v>
      </c>
      <c r="G550" s="1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f>orders[[#This Row],[Ship Date]]-orders[[#This Row],[Order Date]]</f>
        <v>0</v>
      </c>
      <c r="N550">
        <f>WEEKNUM(orders[[#This Row],[Order Date]])</f>
        <v>4</v>
      </c>
      <c r="O550" t="str" cm="1">
        <f t="array" ref="O550">_xlfn.IFS(orders[[#This Row],[Customer Gender]]="M","Male", orders[[#This Row],[Customer Gender]]="F","Female", orders[[#This Row],[Customer Gender]]="O","Other", TRUE,"Unknown")</f>
        <v>Female</v>
      </c>
    </row>
    <row r="551" spans="1:15" x14ac:dyDescent="0.3">
      <c r="A551" t="s">
        <v>640</v>
      </c>
      <c r="B551" t="s">
        <v>22</v>
      </c>
      <c r="C551">
        <v>1</v>
      </c>
      <c r="D551">
        <v>48</v>
      </c>
      <c r="E551">
        <v>48</v>
      </c>
      <c r="F551" s="1">
        <v>45681</v>
      </c>
      <c r="G551" s="1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f>orders[[#This Row],[Ship Date]]-orders[[#This Row],[Order Date]]</f>
        <v>1</v>
      </c>
      <c r="N551">
        <f>WEEKNUM(orders[[#This Row],[Order Date]])</f>
        <v>4</v>
      </c>
      <c r="O551" t="str" cm="1">
        <f t="array" ref="O551">_xlfn.IFS(orders[[#This Row],[Customer Gender]]="M","Male", orders[[#This Row],[Customer Gender]]="F","Female", orders[[#This Row],[Customer Gender]]="O","Other", TRUE,"Unknown")</f>
        <v>Other</v>
      </c>
    </row>
    <row r="552" spans="1:15" x14ac:dyDescent="0.3">
      <c r="A552" t="s">
        <v>642</v>
      </c>
      <c r="B552" t="s">
        <v>39</v>
      </c>
      <c r="C552">
        <v>1</v>
      </c>
      <c r="D552">
        <v>94</v>
      </c>
      <c r="E552">
        <v>94</v>
      </c>
      <c r="F552" s="1">
        <v>45681</v>
      </c>
      <c r="G552" s="1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f>orders[[#This Row],[Ship Date]]-orders[[#This Row],[Order Date]]</f>
        <v>1</v>
      </c>
      <c r="N552">
        <f>WEEKNUM(orders[[#This Row],[Order Date]])</f>
        <v>4</v>
      </c>
      <c r="O552" t="str" cm="1">
        <f t="array" ref="O552">_xlfn.IFS(orders[[#This Row],[Customer Gender]]="M","Male", orders[[#This Row],[Customer Gender]]="F","Female", orders[[#This Row],[Customer Gender]]="O","Other", TRUE,"Unknown")</f>
        <v>Male</v>
      </c>
    </row>
    <row r="553" spans="1:15" x14ac:dyDescent="0.3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1">
        <v>45681</v>
      </c>
      <c r="G553" s="1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f>orders[[#This Row],[Ship Date]]-orders[[#This Row],[Order Date]]</f>
        <v>1</v>
      </c>
      <c r="N553">
        <f>WEEKNUM(orders[[#This Row],[Order Date]])</f>
        <v>4</v>
      </c>
      <c r="O553" t="str" cm="1">
        <f t="array" ref="O553">_xlfn.IFS(orders[[#This Row],[Customer Gender]]="M","Male", orders[[#This Row],[Customer Gender]]="F","Female", orders[[#This Row],[Customer Gender]]="O","Other", TRUE,"Unknown")</f>
        <v>Female</v>
      </c>
    </row>
    <row r="554" spans="1:15" x14ac:dyDescent="0.3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1">
        <v>45681</v>
      </c>
      <c r="G554" s="1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f>orders[[#This Row],[Ship Date]]-orders[[#This Row],[Order Date]]</f>
        <v>1</v>
      </c>
      <c r="N554">
        <f>WEEKNUM(orders[[#This Row],[Order Date]])</f>
        <v>4</v>
      </c>
      <c r="O554" t="str" cm="1">
        <f t="array" ref="O554">_xlfn.IFS(orders[[#This Row],[Customer Gender]]="M","Male", orders[[#This Row],[Customer Gender]]="F","Female", orders[[#This Row],[Customer Gender]]="O","Other", TRUE,"Unknown")</f>
        <v>Female</v>
      </c>
    </row>
    <row r="555" spans="1:15" x14ac:dyDescent="0.3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1">
        <v>45681</v>
      </c>
      <c r="G555" s="1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f>orders[[#This Row],[Ship Date]]-orders[[#This Row],[Order Date]]</f>
        <v>0</v>
      </c>
      <c r="N555">
        <f>WEEKNUM(orders[[#This Row],[Order Date]])</f>
        <v>4</v>
      </c>
      <c r="O555" t="str" cm="1">
        <f t="array" ref="O555">_xlfn.IFS(orders[[#This Row],[Customer Gender]]="M","Male", orders[[#This Row],[Customer Gender]]="F","Female", orders[[#This Row],[Customer Gender]]="O","Other", TRUE,"Unknown")</f>
        <v>Female</v>
      </c>
    </row>
    <row r="556" spans="1:15" x14ac:dyDescent="0.3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1">
        <v>45681</v>
      </c>
      <c r="G556" s="1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f>orders[[#This Row],[Ship Date]]-orders[[#This Row],[Order Date]]</f>
        <v>1</v>
      </c>
      <c r="N556">
        <f>WEEKNUM(orders[[#This Row],[Order Date]])</f>
        <v>4</v>
      </c>
      <c r="O556" t="str" cm="1">
        <f t="array" ref="O556">_xlfn.IFS(orders[[#This Row],[Customer Gender]]="M","Male", orders[[#This Row],[Customer Gender]]="F","Female", orders[[#This Row],[Customer Gender]]="O","Other", TRUE,"Unknown")</f>
        <v>Female</v>
      </c>
    </row>
    <row r="557" spans="1:15" x14ac:dyDescent="0.3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1">
        <v>45681</v>
      </c>
      <c r="G557" s="1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f>orders[[#This Row],[Ship Date]]-orders[[#This Row],[Order Date]]</f>
        <v>1</v>
      </c>
      <c r="N557">
        <f>WEEKNUM(orders[[#This Row],[Order Date]])</f>
        <v>4</v>
      </c>
      <c r="O557" t="str" cm="1">
        <f t="array" ref="O557">_xlfn.IFS(orders[[#This Row],[Customer Gender]]="M","Male", orders[[#This Row],[Customer Gender]]="F","Female", orders[[#This Row],[Customer Gender]]="O","Other", TRUE,"Unknown")</f>
        <v>Female</v>
      </c>
    </row>
    <row r="558" spans="1:15" x14ac:dyDescent="0.3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1">
        <v>45681</v>
      </c>
      <c r="G558" s="1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f>orders[[#This Row],[Ship Date]]-orders[[#This Row],[Order Date]]</f>
        <v>3</v>
      </c>
      <c r="N558">
        <f>WEEKNUM(orders[[#This Row],[Order Date]])</f>
        <v>4</v>
      </c>
      <c r="O558" t="str" cm="1">
        <f t="array" ref="O558">_xlfn.IFS(orders[[#This Row],[Customer Gender]]="M","Male", orders[[#This Row],[Customer Gender]]="F","Female", orders[[#This Row],[Customer Gender]]="O","Other", TRUE,"Unknown")</f>
        <v>Female</v>
      </c>
    </row>
    <row r="559" spans="1:15" x14ac:dyDescent="0.3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1">
        <v>45681</v>
      </c>
      <c r="G559" s="1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f>orders[[#This Row],[Ship Date]]-orders[[#This Row],[Order Date]]</f>
        <v>2</v>
      </c>
      <c r="N559">
        <f>WEEKNUM(orders[[#This Row],[Order Date]])</f>
        <v>4</v>
      </c>
      <c r="O559" t="str" cm="1">
        <f t="array" ref="O559">_xlfn.IFS(orders[[#This Row],[Customer Gender]]="M","Male", orders[[#This Row],[Customer Gender]]="F","Female", orders[[#This Row],[Customer Gender]]="O","Other", TRUE,"Unknown")</f>
        <v>Female</v>
      </c>
    </row>
    <row r="560" spans="1:15" x14ac:dyDescent="0.3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1">
        <v>45681</v>
      </c>
      <c r="G560" s="1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f>orders[[#This Row],[Ship Date]]-orders[[#This Row],[Order Date]]</f>
        <v>1</v>
      </c>
      <c r="N560">
        <f>WEEKNUM(orders[[#This Row],[Order Date]])</f>
        <v>4</v>
      </c>
      <c r="O560" t="str" cm="1">
        <f t="array" ref="O560">_xlfn.IFS(orders[[#This Row],[Customer Gender]]="M","Male", orders[[#This Row],[Customer Gender]]="F","Female", orders[[#This Row],[Customer Gender]]="O","Other", TRUE,"Unknown")</f>
        <v>Male</v>
      </c>
    </row>
    <row r="561" spans="1:15" x14ac:dyDescent="0.3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1">
        <v>45681</v>
      </c>
      <c r="G561" s="1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f>orders[[#This Row],[Ship Date]]-orders[[#This Row],[Order Date]]</f>
        <v>5</v>
      </c>
      <c r="N561">
        <f>WEEKNUM(orders[[#This Row],[Order Date]])</f>
        <v>4</v>
      </c>
      <c r="O561" t="str" cm="1">
        <f t="array" ref="O561">_xlfn.IFS(orders[[#This Row],[Customer Gender]]="M","Male", orders[[#This Row],[Customer Gender]]="F","Female", orders[[#This Row],[Customer Gender]]="O","Other", TRUE,"Unknown")</f>
        <v>Male</v>
      </c>
    </row>
    <row r="562" spans="1:15" x14ac:dyDescent="0.3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1">
        <v>45681</v>
      </c>
      <c r="G562" s="1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f>orders[[#This Row],[Ship Date]]-orders[[#This Row],[Order Date]]</f>
        <v>1</v>
      </c>
      <c r="N562">
        <f>WEEKNUM(orders[[#This Row],[Order Date]])</f>
        <v>4</v>
      </c>
      <c r="O562" t="str" cm="1">
        <f t="array" ref="O562">_xlfn.IFS(orders[[#This Row],[Customer Gender]]="M","Male", orders[[#This Row],[Customer Gender]]="F","Female", orders[[#This Row],[Customer Gender]]="O","Other", TRUE,"Unknown")</f>
        <v>Female</v>
      </c>
    </row>
    <row r="563" spans="1:15" x14ac:dyDescent="0.3">
      <c r="A563" t="s">
        <v>653</v>
      </c>
      <c r="B563" t="s">
        <v>26</v>
      </c>
      <c r="C563">
        <v>2</v>
      </c>
      <c r="D563">
        <v>63.5</v>
      </c>
      <c r="E563">
        <v>127</v>
      </c>
      <c r="F563" s="1">
        <v>45681</v>
      </c>
      <c r="G563" s="1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f>orders[[#This Row],[Ship Date]]-orders[[#This Row],[Order Date]]</f>
        <v>2</v>
      </c>
      <c r="N563">
        <f>WEEKNUM(orders[[#This Row],[Order Date]])</f>
        <v>4</v>
      </c>
      <c r="O563" t="str" cm="1">
        <f t="array" ref="O563">_xlfn.IFS(orders[[#This Row],[Customer Gender]]="M","Male", orders[[#This Row],[Customer Gender]]="F","Female", orders[[#This Row],[Customer Gender]]="O","Other", TRUE,"Unknown")</f>
        <v>Male</v>
      </c>
    </row>
    <row r="564" spans="1:15" x14ac:dyDescent="0.3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1">
        <v>45681</v>
      </c>
      <c r="G564" s="1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f>orders[[#This Row],[Ship Date]]-orders[[#This Row],[Order Date]]</f>
        <v>3</v>
      </c>
      <c r="N564">
        <f>WEEKNUM(orders[[#This Row],[Order Date]])</f>
        <v>4</v>
      </c>
      <c r="O564" t="str" cm="1">
        <f t="array" ref="O564">_xlfn.IFS(orders[[#This Row],[Customer Gender]]="M","Male", orders[[#This Row],[Customer Gender]]="F","Female", orders[[#This Row],[Customer Gender]]="O","Other", TRUE,"Unknown")</f>
        <v>Male</v>
      </c>
    </row>
    <row r="565" spans="1:15" x14ac:dyDescent="0.3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1">
        <v>45682</v>
      </c>
      <c r="G565" s="1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f>orders[[#This Row],[Ship Date]]-orders[[#This Row],[Order Date]]</f>
        <v>3</v>
      </c>
      <c r="N565">
        <f>WEEKNUM(orders[[#This Row],[Order Date]])</f>
        <v>4</v>
      </c>
      <c r="O565" t="str" cm="1">
        <f t="array" ref="O565">_xlfn.IFS(orders[[#This Row],[Customer Gender]]="M","Male", orders[[#This Row],[Customer Gender]]="F","Female", orders[[#This Row],[Customer Gender]]="O","Other", TRUE,"Unknown")</f>
        <v>Male</v>
      </c>
    </row>
    <row r="566" spans="1:15" x14ac:dyDescent="0.3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1">
        <v>45682</v>
      </c>
      <c r="G566" s="1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f>orders[[#This Row],[Ship Date]]-orders[[#This Row],[Order Date]]</f>
        <v>2</v>
      </c>
      <c r="N566">
        <f>WEEKNUM(orders[[#This Row],[Order Date]])</f>
        <v>4</v>
      </c>
      <c r="O566" t="str" cm="1">
        <f t="array" ref="O566">_xlfn.IFS(orders[[#This Row],[Customer Gender]]="M","Male", orders[[#This Row],[Customer Gender]]="F","Female", orders[[#This Row],[Customer Gender]]="O","Other", TRUE,"Unknown")</f>
        <v>Female</v>
      </c>
    </row>
    <row r="567" spans="1:15" x14ac:dyDescent="0.3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1">
        <v>45682</v>
      </c>
      <c r="G567" s="1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f>orders[[#This Row],[Ship Date]]-orders[[#This Row],[Order Date]]</f>
        <v>7</v>
      </c>
      <c r="N567">
        <f>WEEKNUM(orders[[#This Row],[Order Date]])</f>
        <v>4</v>
      </c>
      <c r="O567" t="str" cm="1">
        <f t="array" ref="O567">_xlfn.IFS(orders[[#This Row],[Customer Gender]]="M","Male", orders[[#This Row],[Customer Gender]]="F","Female", orders[[#This Row],[Customer Gender]]="O","Other", TRUE,"Unknown")</f>
        <v>Male</v>
      </c>
    </row>
    <row r="568" spans="1:15" x14ac:dyDescent="0.3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1">
        <v>45682</v>
      </c>
      <c r="G568" s="1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f>orders[[#This Row],[Ship Date]]-orders[[#This Row],[Order Date]]</f>
        <v>1</v>
      </c>
      <c r="N568">
        <f>WEEKNUM(orders[[#This Row],[Order Date]])</f>
        <v>4</v>
      </c>
      <c r="O568" t="str" cm="1">
        <f t="array" ref="O568">_xlfn.IFS(orders[[#This Row],[Customer Gender]]="M","Male", orders[[#This Row],[Customer Gender]]="F","Female", orders[[#This Row],[Customer Gender]]="O","Other", TRUE,"Unknown")</f>
        <v>Female</v>
      </c>
    </row>
    <row r="569" spans="1:15" x14ac:dyDescent="0.3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1">
        <v>45682</v>
      </c>
      <c r="G569" s="1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f>orders[[#This Row],[Ship Date]]-orders[[#This Row],[Order Date]]</f>
        <v>13</v>
      </c>
      <c r="N569">
        <f>WEEKNUM(orders[[#This Row],[Order Date]])</f>
        <v>4</v>
      </c>
      <c r="O569" t="str" cm="1">
        <f t="array" ref="O569">_xlfn.IFS(orders[[#This Row],[Customer Gender]]="M","Male", orders[[#This Row],[Customer Gender]]="F","Female", orders[[#This Row],[Customer Gender]]="O","Other", TRUE,"Unknown")</f>
        <v>Female</v>
      </c>
    </row>
    <row r="570" spans="1:15" x14ac:dyDescent="0.3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1">
        <v>45682</v>
      </c>
      <c r="G570" s="1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f>orders[[#This Row],[Ship Date]]-orders[[#This Row],[Order Date]]</f>
        <v>3</v>
      </c>
      <c r="N570">
        <f>WEEKNUM(orders[[#This Row],[Order Date]])</f>
        <v>4</v>
      </c>
      <c r="O570" t="str" cm="1">
        <f t="array" ref="O570">_xlfn.IFS(orders[[#This Row],[Customer Gender]]="M","Male", orders[[#This Row],[Customer Gender]]="F","Female", orders[[#This Row],[Customer Gender]]="O","Other", TRUE,"Unknown")</f>
        <v>Female</v>
      </c>
    </row>
    <row r="571" spans="1:15" x14ac:dyDescent="0.3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1">
        <v>45682</v>
      </c>
      <c r="G571" s="1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f>orders[[#This Row],[Ship Date]]-orders[[#This Row],[Order Date]]</f>
        <v>2</v>
      </c>
      <c r="N571">
        <f>WEEKNUM(orders[[#This Row],[Order Date]])</f>
        <v>4</v>
      </c>
      <c r="O571" t="str" cm="1">
        <f t="array" ref="O571">_xlfn.IFS(orders[[#This Row],[Customer Gender]]="M","Male", orders[[#This Row],[Customer Gender]]="F","Female", orders[[#This Row],[Customer Gender]]="O","Other", TRUE,"Unknown")</f>
        <v>Male</v>
      </c>
    </row>
    <row r="572" spans="1:15" x14ac:dyDescent="0.3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1">
        <v>45682</v>
      </c>
      <c r="G572" s="1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f>orders[[#This Row],[Ship Date]]-orders[[#This Row],[Order Date]]</f>
        <v>2</v>
      </c>
      <c r="N572">
        <f>WEEKNUM(orders[[#This Row],[Order Date]])</f>
        <v>4</v>
      </c>
      <c r="O572" t="str" cm="1">
        <f t="array" ref="O572">_xlfn.IFS(orders[[#This Row],[Customer Gender]]="M","Male", orders[[#This Row],[Customer Gender]]="F","Female", orders[[#This Row],[Customer Gender]]="O","Other", TRUE,"Unknown")</f>
        <v>Male</v>
      </c>
    </row>
    <row r="573" spans="1:15" x14ac:dyDescent="0.3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1">
        <v>45682</v>
      </c>
      <c r="G573" s="1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f>orders[[#This Row],[Ship Date]]-orders[[#This Row],[Order Date]]</f>
        <v>1</v>
      </c>
      <c r="N573">
        <f>WEEKNUM(orders[[#This Row],[Order Date]])</f>
        <v>4</v>
      </c>
      <c r="O573" t="str" cm="1">
        <f t="array" ref="O573">_xlfn.IFS(orders[[#This Row],[Customer Gender]]="M","Male", orders[[#This Row],[Customer Gender]]="F","Female", orders[[#This Row],[Customer Gender]]="O","Other", TRUE,"Unknown")</f>
        <v>Female</v>
      </c>
    </row>
    <row r="574" spans="1:15" x14ac:dyDescent="0.3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1">
        <v>45682</v>
      </c>
      <c r="G574" s="1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f>orders[[#This Row],[Ship Date]]-orders[[#This Row],[Order Date]]</f>
        <v>1</v>
      </c>
      <c r="N574">
        <f>WEEKNUM(orders[[#This Row],[Order Date]])</f>
        <v>4</v>
      </c>
      <c r="O574" t="str" cm="1">
        <f t="array" ref="O574">_xlfn.IFS(orders[[#This Row],[Customer Gender]]="M","Male", orders[[#This Row],[Customer Gender]]="F","Female", orders[[#This Row],[Customer Gender]]="O","Other", TRUE,"Unknown")</f>
        <v>Male</v>
      </c>
    </row>
    <row r="575" spans="1:15" x14ac:dyDescent="0.3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1">
        <v>45682</v>
      </c>
      <c r="G575" s="1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f>orders[[#This Row],[Ship Date]]-orders[[#This Row],[Order Date]]</f>
        <v>5</v>
      </c>
      <c r="N575">
        <f>WEEKNUM(orders[[#This Row],[Order Date]])</f>
        <v>4</v>
      </c>
      <c r="O575" t="str" cm="1">
        <f t="array" ref="O575">_xlfn.IFS(orders[[#This Row],[Customer Gender]]="M","Male", orders[[#This Row],[Customer Gender]]="F","Female", orders[[#This Row],[Customer Gender]]="O","Other", TRUE,"Unknown")</f>
        <v>Female</v>
      </c>
    </row>
    <row r="576" spans="1:15" x14ac:dyDescent="0.3">
      <c r="A576" t="s">
        <v>666</v>
      </c>
      <c r="B576" t="s">
        <v>26</v>
      </c>
      <c r="C576">
        <v>4</v>
      </c>
      <c r="D576">
        <v>211</v>
      </c>
      <c r="E576">
        <v>844</v>
      </c>
      <c r="F576" s="1">
        <v>45682</v>
      </c>
      <c r="G576" s="1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f>orders[[#This Row],[Ship Date]]-orders[[#This Row],[Order Date]]</f>
        <v>0</v>
      </c>
      <c r="N576">
        <f>WEEKNUM(orders[[#This Row],[Order Date]])</f>
        <v>4</v>
      </c>
      <c r="O576" t="str" cm="1">
        <f t="array" ref="O576">_xlfn.IFS(orders[[#This Row],[Customer Gender]]="M","Male", orders[[#This Row],[Customer Gender]]="F","Female", orders[[#This Row],[Customer Gender]]="O","Other", TRUE,"Unknown")</f>
        <v>Female</v>
      </c>
    </row>
    <row r="577" spans="1:15" x14ac:dyDescent="0.3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1">
        <v>45682</v>
      </c>
      <c r="G577" s="1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f>orders[[#This Row],[Ship Date]]-orders[[#This Row],[Order Date]]</f>
        <v>3</v>
      </c>
      <c r="N577">
        <f>WEEKNUM(orders[[#This Row],[Order Date]])</f>
        <v>4</v>
      </c>
      <c r="O577" t="str" cm="1">
        <f t="array" ref="O577">_xlfn.IFS(orders[[#This Row],[Customer Gender]]="M","Male", orders[[#This Row],[Customer Gender]]="F","Female", orders[[#This Row],[Customer Gender]]="O","Other", TRUE,"Unknown")</f>
        <v>Male</v>
      </c>
    </row>
    <row r="578" spans="1:15" x14ac:dyDescent="0.3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1">
        <v>45682</v>
      </c>
      <c r="G578" s="1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f>orders[[#This Row],[Ship Date]]-orders[[#This Row],[Order Date]]</f>
        <v>2</v>
      </c>
      <c r="N578">
        <f>WEEKNUM(orders[[#This Row],[Order Date]])</f>
        <v>4</v>
      </c>
      <c r="O578" t="str" cm="1">
        <f t="array" ref="O578">_xlfn.IFS(orders[[#This Row],[Customer Gender]]="M","Male", orders[[#This Row],[Customer Gender]]="F","Female", orders[[#This Row],[Customer Gender]]="O","Other", TRUE,"Unknown")</f>
        <v>Male</v>
      </c>
    </row>
    <row r="579" spans="1:15" x14ac:dyDescent="0.3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1">
        <v>45682</v>
      </c>
      <c r="G579" s="1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f>orders[[#This Row],[Ship Date]]-orders[[#This Row],[Order Date]]</f>
        <v>1</v>
      </c>
      <c r="N579">
        <f>WEEKNUM(orders[[#This Row],[Order Date]])</f>
        <v>4</v>
      </c>
      <c r="O579" t="str" cm="1">
        <f t="array" ref="O579">_xlfn.IFS(orders[[#This Row],[Customer Gender]]="M","Male", orders[[#This Row],[Customer Gender]]="F","Female", orders[[#This Row],[Customer Gender]]="O","Other", TRUE,"Unknown")</f>
        <v>Female</v>
      </c>
    </row>
    <row r="580" spans="1:15" x14ac:dyDescent="0.3">
      <c r="A580" t="s">
        <v>671</v>
      </c>
      <c r="B580" t="s">
        <v>16</v>
      </c>
      <c r="C580">
        <v>5</v>
      </c>
      <c r="D580">
        <v>10.6</v>
      </c>
      <c r="E580">
        <v>53</v>
      </c>
      <c r="F580" s="1">
        <v>45682</v>
      </c>
      <c r="G580" s="1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f>orders[[#This Row],[Ship Date]]-orders[[#This Row],[Order Date]]</f>
        <v>4</v>
      </c>
      <c r="N580">
        <f>WEEKNUM(orders[[#This Row],[Order Date]])</f>
        <v>4</v>
      </c>
      <c r="O580" t="str" cm="1">
        <f t="array" ref="O580">_xlfn.IFS(orders[[#This Row],[Customer Gender]]="M","Male", orders[[#This Row],[Customer Gender]]="F","Female", orders[[#This Row],[Customer Gender]]="O","Other", TRUE,"Unknown")</f>
        <v>Female</v>
      </c>
    </row>
    <row r="581" spans="1:15" x14ac:dyDescent="0.3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1">
        <v>45682</v>
      </c>
      <c r="G581" s="1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f>orders[[#This Row],[Ship Date]]-orders[[#This Row],[Order Date]]</f>
        <v>3</v>
      </c>
      <c r="N581">
        <f>WEEKNUM(orders[[#This Row],[Order Date]])</f>
        <v>4</v>
      </c>
      <c r="O581" t="str" cm="1">
        <f t="array" ref="O581">_xlfn.IFS(orders[[#This Row],[Customer Gender]]="M","Male", orders[[#This Row],[Customer Gender]]="F","Female", orders[[#This Row],[Customer Gender]]="O","Other", TRUE,"Unknown")</f>
        <v>Female</v>
      </c>
    </row>
    <row r="582" spans="1:15" x14ac:dyDescent="0.3">
      <c r="A582" t="s">
        <v>673</v>
      </c>
      <c r="B582" t="s">
        <v>69</v>
      </c>
      <c r="C582">
        <v>1</v>
      </c>
      <c r="D582">
        <v>80</v>
      </c>
      <c r="E582">
        <v>80</v>
      </c>
      <c r="F582" s="1">
        <v>45682</v>
      </c>
      <c r="G582" s="1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f>orders[[#This Row],[Ship Date]]-orders[[#This Row],[Order Date]]</f>
        <v>0</v>
      </c>
      <c r="N582">
        <f>WEEKNUM(orders[[#This Row],[Order Date]])</f>
        <v>4</v>
      </c>
      <c r="O582" t="str" cm="1">
        <f t="array" ref="O582">_xlfn.IFS(orders[[#This Row],[Customer Gender]]="M","Male", orders[[#This Row],[Customer Gender]]="F","Female", orders[[#This Row],[Customer Gender]]="O","Other", TRUE,"Unknown")</f>
        <v>Female</v>
      </c>
    </row>
    <row r="583" spans="1:15" x14ac:dyDescent="0.3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1">
        <v>45682</v>
      </c>
      <c r="G583" s="1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f>orders[[#This Row],[Ship Date]]-orders[[#This Row],[Order Date]]</f>
        <v>2</v>
      </c>
      <c r="N583">
        <f>WEEKNUM(orders[[#This Row],[Order Date]])</f>
        <v>4</v>
      </c>
      <c r="O583" t="str" cm="1">
        <f t="array" ref="O583">_xlfn.IFS(orders[[#This Row],[Customer Gender]]="M","Male", orders[[#This Row],[Customer Gender]]="F","Female", orders[[#This Row],[Customer Gender]]="O","Other", TRUE,"Unknown")</f>
        <v>Female</v>
      </c>
    </row>
    <row r="584" spans="1:15" x14ac:dyDescent="0.3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1">
        <v>45683</v>
      </c>
      <c r="G584" s="1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f>orders[[#This Row],[Ship Date]]-orders[[#This Row],[Order Date]]</f>
        <v>0</v>
      </c>
      <c r="N584">
        <f>WEEKNUM(orders[[#This Row],[Order Date]])</f>
        <v>5</v>
      </c>
      <c r="O584" t="str" cm="1">
        <f t="array" ref="O584">_xlfn.IFS(orders[[#This Row],[Customer Gender]]="M","Male", orders[[#This Row],[Customer Gender]]="F","Female", orders[[#This Row],[Customer Gender]]="O","Other", TRUE,"Unknown")</f>
        <v>Female</v>
      </c>
    </row>
    <row r="585" spans="1:15" x14ac:dyDescent="0.3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1">
        <v>45683</v>
      </c>
      <c r="G585" s="1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f>orders[[#This Row],[Ship Date]]-orders[[#This Row],[Order Date]]</f>
        <v>0</v>
      </c>
      <c r="N585">
        <f>WEEKNUM(orders[[#This Row],[Order Date]])</f>
        <v>5</v>
      </c>
      <c r="O585" t="str" cm="1">
        <f t="array" ref="O585">_xlfn.IFS(orders[[#This Row],[Customer Gender]]="M","Male", orders[[#This Row],[Customer Gender]]="F","Female", orders[[#This Row],[Customer Gender]]="O","Other", TRUE,"Unknown")</f>
        <v>Male</v>
      </c>
    </row>
    <row r="586" spans="1:15" x14ac:dyDescent="0.3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1">
        <v>45683</v>
      </c>
      <c r="G586" s="1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f>orders[[#This Row],[Ship Date]]-orders[[#This Row],[Order Date]]</f>
        <v>2</v>
      </c>
      <c r="N586">
        <f>WEEKNUM(orders[[#This Row],[Order Date]])</f>
        <v>5</v>
      </c>
      <c r="O586" t="str" cm="1">
        <f t="array" ref="O586">_xlfn.IFS(orders[[#This Row],[Customer Gender]]="M","Male", orders[[#This Row],[Customer Gender]]="F","Female", orders[[#This Row],[Customer Gender]]="O","Other", TRUE,"Unknown")</f>
        <v>Female</v>
      </c>
    </row>
    <row r="587" spans="1:15" x14ac:dyDescent="0.3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1">
        <v>45683</v>
      </c>
      <c r="G587" s="1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f>orders[[#This Row],[Ship Date]]-orders[[#This Row],[Order Date]]</f>
        <v>3</v>
      </c>
      <c r="N587">
        <f>WEEKNUM(orders[[#This Row],[Order Date]])</f>
        <v>5</v>
      </c>
      <c r="O587" t="str" cm="1">
        <f t="array" ref="O587">_xlfn.IFS(orders[[#This Row],[Customer Gender]]="M","Male", orders[[#This Row],[Customer Gender]]="F","Female", orders[[#This Row],[Customer Gender]]="O","Other", TRUE,"Unknown")</f>
        <v>Female</v>
      </c>
    </row>
    <row r="588" spans="1:15" x14ac:dyDescent="0.3">
      <c r="A588" t="s">
        <v>679</v>
      </c>
      <c r="B588" t="s">
        <v>39</v>
      </c>
      <c r="C588">
        <v>5</v>
      </c>
      <c r="D588">
        <v>46.8</v>
      </c>
      <c r="E588">
        <v>234</v>
      </c>
      <c r="F588" s="1">
        <v>45683</v>
      </c>
      <c r="G588" s="1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f>orders[[#This Row],[Ship Date]]-orders[[#This Row],[Order Date]]</f>
        <v>5</v>
      </c>
      <c r="N588">
        <f>WEEKNUM(orders[[#This Row],[Order Date]])</f>
        <v>5</v>
      </c>
      <c r="O588" t="str" cm="1">
        <f t="array" ref="O588">_xlfn.IFS(orders[[#This Row],[Customer Gender]]="M","Male", orders[[#This Row],[Customer Gender]]="F","Female", orders[[#This Row],[Customer Gender]]="O","Other", TRUE,"Unknown")</f>
        <v>Female</v>
      </c>
    </row>
    <row r="589" spans="1:15" x14ac:dyDescent="0.3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1">
        <v>45683</v>
      </c>
      <c r="G589" s="1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f>orders[[#This Row],[Ship Date]]-orders[[#This Row],[Order Date]]</f>
        <v>1</v>
      </c>
      <c r="N589">
        <f>WEEKNUM(orders[[#This Row],[Order Date]])</f>
        <v>5</v>
      </c>
      <c r="O589" t="str" cm="1">
        <f t="array" ref="O589">_xlfn.IFS(orders[[#This Row],[Customer Gender]]="M","Male", orders[[#This Row],[Customer Gender]]="F","Female", orders[[#This Row],[Customer Gender]]="O","Other", TRUE,"Unknown")</f>
        <v>Male</v>
      </c>
    </row>
    <row r="590" spans="1:15" x14ac:dyDescent="0.3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1">
        <v>45683</v>
      </c>
      <c r="G590" s="1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f>orders[[#This Row],[Ship Date]]-orders[[#This Row],[Order Date]]</f>
        <v>1</v>
      </c>
      <c r="N590">
        <f>WEEKNUM(orders[[#This Row],[Order Date]])</f>
        <v>5</v>
      </c>
      <c r="O590" t="str" cm="1">
        <f t="array" ref="O590">_xlfn.IFS(orders[[#This Row],[Customer Gender]]="M","Male", orders[[#This Row],[Customer Gender]]="F","Female", orders[[#This Row],[Customer Gender]]="O","Other", TRUE,"Unknown")</f>
        <v>Female</v>
      </c>
    </row>
    <row r="591" spans="1:15" x14ac:dyDescent="0.3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1">
        <v>45683</v>
      </c>
      <c r="G591" s="1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f>orders[[#This Row],[Ship Date]]-orders[[#This Row],[Order Date]]</f>
        <v>1</v>
      </c>
      <c r="N591">
        <f>WEEKNUM(orders[[#This Row],[Order Date]])</f>
        <v>5</v>
      </c>
      <c r="O591" t="str" cm="1">
        <f t="array" ref="O591">_xlfn.IFS(orders[[#This Row],[Customer Gender]]="M","Male", orders[[#This Row],[Customer Gender]]="F","Female", orders[[#This Row],[Customer Gender]]="O","Other", TRUE,"Unknown")</f>
        <v>Female</v>
      </c>
    </row>
    <row r="592" spans="1:15" x14ac:dyDescent="0.3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1">
        <v>45683</v>
      </c>
      <c r="G592" s="1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f>orders[[#This Row],[Ship Date]]-orders[[#This Row],[Order Date]]</f>
        <v>1</v>
      </c>
      <c r="N592">
        <f>WEEKNUM(orders[[#This Row],[Order Date]])</f>
        <v>5</v>
      </c>
      <c r="O592" t="str" cm="1">
        <f t="array" ref="O592">_xlfn.IFS(orders[[#This Row],[Customer Gender]]="M","Male", orders[[#This Row],[Customer Gender]]="F","Female", orders[[#This Row],[Customer Gender]]="O","Other", TRUE,"Unknown")</f>
        <v>Male</v>
      </c>
    </row>
    <row r="593" spans="1:15" x14ac:dyDescent="0.3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1">
        <v>45683</v>
      </c>
      <c r="G593" s="1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f>orders[[#This Row],[Ship Date]]-orders[[#This Row],[Order Date]]</f>
        <v>1</v>
      </c>
      <c r="N593">
        <f>WEEKNUM(orders[[#This Row],[Order Date]])</f>
        <v>5</v>
      </c>
      <c r="O593" t="str" cm="1">
        <f t="array" ref="O593">_xlfn.IFS(orders[[#This Row],[Customer Gender]]="M","Male", orders[[#This Row],[Customer Gender]]="F","Female", orders[[#This Row],[Customer Gender]]="O","Other", TRUE,"Unknown")</f>
        <v>Female</v>
      </c>
    </row>
    <row r="594" spans="1:15" x14ac:dyDescent="0.3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1">
        <v>45683</v>
      </c>
      <c r="G594" s="1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f>orders[[#This Row],[Ship Date]]-orders[[#This Row],[Order Date]]</f>
        <v>0</v>
      </c>
      <c r="N594">
        <f>WEEKNUM(orders[[#This Row],[Order Date]])</f>
        <v>5</v>
      </c>
      <c r="O594" t="str" cm="1">
        <f t="array" ref="O594">_xlfn.IFS(orders[[#This Row],[Customer Gender]]="M","Male", orders[[#This Row],[Customer Gender]]="F","Female", orders[[#This Row],[Customer Gender]]="O","Other", TRUE,"Unknown")</f>
        <v>Female</v>
      </c>
    </row>
    <row r="595" spans="1:15" x14ac:dyDescent="0.3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1">
        <v>45683</v>
      </c>
      <c r="G595" s="1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f>orders[[#This Row],[Ship Date]]-orders[[#This Row],[Order Date]]</f>
        <v>1</v>
      </c>
      <c r="N595">
        <f>WEEKNUM(orders[[#This Row],[Order Date]])</f>
        <v>5</v>
      </c>
      <c r="O595" t="str" cm="1">
        <f t="array" ref="O595">_xlfn.IFS(orders[[#This Row],[Customer Gender]]="M","Male", orders[[#This Row],[Customer Gender]]="F","Female", orders[[#This Row],[Customer Gender]]="O","Other", TRUE,"Unknown")</f>
        <v>Female</v>
      </c>
    </row>
    <row r="596" spans="1:15" x14ac:dyDescent="0.3">
      <c r="A596" t="s">
        <v>687</v>
      </c>
      <c r="B596" t="s">
        <v>32</v>
      </c>
      <c r="C596">
        <v>2</v>
      </c>
      <c r="D596">
        <v>56.5</v>
      </c>
      <c r="E596">
        <v>113</v>
      </c>
      <c r="F596" s="1">
        <v>45683</v>
      </c>
      <c r="G596" s="1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f>orders[[#This Row],[Ship Date]]-orders[[#This Row],[Order Date]]</f>
        <v>4</v>
      </c>
      <c r="N596">
        <f>WEEKNUM(orders[[#This Row],[Order Date]])</f>
        <v>5</v>
      </c>
      <c r="O596" t="str" cm="1">
        <f t="array" ref="O596">_xlfn.IFS(orders[[#This Row],[Customer Gender]]="M","Male", orders[[#This Row],[Customer Gender]]="F","Female", orders[[#This Row],[Customer Gender]]="O","Other", TRUE,"Unknown")</f>
        <v>Male</v>
      </c>
    </row>
    <row r="597" spans="1:15" x14ac:dyDescent="0.3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1">
        <v>45683</v>
      </c>
      <c r="G597" s="1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f>orders[[#This Row],[Ship Date]]-orders[[#This Row],[Order Date]]</f>
        <v>2</v>
      </c>
      <c r="N597">
        <f>WEEKNUM(orders[[#This Row],[Order Date]])</f>
        <v>5</v>
      </c>
      <c r="O597" t="str" cm="1">
        <f t="array" ref="O597">_xlfn.IFS(orders[[#This Row],[Customer Gender]]="M","Male", orders[[#This Row],[Customer Gender]]="F","Female", orders[[#This Row],[Customer Gender]]="O","Other", TRUE,"Unknown")</f>
        <v>Male</v>
      </c>
    </row>
    <row r="598" spans="1:15" x14ac:dyDescent="0.3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1">
        <v>45683</v>
      </c>
      <c r="G598" s="1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f>orders[[#This Row],[Ship Date]]-orders[[#This Row],[Order Date]]</f>
        <v>1</v>
      </c>
      <c r="N598">
        <f>WEEKNUM(orders[[#This Row],[Order Date]])</f>
        <v>5</v>
      </c>
      <c r="O598" t="str" cm="1">
        <f t="array" ref="O598">_xlfn.IFS(orders[[#This Row],[Customer Gender]]="M","Male", orders[[#This Row],[Customer Gender]]="F","Female", orders[[#This Row],[Customer Gender]]="O","Other", TRUE,"Unknown")</f>
        <v>Female</v>
      </c>
    </row>
    <row r="599" spans="1:15" x14ac:dyDescent="0.3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1">
        <v>45683</v>
      </c>
      <c r="G599" s="1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f>orders[[#This Row],[Ship Date]]-orders[[#This Row],[Order Date]]</f>
        <v>0</v>
      </c>
      <c r="N599">
        <f>WEEKNUM(orders[[#This Row],[Order Date]])</f>
        <v>5</v>
      </c>
      <c r="O599" t="str" cm="1">
        <f t="array" ref="O599">_xlfn.IFS(orders[[#This Row],[Customer Gender]]="M","Male", orders[[#This Row],[Customer Gender]]="F","Female", orders[[#This Row],[Customer Gender]]="O","Other", TRUE,"Unknown")</f>
        <v>Female</v>
      </c>
    </row>
    <row r="600" spans="1:15" x14ac:dyDescent="0.3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1">
        <v>45683</v>
      </c>
      <c r="G600" s="1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f>orders[[#This Row],[Ship Date]]-orders[[#This Row],[Order Date]]</f>
        <v>2</v>
      </c>
      <c r="N600">
        <f>WEEKNUM(orders[[#This Row],[Order Date]])</f>
        <v>5</v>
      </c>
      <c r="O600" t="str" cm="1">
        <f t="array" ref="O600">_xlfn.IFS(orders[[#This Row],[Customer Gender]]="M","Male", orders[[#This Row],[Customer Gender]]="F","Female", orders[[#This Row],[Customer Gender]]="O","Other", TRUE,"Unknown")</f>
        <v>Male</v>
      </c>
    </row>
    <row r="601" spans="1:15" x14ac:dyDescent="0.3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1">
        <v>45683</v>
      </c>
      <c r="G601" s="1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f>orders[[#This Row],[Ship Date]]-orders[[#This Row],[Order Date]]</f>
        <v>1</v>
      </c>
      <c r="N601">
        <f>WEEKNUM(orders[[#This Row],[Order Date]])</f>
        <v>5</v>
      </c>
      <c r="O601" t="str" cm="1">
        <f t="array" ref="O601">_xlfn.IFS(orders[[#This Row],[Customer Gender]]="M","Male", orders[[#This Row],[Customer Gender]]="F","Female", orders[[#This Row],[Customer Gender]]="O","Other", TRUE,"Unknown")</f>
        <v>Female</v>
      </c>
    </row>
    <row r="602" spans="1:15" x14ac:dyDescent="0.3">
      <c r="A602" t="s">
        <v>693</v>
      </c>
      <c r="B602" t="s">
        <v>44</v>
      </c>
      <c r="C602">
        <v>4</v>
      </c>
      <c r="D602">
        <v>31</v>
      </c>
      <c r="E602">
        <v>124</v>
      </c>
      <c r="F602" s="1">
        <v>45683</v>
      </c>
      <c r="G602" s="1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f>orders[[#This Row],[Ship Date]]-orders[[#This Row],[Order Date]]</f>
        <v>3</v>
      </c>
      <c r="N602">
        <f>WEEKNUM(orders[[#This Row],[Order Date]])</f>
        <v>5</v>
      </c>
      <c r="O602" t="str" cm="1">
        <f t="array" ref="O602">_xlfn.IFS(orders[[#This Row],[Customer Gender]]="M","Male", orders[[#This Row],[Customer Gender]]="F","Female", orders[[#This Row],[Customer Gender]]="O","Other", TRUE,"Unknown")</f>
        <v>Male</v>
      </c>
    </row>
    <row r="603" spans="1:15" x14ac:dyDescent="0.3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1">
        <v>45683</v>
      </c>
      <c r="G603" s="1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f>orders[[#This Row],[Ship Date]]-orders[[#This Row],[Order Date]]</f>
        <v>1</v>
      </c>
      <c r="N603">
        <f>WEEKNUM(orders[[#This Row],[Order Date]])</f>
        <v>5</v>
      </c>
      <c r="O603" t="str" cm="1">
        <f t="array" ref="O603">_xlfn.IFS(orders[[#This Row],[Customer Gender]]="M","Male", orders[[#This Row],[Customer Gender]]="F","Female", orders[[#This Row],[Customer Gender]]="O","Other", TRUE,"Unknown")</f>
        <v>Female</v>
      </c>
    </row>
    <row r="604" spans="1:15" x14ac:dyDescent="0.3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1">
        <v>45683</v>
      </c>
      <c r="G604" s="1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f>orders[[#This Row],[Ship Date]]-orders[[#This Row],[Order Date]]</f>
        <v>1</v>
      </c>
      <c r="N604">
        <f>WEEKNUM(orders[[#This Row],[Order Date]])</f>
        <v>5</v>
      </c>
      <c r="O604" t="str" cm="1">
        <f t="array" ref="O604">_xlfn.IFS(orders[[#This Row],[Customer Gender]]="M","Male", orders[[#This Row],[Customer Gender]]="F","Female", orders[[#This Row],[Customer Gender]]="O","Other", TRUE,"Unknown")</f>
        <v>Female</v>
      </c>
    </row>
    <row r="605" spans="1:15" x14ac:dyDescent="0.3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1">
        <v>45683</v>
      </c>
      <c r="G605" s="1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f>orders[[#This Row],[Ship Date]]-orders[[#This Row],[Order Date]]</f>
        <v>2</v>
      </c>
      <c r="N605">
        <f>WEEKNUM(orders[[#This Row],[Order Date]])</f>
        <v>5</v>
      </c>
      <c r="O605" t="str" cm="1">
        <f t="array" ref="O605">_xlfn.IFS(orders[[#This Row],[Customer Gender]]="M","Male", orders[[#This Row],[Customer Gender]]="F","Female", orders[[#This Row],[Customer Gender]]="O","Other", TRUE,"Unknown")</f>
        <v>Male</v>
      </c>
    </row>
    <row r="606" spans="1:15" x14ac:dyDescent="0.3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1">
        <v>45683</v>
      </c>
      <c r="G606" s="1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f>orders[[#This Row],[Ship Date]]-orders[[#This Row],[Order Date]]</f>
        <v>1</v>
      </c>
      <c r="N606">
        <f>WEEKNUM(orders[[#This Row],[Order Date]])</f>
        <v>5</v>
      </c>
      <c r="O606" t="str" cm="1">
        <f t="array" ref="O606">_xlfn.IFS(orders[[#This Row],[Customer Gender]]="M","Male", orders[[#This Row],[Customer Gender]]="F","Female", orders[[#This Row],[Customer Gender]]="O","Other", TRUE,"Unknown")</f>
        <v>Male</v>
      </c>
    </row>
    <row r="607" spans="1:15" x14ac:dyDescent="0.3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1">
        <v>45683</v>
      </c>
      <c r="G607" s="1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f>orders[[#This Row],[Ship Date]]-orders[[#This Row],[Order Date]]</f>
        <v>2</v>
      </c>
      <c r="N607">
        <f>WEEKNUM(orders[[#This Row],[Order Date]])</f>
        <v>5</v>
      </c>
      <c r="O607" t="str" cm="1">
        <f t="array" ref="O607">_xlfn.IFS(orders[[#This Row],[Customer Gender]]="M","Male", orders[[#This Row],[Customer Gender]]="F","Female", orders[[#This Row],[Customer Gender]]="O","Other", TRUE,"Unknown")</f>
        <v>Female</v>
      </c>
    </row>
    <row r="608" spans="1:15" x14ac:dyDescent="0.3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1">
        <v>45683</v>
      </c>
      <c r="G608" s="1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f>orders[[#This Row],[Ship Date]]-orders[[#This Row],[Order Date]]</f>
        <v>0</v>
      </c>
      <c r="N608">
        <f>WEEKNUM(orders[[#This Row],[Order Date]])</f>
        <v>5</v>
      </c>
      <c r="O608" t="str" cm="1">
        <f t="array" ref="O608">_xlfn.IFS(orders[[#This Row],[Customer Gender]]="M","Male", orders[[#This Row],[Customer Gender]]="F","Female", orders[[#This Row],[Customer Gender]]="O","Other", TRUE,"Unknown")</f>
        <v>Female</v>
      </c>
    </row>
    <row r="609" spans="1:15" x14ac:dyDescent="0.3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1">
        <v>45683</v>
      </c>
      <c r="G609" s="1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f>orders[[#This Row],[Ship Date]]-orders[[#This Row],[Order Date]]</f>
        <v>3</v>
      </c>
      <c r="N609">
        <f>WEEKNUM(orders[[#This Row],[Order Date]])</f>
        <v>5</v>
      </c>
      <c r="O609" t="str" cm="1">
        <f t="array" ref="O609">_xlfn.IFS(orders[[#This Row],[Customer Gender]]="M","Male", orders[[#This Row],[Customer Gender]]="F","Female", orders[[#This Row],[Customer Gender]]="O","Other", TRUE,"Unknown")</f>
        <v>Male</v>
      </c>
    </row>
    <row r="610" spans="1:15" x14ac:dyDescent="0.3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1">
        <v>45683</v>
      </c>
      <c r="G610" s="1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f>orders[[#This Row],[Ship Date]]-orders[[#This Row],[Order Date]]</f>
        <v>2</v>
      </c>
      <c r="N610">
        <f>WEEKNUM(orders[[#This Row],[Order Date]])</f>
        <v>5</v>
      </c>
      <c r="O610" t="str" cm="1">
        <f t="array" ref="O610">_xlfn.IFS(orders[[#This Row],[Customer Gender]]="M","Male", orders[[#This Row],[Customer Gender]]="F","Female", orders[[#This Row],[Customer Gender]]="O","Other", TRUE,"Unknown")</f>
        <v>Female</v>
      </c>
    </row>
    <row r="611" spans="1:15" x14ac:dyDescent="0.3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1">
        <v>45683</v>
      </c>
      <c r="G611" s="1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f>orders[[#This Row],[Ship Date]]-orders[[#This Row],[Order Date]]</f>
        <v>4</v>
      </c>
      <c r="N611">
        <f>WEEKNUM(orders[[#This Row],[Order Date]])</f>
        <v>5</v>
      </c>
      <c r="O611" t="str" cm="1">
        <f t="array" ref="O611">_xlfn.IFS(orders[[#This Row],[Customer Gender]]="M","Male", orders[[#This Row],[Customer Gender]]="F","Female", orders[[#This Row],[Customer Gender]]="O","Other", TRUE,"Unknown")</f>
        <v>Female</v>
      </c>
    </row>
    <row r="612" spans="1:15" x14ac:dyDescent="0.3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1">
        <v>45683</v>
      </c>
      <c r="G612" s="1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f>orders[[#This Row],[Ship Date]]-orders[[#This Row],[Order Date]]</f>
        <v>1</v>
      </c>
      <c r="N612">
        <f>WEEKNUM(orders[[#This Row],[Order Date]])</f>
        <v>5</v>
      </c>
      <c r="O612" t="str" cm="1">
        <f t="array" ref="O612">_xlfn.IFS(orders[[#This Row],[Customer Gender]]="M","Male", orders[[#This Row],[Customer Gender]]="F","Female", orders[[#This Row],[Customer Gender]]="O","Other", TRUE,"Unknown")</f>
        <v>Female</v>
      </c>
    </row>
    <row r="613" spans="1:15" x14ac:dyDescent="0.3">
      <c r="A613" t="s">
        <v>705</v>
      </c>
      <c r="B613" t="s">
        <v>42</v>
      </c>
      <c r="C613">
        <v>2</v>
      </c>
      <c r="D613">
        <v>31</v>
      </c>
      <c r="E613">
        <v>62</v>
      </c>
      <c r="F613" s="1">
        <v>45683</v>
      </c>
      <c r="G613" s="1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f>orders[[#This Row],[Ship Date]]-orders[[#This Row],[Order Date]]</f>
        <v>1</v>
      </c>
      <c r="N613">
        <f>WEEKNUM(orders[[#This Row],[Order Date]])</f>
        <v>5</v>
      </c>
      <c r="O613" t="str" cm="1">
        <f t="array" ref="O613">_xlfn.IFS(orders[[#This Row],[Customer Gender]]="M","Male", orders[[#This Row],[Customer Gender]]="F","Female", orders[[#This Row],[Customer Gender]]="O","Other", TRUE,"Unknown")</f>
        <v>Female</v>
      </c>
    </row>
    <row r="614" spans="1:15" x14ac:dyDescent="0.3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1">
        <v>45683</v>
      </c>
      <c r="G614" s="1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f>orders[[#This Row],[Ship Date]]-orders[[#This Row],[Order Date]]</f>
        <v>1</v>
      </c>
      <c r="N614">
        <f>WEEKNUM(orders[[#This Row],[Order Date]])</f>
        <v>5</v>
      </c>
      <c r="O614" t="str" cm="1">
        <f t="array" ref="O614">_xlfn.IFS(orders[[#This Row],[Customer Gender]]="M","Male", orders[[#This Row],[Customer Gender]]="F","Female", orders[[#This Row],[Customer Gender]]="O","Other", TRUE,"Unknown")</f>
        <v>Female</v>
      </c>
    </row>
    <row r="615" spans="1:15" x14ac:dyDescent="0.3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1">
        <v>45683</v>
      </c>
      <c r="G615" s="1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f>orders[[#This Row],[Ship Date]]-orders[[#This Row],[Order Date]]</f>
        <v>2</v>
      </c>
      <c r="N615">
        <f>WEEKNUM(orders[[#This Row],[Order Date]])</f>
        <v>5</v>
      </c>
      <c r="O615" t="str" cm="1">
        <f t="array" ref="O615">_xlfn.IFS(orders[[#This Row],[Customer Gender]]="M","Male", orders[[#This Row],[Customer Gender]]="F","Female", orders[[#This Row],[Customer Gender]]="O","Other", TRUE,"Unknown")</f>
        <v>Female</v>
      </c>
    </row>
    <row r="616" spans="1:15" x14ac:dyDescent="0.3">
      <c r="A616" t="s">
        <v>708</v>
      </c>
      <c r="B616" t="s">
        <v>46</v>
      </c>
      <c r="C616">
        <v>4</v>
      </c>
      <c r="D616">
        <v>26.5</v>
      </c>
      <c r="E616">
        <v>106</v>
      </c>
      <c r="F616" s="1">
        <v>45683</v>
      </c>
      <c r="G616" s="1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f>orders[[#This Row],[Ship Date]]-orders[[#This Row],[Order Date]]</f>
        <v>2</v>
      </c>
      <c r="N616">
        <f>WEEKNUM(orders[[#This Row],[Order Date]])</f>
        <v>5</v>
      </c>
      <c r="O616" t="str" cm="1">
        <f t="array" ref="O616">_xlfn.IFS(orders[[#This Row],[Customer Gender]]="M","Male", orders[[#This Row],[Customer Gender]]="F","Female", orders[[#This Row],[Customer Gender]]="O","Other", TRUE,"Unknown")</f>
        <v>Male</v>
      </c>
    </row>
    <row r="617" spans="1:15" x14ac:dyDescent="0.3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1">
        <v>45683</v>
      </c>
      <c r="G617" s="1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f>orders[[#This Row],[Ship Date]]-orders[[#This Row],[Order Date]]</f>
        <v>1</v>
      </c>
      <c r="N617">
        <f>WEEKNUM(orders[[#This Row],[Order Date]])</f>
        <v>5</v>
      </c>
      <c r="O617" t="str" cm="1">
        <f t="array" ref="O617">_xlfn.IFS(orders[[#This Row],[Customer Gender]]="M","Male", orders[[#This Row],[Customer Gender]]="F","Female", orders[[#This Row],[Customer Gender]]="O","Other", TRUE,"Unknown")</f>
        <v>Male</v>
      </c>
    </row>
    <row r="618" spans="1:15" x14ac:dyDescent="0.3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1">
        <v>45683</v>
      </c>
      <c r="G618" s="1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f>orders[[#This Row],[Ship Date]]-orders[[#This Row],[Order Date]]</f>
        <v>1</v>
      </c>
      <c r="N618">
        <f>WEEKNUM(orders[[#This Row],[Order Date]])</f>
        <v>5</v>
      </c>
      <c r="O618" t="str" cm="1">
        <f t="array" ref="O618">_xlfn.IFS(orders[[#This Row],[Customer Gender]]="M","Male", orders[[#This Row],[Customer Gender]]="F","Female", orders[[#This Row],[Customer Gender]]="O","Other", TRUE,"Unknown")</f>
        <v>Male</v>
      </c>
    </row>
    <row r="619" spans="1:15" x14ac:dyDescent="0.3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1">
        <v>45684</v>
      </c>
      <c r="G619" s="1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f>orders[[#This Row],[Ship Date]]-orders[[#This Row],[Order Date]]</f>
        <v>1</v>
      </c>
      <c r="N619">
        <f>WEEKNUM(orders[[#This Row],[Order Date]])</f>
        <v>5</v>
      </c>
      <c r="O619" t="str" cm="1">
        <f t="array" ref="O619">_xlfn.IFS(orders[[#This Row],[Customer Gender]]="M","Male", orders[[#This Row],[Customer Gender]]="F","Female", orders[[#This Row],[Customer Gender]]="O","Other", TRUE,"Unknown")</f>
        <v>Female</v>
      </c>
    </row>
    <row r="620" spans="1:15" x14ac:dyDescent="0.3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1">
        <v>45684</v>
      </c>
      <c r="G620" s="1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f>orders[[#This Row],[Ship Date]]-orders[[#This Row],[Order Date]]</f>
        <v>1</v>
      </c>
      <c r="N620">
        <f>WEEKNUM(orders[[#This Row],[Order Date]])</f>
        <v>5</v>
      </c>
      <c r="O620" t="str" cm="1">
        <f t="array" ref="O620">_xlfn.IFS(orders[[#This Row],[Customer Gender]]="M","Male", orders[[#This Row],[Customer Gender]]="F","Female", orders[[#This Row],[Customer Gender]]="O","Other", TRUE,"Unknown")</f>
        <v>Male</v>
      </c>
    </row>
    <row r="621" spans="1:15" x14ac:dyDescent="0.3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1">
        <v>45684</v>
      </c>
      <c r="G621" s="1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f>orders[[#This Row],[Ship Date]]-orders[[#This Row],[Order Date]]</f>
        <v>0</v>
      </c>
      <c r="N621">
        <f>WEEKNUM(orders[[#This Row],[Order Date]])</f>
        <v>5</v>
      </c>
      <c r="O621" t="str" cm="1">
        <f t="array" ref="O621">_xlfn.IFS(orders[[#This Row],[Customer Gender]]="M","Male", orders[[#This Row],[Customer Gender]]="F","Female", orders[[#This Row],[Customer Gender]]="O","Other", TRUE,"Unknown")</f>
        <v>Male</v>
      </c>
    </row>
    <row r="622" spans="1:15" x14ac:dyDescent="0.3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1">
        <v>45684</v>
      </c>
      <c r="G622" s="1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f>orders[[#This Row],[Ship Date]]-orders[[#This Row],[Order Date]]</f>
        <v>4</v>
      </c>
      <c r="N622">
        <f>WEEKNUM(orders[[#This Row],[Order Date]])</f>
        <v>5</v>
      </c>
      <c r="O622" t="str" cm="1">
        <f t="array" ref="O622">_xlfn.IFS(orders[[#This Row],[Customer Gender]]="M","Male", orders[[#This Row],[Customer Gender]]="F","Female", orders[[#This Row],[Customer Gender]]="O","Other", TRUE,"Unknown")</f>
        <v>Female</v>
      </c>
    </row>
    <row r="623" spans="1:15" x14ac:dyDescent="0.3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1">
        <v>45684</v>
      </c>
      <c r="G623" s="1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f>orders[[#This Row],[Ship Date]]-orders[[#This Row],[Order Date]]</f>
        <v>0</v>
      </c>
      <c r="N623">
        <f>WEEKNUM(orders[[#This Row],[Order Date]])</f>
        <v>5</v>
      </c>
      <c r="O623" t="str" cm="1">
        <f t="array" ref="O623">_xlfn.IFS(orders[[#This Row],[Customer Gender]]="M","Male", orders[[#This Row],[Customer Gender]]="F","Female", orders[[#This Row],[Customer Gender]]="O","Other", TRUE,"Unknown")</f>
        <v>Male</v>
      </c>
    </row>
    <row r="624" spans="1:15" x14ac:dyDescent="0.3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1">
        <v>45684</v>
      </c>
      <c r="G624" s="1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f>orders[[#This Row],[Ship Date]]-orders[[#This Row],[Order Date]]</f>
        <v>5</v>
      </c>
      <c r="N624">
        <f>WEEKNUM(orders[[#This Row],[Order Date]])</f>
        <v>5</v>
      </c>
      <c r="O624" t="str" cm="1">
        <f t="array" ref="O624">_xlfn.IFS(orders[[#This Row],[Customer Gender]]="M","Male", orders[[#This Row],[Customer Gender]]="F","Female", orders[[#This Row],[Customer Gender]]="O","Other", TRUE,"Unknown")</f>
        <v>Female</v>
      </c>
    </row>
    <row r="625" spans="1:15" x14ac:dyDescent="0.3">
      <c r="A625" t="s">
        <v>717</v>
      </c>
      <c r="B625" t="s">
        <v>39</v>
      </c>
      <c r="C625">
        <v>2</v>
      </c>
      <c r="D625">
        <v>62.5</v>
      </c>
      <c r="E625">
        <v>125</v>
      </c>
      <c r="F625" s="1">
        <v>45684</v>
      </c>
      <c r="G625" s="1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f>orders[[#This Row],[Ship Date]]-orders[[#This Row],[Order Date]]</f>
        <v>1</v>
      </c>
      <c r="N625">
        <f>WEEKNUM(orders[[#This Row],[Order Date]])</f>
        <v>5</v>
      </c>
      <c r="O625" t="str" cm="1">
        <f t="array" ref="O625">_xlfn.IFS(orders[[#This Row],[Customer Gender]]="M","Male", orders[[#This Row],[Customer Gender]]="F","Female", orders[[#This Row],[Customer Gender]]="O","Other", TRUE,"Unknown")</f>
        <v>Unknown</v>
      </c>
    </row>
    <row r="626" spans="1:15" x14ac:dyDescent="0.3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1">
        <v>45684</v>
      </c>
      <c r="G626" s="1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f>orders[[#This Row],[Ship Date]]-orders[[#This Row],[Order Date]]</f>
        <v>2</v>
      </c>
      <c r="N626">
        <f>WEEKNUM(orders[[#This Row],[Order Date]])</f>
        <v>5</v>
      </c>
      <c r="O626" t="str" cm="1">
        <f t="array" ref="O626">_xlfn.IFS(orders[[#This Row],[Customer Gender]]="M","Male", orders[[#This Row],[Customer Gender]]="F","Female", orders[[#This Row],[Customer Gender]]="O","Other", TRUE,"Unknown")</f>
        <v>Female</v>
      </c>
    </row>
    <row r="627" spans="1:15" x14ac:dyDescent="0.3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1">
        <v>45684</v>
      </c>
      <c r="G627" s="1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f>orders[[#This Row],[Ship Date]]-orders[[#This Row],[Order Date]]</f>
        <v>2</v>
      </c>
      <c r="N627">
        <f>WEEKNUM(orders[[#This Row],[Order Date]])</f>
        <v>5</v>
      </c>
      <c r="O627" t="str" cm="1">
        <f t="array" ref="O627">_xlfn.IFS(orders[[#This Row],[Customer Gender]]="M","Male", orders[[#This Row],[Customer Gender]]="F","Female", orders[[#This Row],[Customer Gender]]="O","Other", TRUE,"Unknown")</f>
        <v>Female</v>
      </c>
    </row>
    <row r="628" spans="1:15" x14ac:dyDescent="0.3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1">
        <v>45684</v>
      </c>
      <c r="G628" s="1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f>orders[[#This Row],[Ship Date]]-orders[[#This Row],[Order Date]]</f>
        <v>1</v>
      </c>
      <c r="N628">
        <f>WEEKNUM(orders[[#This Row],[Order Date]])</f>
        <v>5</v>
      </c>
      <c r="O628" t="str" cm="1">
        <f t="array" ref="O628">_xlfn.IFS(orders[[#This Row],[Customer Gender]]="M","Male", orders[[#This Row],[Customer Gender]]="F","Female", orders[[#This Row],[Customer Gender]]="O","Other", TRUE,"Unknown")</f>
        <v>Female</v>
      </c>
    </row>
    <row r="629" spans="1:15" x14ac:dyDescent="0.3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1">
        <v>45684</v>
      </c>
      <c r="G629" s="1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f>orders[[#This Row],[Ship Date]]-orders[[#This Row],[Order Date]]</f>
        <v>1</v>
      </c>
      <c r="N629">
        <f>WEEKNUM(orders[[#This Row],[Order Date]])</f>
        <v>5</v>
      </c>
      <c r="O629" t="str" cm="1">
        <f t="array" ref="O629">_xlfn.IFS(orders[[#This Row],[Customer Gender]]="M","Male", orders[[#This Row],[Customer Gender]]="F","Female", orders[[#This Row],[Customer Gender]]="O","Other", TRUE,"Unknown")</f>
        <v>Female</v>
      </c>
    </row>
    <row r="630" spans="1:15" x14ac:dyDescent="0.3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1">
        <v>45684</v>
      </c>
      <c r="G630" s="1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f>orders[[#This Row],[Ship Date]]-orders[[#This Row],[Order Date]]</f>
        <v>2</v>
      </c>
      <c r="N630">
        <f>WEEKNUM(orders[[#This Row],[Order Date]])</f>
        <v>5</v>
      </c>
      <c r="O630" t="str" cm="1">
        <f t="array" ref="O630">_xlfn.IFS(orders[[#This Row],[Customer Gender]]="M","Male", orders[[#This Row],[Customer Gender]]="F","Female", orders[[#This Row],[Customer Gender]]="O","Other", TRUE,"Unknown")</f>
        <v>Female</v>
      </c>
    </row>
    <row r="631" spans="1:15" x14ac:dyDescent="0.3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1">
        <v>45684</v>
      </c>
      <c r="G631" s="1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f>orders[[#This Row],[Ship Date]]-orders[[#This Row],[Order Date]]</f>
        <v>3</v>
      </c>
      <c r="N631">
        <f>WEEKNUM(orders[[#This Row],[Order Date]])</f>
        <v>5</v>
      </c>
      <c r="O631" t="str" cm="1">
        <f t="array" ref="O631">_xlfn.IFS(orders[[#This Row],[Customer Gender]]="M","Male", orders[[#This Row],[Customer Gender]]="F","Female", orders[[#This Row],[Customer Gender]]="O","Other", TRUE,"Unknown")</f>
        <v>Male</v>
      </c>
    </row>
    <row r="632" spans="1:15" x14ac:dyDescent="0.3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1">
        <v>45685</v>
      </c>
      <c r="G632" s="1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f>orders[[#This Row],[Ship Date]]-orders[[#This Row],[Order Date]]</f>
        <v>1</v>
      </c>
      <c r="N632">
        <f>WEEKNUM(orders[[#This Row],[Order Date]])</f>
        <v>5</v>
      </c>
      <c r="O632" t="str" cm="1">
        <f t="array" ref="O632">_xlfn.IFS(orders[[#This Row],[Customer Gender]]="M","Male", orders[[#This Row],[Customer Gender]]="F","Female", orders[[#This Row],[Customer Gender]]="O","Other", TRUE,"Unknown")</f>
        <v>Female</v>
      </c>
    </row>
    <row r="633" spans="1:15" x14ac:dyDescent="0.3">
      <c r="A633" t="s">
        <v>725</v>
      </c>
      <c r="B633" t="s">
        <v>46</v>
      </c>
      <c r="C633">
        <v>5</v>
      </c>
      <c r="D633">
        <v>75.8</v>
      </c>
      <c r="E633">
        <v>379</v>
      </c>
      <c r="F633" s="1">
        <v>45685</v>
      </c>
      <c r="G633" s="1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f>orders[[#This Row],[Ship Date]]-orders[[#This Row],[Order Date]]</f>
        <v>1</v>
      </c>
      <c r="N633">
        <f>WEEKNUM(orders[[#This Row],[Order Date]])</f>
        <v>5</v>
      </c>
      <c r="O633" t="str" cm="1">
        <f t="array" ref="O633">_xlfn.IFS(orders[[#This Row],[Customer Gender]]="M","Male", orders[[#This Row],[Customer Gender]]="F","Female", orders[[#This Row],[Customer Gender]]="O","Other", TRUE,"Unknown")</f>
        <v>Male</v>
      </c>
    </row>
    <row r="634" spans="1:15" x14ac:dyDescent="0.3">
      <c r="A634" t="s">
        <v>726</v>
      </c>
      <c r="B634" t="s">
        <v>81</v>
      </c>
      <c r="C634">
        <v>5</v>
      </c>
      <c r="D634">
        <v>20.6</v>
      </c>
      <c r="E634">
        <v>103</v>
      </c>
      <c r="F634" s="1">
        <v>45685</v>
      </c>
      <c r="G634" s="1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f>orders[[#This Row],[Ship Date]]-orders[[#This Row],[Order Date]]</f>
        <v>1</v>
      </c>
      <c r="N634">
        <f>WEEKNUM(orders[[#This Row],[Order Date]])</f>
        <v>5</v>
      </c>
      <c r="O634" t="str" cm="1">
        <f t="array" ref="O634">_xlfn.IFS(orders[[#This Row],[Customer Gender]]="M","Male", orders[[#This Row],[Customer Gender]]="F","Female", orders[[#This Row],[Customer Gender]]="O","Other", TRUE,"Unknown")</f>
        <v>Male</v>
      </c>
    </row>
    <row r="635" spans="1:15" x14ac:dyDescent="0.3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1">
        <v>45685</v>
      </c>
      <c r="G635" s="1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f>orders[[#This Row],[Ship Date]]-orders[[#This Row],[Order Date]]</f>
        <v>1</v>
      </c>
      <c r="N635">
        <f>WEEKNUM(orders[[#This Row],[Order Date]])</f>
        <v>5</v>
      </c>
      <c r="O635" t="str" cm="1">
        <f t="array" ref="O635">_xlfn.IFS(orders[[#This Row],[Customer Gender]]="M","Male", orders[[#This Row],[Customer Gender]]="F","Female", orders[[#This Row],[Customer Gender]]="O","Other", TRUE,"Unknown")</f>
        <v>Female</v>
      </c>
    </row>
    <row r="636" spans="1:15" x14ac:dyDescent="0.3">
      <c r="A636" t="s">
        <v>728</v>
      </c>
      <c r="B636" t="s">
        <v>16</v>
      </c>
      <c r="C636">
        <v>5</v>
      </c>
      <c r="D636">
        <v>27</v>
      </c>
      <c r="E636">
        <v>135</v>
      </c>
      <c r="F636" s="1">
        <v>45685</v>
      </c>
      <c r="G636" s="1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f>orders[[#This Row],[Ship Date]]-orders[[#This Row],[Order Date]]</f>
        <v>7</v>
      </c>
      <c r="N636">
        <f>WEEKNUM(orders[[#This Row],[Order Date]])</f>
        <v>5</v>
      </c>
      <c r="O636" t="str" cm="1">
        <f t="array" ref="O636">_xlfn.IFS(orders[[#This Row],[Customer Gender]]="M","Male", orders[[#This Row],[Customer Gender]]="F","Female", orders[[#This Row],[Customer Gender]]="O","Other", TRUE,"Unknown")</f>
        <v>Female</v>
      </c>
    </row>
    <row r="637" spans="1:15" x14ac:dyDescent="0.3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1">
        <v>45685</v>
      </c>
      <c r="G637" s="1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f>orders[[#This Row],[Ship Date]]-orders[[#This Row],[Order Date]]</f>
        <v>0</v>
      </c>
      <c r="N637">
        <f>WEEKNUM(orders[[#This Row],[Order Date]])</f>
        <v>5</v>
      </c>
      <c r="O637" t="str" cm="1">
        <f t="array" ref="O637">_xlfn.IFS(orders[[#This Row],[Customer Gender]]="M","Male", orders[[#This Row],[Customer Gender]]="F","Female", orders[[#This Row],[Customer Gender]]="O","Other", TRUE,"Unknown")</f>
        <v>Male</v>
      </c>
    </row>
    <row r="638" spans="1:15" x14ac:dyDescent="0.3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1">
        <v>45685</v>
      </c>
      <c r="G638" s="1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f>orders[[#This Row],[Ship Date]]-orders[[#This Row],[Order Date]]</f>
        <v>5</v>
      </c>
      <c r="N638">
        <f>WEEKNUM(orders[[#This Row],[Order Date]])</f>
        <v>5</v>
      </c>
      <c r="O638" t="str" cm="1">
        <f t="array" ref="O638">_xlfn.IFS(orders[[#This Row],[Customer Gender]]="M","Male", orders[[#This Row],[Customer Gender]]="F","Female", orders[[#This Row],[Customer Gender]]="O","Other", TRUE,"Unknown")</f>
        <v>Male</v>
      </c>
    </row>
    <row r="639" spans="1:15" x14ac:dyDescent="0.3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1">
        <v>45685</v>
      </c>
      <c r="G639" s="1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f>orders[[#This Row],[Ship Date]]-orders[[#This Row],[Order Date]]</f>
        <v>2</v>
      </c>
      <c r="N639">
        <f>WEEKNUM(orders[[#This Row],[Order Date]])</f>
        <v>5</v>
      </c>
      <c r="O639" t="str" cm="1">
        <f t="array" ref="O639">_xlfn.IFS(orders[[#This Row],[Customer Gender]]="M","Male", orders[[#This Row],[Customer Gender]]="F","Female", orders[[#This Row],[Customer Gender]]="O","Other", TRUE,"Unknown")</f>
        <v>Female</v>
      </c>
    </row>
    <row r="640" spans="1:15" x14ac:dyDescent="0.3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1">
        <v>45685</v>
      </c>
      <c r="G640" s="1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f>orders[[#This Row],[Ship Date]]-orders[[#This Row],[Order Date]]</f>
        <v>2</v>
      </c>
      <c r="N640">
        <f>WEEKNUM(orders[[#This Row],[Order Date]])</f>
        <v>5</v>
      </c>
      <c r="O640" t="str" cm="1">
        <f t="array" ref="O640">_xlfn.IFS(orders[[#This Row],[Customer Gender]]="M","Male", orders[[#This Row],[Customer Gender]]="F","Female", orders[[#This Row],[Customer Gender]]="O","Other", TRUE,"Unknown")</f>
        <v>Female</v>
      </c>
    </row>
    <row r="641" spans="1:15" x14ac:dyDescent="0.3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1">
        <v>45685</v>
      </c>
      <c r="G641" s="1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f>orders[[#This Row],[Ship Date]]-orders[[#This Row],[Order Date]]</f>
        <v>2</v>
      </c>
      <c r="N641">
        <f>WEEKNUM(orders[[#This Row],[Order Date]])</f>
        <v>5</v>
      </c>
      <c r="O641" t="str" cm="1">
        <f t="array" ref="O641">_xlfn.IFS(orders[[#This Row],[Customer Gender]]="M","Male", orders[[#This Row],[Customer Gender]]="F","Female", orders[[#This Row],[Customer Gender]]="O","Other", TRUE,"Unknown")</f>
        <v>Female</v>
      </c>
    </row>
    <row r="642" spans="1:15" x14ac:dyDescent="0.3">
      <c r="A642" t="s">
        <v>734</v>
      </c>
      <c r="B642" t="s">
        <v>16</v>
      </c>
      <c r="C642">
        <v>2</v>
      </c>
      <c r="D642">
        <v>22.5</v>
      </c>
      <c r="E642">
        <v>45</v>
      </c>
      <c r="F642" s="1">
        <v>45685</v>
      </c>
      <c r="G642" s="1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f>orders[[#This Row],[Ship Date]]-orders[[#This Row],[Order Date]]</f>
        <v>3</v>
      </c>
      <c r="N642">
        <f>WEEKNUM(orders[[#This Row],[Order Date]])</f>
        <v>5</v>
      </c>
      <c r="O642" t="str" cm="1">
        <f t="array" ref="O642">_xlfn.IFS(orders[[#This Row],[Customer Gender]]="M","Male", orders[[#This Row],[Customer Gender]]="F","Female", orders[[#This Row],[Customer Gender]]="O","Other", TRUE,"Unknown")</f>
        <v>Male</v>
      </c>
    </row>
    <row r="643" spans="1:15" x14ac:dyDescent="0.3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1">
        <v>45685</v>
      </c>
      <c r="G643" s="1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f>orders[[#This Row],[Ship Date]]-orders[[#This Row],[Order Date]]</f>
        <v>2</v>
      </c>
      <c r="N643">
        <f>WEEKNUM(orders[[#This Row],[Order Date]])</f>
        <v>5</v>
      </c>
      <c r="O643" t="str" cm="1">
        <f t="array" ref="O643">_xlfn.IFS(orders[[#This Row],[Customer Gender]]="M","Male", orders[[#This Row],[Customer Gender]]="F","Female", orders[[#This Row],[Customer Gender]]="O","Other", TRUE,"Unknown")</f>
        <v>Female</v>
      </c>
    </row>
    <row r="644" spans="1:15" x14ac:dyDescent="0.3">
      <c r="A644" t="s">
        <v>736</v>
      </c>
      <c r="B644" t="s">
        <v>39</v>
      </c>
      <c r="C644">
        <v>5</v>
      </c>
      <c r="D644">
        <v>56.6</v>
      </c>
      <c r="E644">
        <v>283</v>
      </c>
      <c r="F644" s="1">
        <v>45685</v>
      </c>
      <c r="G644" s="1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f>orders[[#This Row],[Ship Date]]-orders[[#This Row],[Order Date]]</f>
        <v>2</v>
      </c>
      <c r="N644">
        <f>WEEKNUM(orders[[#This Row],[Order Date]])</f>
        <v>5</v>
      </c>
      <c r="O644" t="str" cm="1">
        <f t="array" ref="O644">_xlfn.IFS(orders[[#This Row],[Customer Gender]]="M","Male", orders[[#This Row],[Customer Gender]]="F","Female", orders[[#This Row],[Customer Gender]]="O","Other", TRUE,"Unknown")</f>
        <v>Male</v>
      </c>
    </row>
    <row r="645" spans="1:15" x14ac:dyDescent="0.3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1">
        <v>45685</v>
      </c>
      <c r="G645" s="1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f>orders[[#This Row],[Ship Date]]-orders[[#This Row],[Order Date]]</f>
        <v>1</v>
      </c>
      <c r="N645">
        <f>WEEKNUM(orders[[#This Row],[Order Date]])</f>
        <v>5</v>
      </c>
      <c r="O645" t="str" cm="1">
        <f t="array" ref="O645">_xlfn.IFS(orders[[#This Row],[Customer Gender]]="M","Male", orders[[#This Row],[Customer Gender]]="F","Female", orders[[#This Row],[Customer Gender]]="O","Other", TRUE,"Unknown")</f>
        <v>Female</v>
      </c>
    </row>
    <row r="646" spans="1:15" x14ac:dyDescent="0.3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1">
        <v>45685</v>
      </c>
      <c r="G646" s="1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f>orders[[#This Row],[Ship Date]]-orders[[#This Row],[Order Date]]</f>
        <v>2</v>
      </c>
      <c r="N646">
        <f>WEEKNUM(orders[[#This Row],[Order Date]])</f>
        <v>5</v>
      </c>
      <c r="O646" t="str" cm="1">
        <f t="array" ref="O646">_xlfn.IFS(orders[[#This Row],[Customer Gender]]="M","Male", orders[[#This Row],[Customer Gender]]="F","Female", orders[[#This Row],[Customer Gender]]="O","Other", TRUE,"Unknown")</f>
        <v>Female</v>
      </c>
    </row>
    <row r="647" spans="1:15" x14ac:dyDescent="0.3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1">
        <v>45685</v>
      </c>
      <c r="G647" s="1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f>orders[[#This Row],[Ship Date]]-orders[[#This Row],[Order Date]]</f>
        <v>5</v>
      </c>
      <c r="N647">
        <f>WEEKNUM(orders[[#This Row],[Order Date]])</f>
        <v>5</v>
      </c>
      <c r="O647" t="str" cm="1">
        <f t="array" ref="O647">_xlfn.IFS(orders[[#This Row],[Customer Gender]]="M","Male", orders[[#This Row],[Customer Gender]]="F","Female", orders[[#This Row],[Customer Gender]]="O","Other", TRUE,"Unknown")</f>
        <v>Female</v>
      </c>
    </row>
    <row r="648" spans="1:15" x14ac:dyDescent="0.3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1">
        <v>45686</v>
      </c>
      <c r="G648" s="1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f>orders[[#This Row],[Ship Date]]-orders[[#This Row],[Order Date]]</f>
        <v>0</v>
      </c>
      <c r="N648">
        <f>WEEKNUM(orders[[#This Row],[Order Date]])</f>
        <v>5</v>
      </c>
      <c r="O648" t="str" cm="1">
        <f t="array" ref="O648">_xlfn.IFS(orders[[#This Row],[Customer Gender]]="M","Male", orders[[#This Row],[Customer Gender]]="F","Female", orders[[#This Row],[Customer Gender]]="O","Other", TRUE,"Unknown")</f>
        <v>Unknown</v>
      </c>
    </row>
    <row r="649" spans="1:15" x14ac:dyDescent="0.3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1">
        <v>45686</v>
      </c>
      <c r="G649" s="1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f>orders[[#This Row],[Ship Date]]-orders[[#This Row],[Order Date]]</f>
        <v>4</v>
      </c>
      <c r="N649">
        <f>WEEKNUM(orders[[#This Row],[Order Date]])</f>
        <v>5</v>
      </c>
      <c r="O649" t="str" cm="1">
        <f t="array" ref="O649">_xlfn.IFS(orders[[#This Row],[Customer Gender]]="M","Male", orders[[#This Row],[Customer Gender]]="F","Female", orders[[#This Row],[Customer Gender]]="O","Other", TRUE,"Unknown")</f>
        <v>Female</v>
      </c>
    </row>
    <row r="650" spans="1:15" x14ac:dyDescent="0.3">
      <c r="A650" t="s">
        <v>742</v>
      </c>
      <c r="B650" t="s">
        <v>81</v>
      </c>
      <c r="C650">
        <v>1</v>
      </c>
      <c r="D650">
        <v>15</v>
      </c>
      <c r="E650">
        <v>15</v>
      </c>
      <c r="F650" s="1">
        <v>45686</v>
      </c>
      <c r="G650" s="1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f>orders[[#This Row],[Ship Date]]-orders[[#This Row],[Order Date]]</f>
        <v>5</v>
      </c>
      <c r="N650">
        <f>WEEKNUM(orders[[#This Row],[Order Date]])</f>
        <v>5</v>
      </c>
      <c r="O650" t="str" cm="1">
        <f t="array" ref="O650">_xlfn.IFS(orders[[#This Row],[Customer Gender]]="M","Male", orders[[#This Row],[Customer Gender]]="F","Female", orders[[#This Row],[Customer Gender]]="O","Other", TRUE,"Unknown")</f>
        <v>Female</v>
      </c>
    </row>
    <row r="651" spans="1:15" x14ac:dyDescent="0.3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1">
        <v>45686</v>
      </c>
      <c r="G651" s="1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f>orders[[#This Row],[Ship Date]]-orders[[#This Row],[Order Date]]</f>
        <v>1</v>
      </c>
      <c r="N651">
        <f>WEEKNUM(orders[[#This Row],[Order Date]])</f>
        <v>5</v>
      </c>
      <c r="O651" t="str" cm="1">
        <f t="array" ref="O651">_xlfn.IFS(orders[[#This Row],[Customer Gender]]="M","Male", orders[[#This Row],[Customer Gender]]="F","Female", orders[[#This Row],[Customer Gender]]="O","Other", TRUE,"Unknown")</f>
        <v>Male</v>
      </c>
    </row>
    <row r="652" spans="1:15" x14ac:dyDescent="0.3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1">
        <v>45686</v>
      </c>
      <c r="G652" s="1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f>orders[[#This Row],[Ship Date]]-orders[[#This Row],[Order Date]]</f>
        <v>11</v>
      </c>
      <c r="N652">
        <f>WEEKNUM(orders[[#This Row],[Order Date]])</f>
        <v>5</v>
      </c>
      <c r="O652" t="str" cm="1">
        <f t="array" ref="O652">_xlfn.IFS(orders[[#This Row],[Customer Gender]]="M","Male", orders[[#This Row],[Customer Gender]]="F","Female", orders[[#This Row],[Customer Gender]]="O","Other", TRUE,"Unknown")</f>
        <v>Female</v>
      </c>
    </row>
    <row r="653" spans="1:15" x14ac:dyDescent="0.3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1">
        <v>45686</v>
      </c>
      <c r="G653" s="1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f>orders[[#This Row],[Ship Date]]-orders[[#This Row],[Order Date]]</f>
        <v>3</v>
      </c>
      <c r="N653">
        <f>WEEKNUM(orders[[#This Row],[Order Date]])</f>
        <v>5</v>
      </c>
      <c r="O653" t="str" cm="1">
        <f t="array" ref="O653">_xlfn.IFS(orders[[#This Row],[Customer Gender]]="M","Male", orders[[#This Row],[Customer Gender]]="F","Female", orders[[#This Row],[Customer Gender]]="O","Other", TRUE,"Unknown")</f>
        <v>Female</v>
      </c>
    </row>
    <row r="654" spans="1:15" x14ac:dyDescent="0.3">
      <c r="A654" t="s">
        <v>746</v>
      </c>
      <c r="B654" t="s">
        <v>22</v>
      </c>
      <c r="C654">
        <v>4</v>
      </c>
      <c r="D654">
        <v>43</v>
      </c>
      <c r="E654">
        <v>172</v>
      </c>
      <c r="F654" s="1">
        <v>45686</v>
      </c>
      <c r="G654" s="1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f>orders[[#This Row],[Ship Date]]-orders[[#This Row],[Order Date]]</f>
        <v>1</v>
      </c>
      <c r="N654">
        <f>WEEKNUM(orders[[#This Row],[Order Date]])</f>
        <v>5</v>
      </c>
      <c r="O654" t="str" cm="1">
        <f t="array" ref="O654">_xlfn.IFS(orders[[#This Row],[Customer Gender]]="M","Male", orders[[#This Row],[Customer Gender]]="F","Female", orders[[#This Row],[Customer Gender]]="O","Other", TRUE,"Unknown")</f>
        <v>Male</v>
      </c>
    </row>
    <row r="655" spans="1:15" x14ac:dyDescent="0.3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1">
        <v>45686</v>
      </c>
      <c r="G655" s="1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f>orders[[#This Row],[Ship Date]]-orders[[#This Row],[Order Date]]</f>
        <v>6</v>
      </c>
      <c r="N655">
        <f>WEEKNUM(orders[[#This Row],[Order Date]])</f>
        <v>5</v>
      </c>
      <c r="O655" t="str" cm="1">
        <f t="array" ref="O655">_xlfn.IFS(orders[[#This Row],[Customer Gender]]="M","Male", orders[[#This Row],[Customer Gender]]="F","Female", orders[[#This Row],[Customer Gender]]="O","Other", TRUE,"Unknown")</f>
        <v>Female</v>
      </c>
    </row>
    <row r="656" spans="1:15" x14ac:dyDescent="0.3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1">
        <v>45686</v>
      </c>
      <c r="G656" s="1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f>orders[[#This Row],[Ship Date]]-orders[[#This Row],[Order Date]]</f>
        <v>1</v>
      </c>
      <c r="N656">
        <f>WEEKNUM(orders[[#This Row],[Order Date]])</f>
        <v>5</v>
      </c>
      <c r="O656" t="str" cm="1">
        <f t="array" ref="O656">_xlfn.IFS(orders[[#This Row],[Customer Gender]]="M","Male", orders[[#This Row],[Customer Gender]]="F","Female", orders[[#This Row],[Customer Gender]]="O","Other", TRUE,"Unknown")</f>
        <v>Male</v>
      </c>
    </row>
    <row r="657" spans="1:15" x14ac:dyDescent="0.3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1">
        <v>45686</v>
      </c>
      <c r="G657" s="1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f>orders[[#This Row],[Ship Date]]-orders[[#This Row],[Order Date]]</f>
        <v>4</v>
      </c>
      <c r="N657">
        <f>WEEKNUM(orders[[#This Row],[Order Date]])</f>
        <v>5</v>
      </c>
      <c r="O657" t="str" cm="1">
        <f t="array" ref="O657">_xlfn.IFS(orders[[#This Row],[Customer Gender]]="M","Male", orders[[#This Row],[Customer Gender]]="F","Female", orders[[#This Row],[Customer Gender]]="O","Other", TRUE,"Unknown")</f>
        <v>Female</v>
      </c>
    </row>
    <row r="658" spans="1:15" x14ac:dyDescent="0.3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1">
        <v>45686</v>
      </c>
      <c r="G658" s="1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f>orders[[#This Row],[Ship Date]]-orders[[#This Row],[Order Date]]</f>
        <v>2</v>
      </c>
      <c r="N658">
        <f>WEEKNUM(orders[[#This Row],[Order Date]])</f>
        <v>5</v>
      </c>
      <c r="O658" t="str" cm="1">
        <f t="array" ref="O658">_xlfn.IFS(orders[[#This Row],[Customer Gender]]="M","Male", orders[[#This Row],[Customer Gender]]="F","Female", orders[[#This Row],[Customer Gender]]="O","Other", TRUE,"Unknown")</f>
        <v>Male</v>
      </c>
    </row>
    <row r="659" spans="1:15" x14ac:dyDescent="0.3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1">
        <v>45686</v>
      </c>
      <c r="G659" s="1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f>orders[[#This Row],[Ship Date]]-orders[[#This Row],[Order Date]]</f>
        <v>1</v>
      </c>
      <c r="N659">
        <f>WEEKNUM(orders[[#This Row],[Order Date]])</f>
        <v>5</v>
      </c>
      <c r="O659" t="str" cm="1">
        <f t="array" ref="O659">_xlfn.IFS(orders[[#This Row],[Customer Gender]]="M","Male", orders[[#This Row],[Customer Gender]]="F","Female", orders[[#This Row],[Customer Gender]]="O","Other", TRUE,"Unknown")</f>
        <v>Male</v>
      </c>
    </row>
    <row r="660" spans="1:15" x14ac:dyDescent="0.3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1">
        <v>45686</v>
      </c>
      <c r="G660" s="1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f>orders[[#This Row],[Ship Date]]-orders[[#This Row],[Order Date]]</f>
        <v>6</v>
      </c>
      <c r="N660">
        <f>WEEKNUM(orders[[#This Row],[Order Date]])</f>
        <v>5</v>
      </c>
      <c r="O660" t="str" cm="1">
        <f t="array" ref="O660">_xlfn.IFS(orders[[#This Row],[Customer Gender]]="M","Male", orders[[#This Row],[Customer Gender]]="F","Female", orders[[#This Row],[Customer Gender]]="O","Other", TRUE,"Unknown")</f>
        <v>Female</v>
      </c>
    </row>
    <row r="661" spans="1:15" x14ac:dyDescent="0.3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1">
        <v>45686</v>
      </c>
      <c r="G661" s="1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f>orders[[#This Row],[Ship Date]]-orders[[#This Row],[Order Date]]</f>
        <v>2</v>
      </c>
      <c r="N661">
        <f>WEEKNUM(orders[[#This Row],[Order Date]])</f>
        <v>5</v>
      </c>
      <c r="O661" t="str" cm="1">
        <f t="array" ref="O661">_xlfn.IFS(orders[[#This Row],[Customer Gender]]="M","Male", orders[[#This Row],[Customer Gender]]="F","Female", orders[[#This Row],[Customer Gender]]="O","Other", TRUE,"Unknown")</f>
        <v>Female</v>
      </c>
    </row>
    <row r="662" spans="1:15" x14ac:dyDescent="0.3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1">
        <v>45686</v>
      </c>
      <c r="G662" s="1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f>orders[[#This Row],[Ship Date]]-orders[[#This Row],[Order Date]]</f>
        <v>1</v>
      </c>
      <c r="N662">
        <f>WEEKNUM(orders[[#This Row],[Order Date]])</f>
        <v>5</v>
      </c>
      <c r="O662" t="str" cm="1">
        <f t="array" ref="O662">_xlfn.IFS(orders[[#This Row],[Customer Gender]]="M","Male", orders[[#This Row],[Customer Gender]]="F","Female", orders[[#This Row],[Customer Gender]]="O","Other", TRUE,"Unknown")</f>
        <v>Female</v>
      </c>
    </row>
    <row r="663" spans="1:15" x14ac:dyDescent="0.3">
      <c r="A663" t="s">
        <v>755</v>
      </c>
      <c r="B663" t="s">
        <v>54</v>
      </c>
      <c r="C663">
        <v>1</v>
      </c>
      <c r="D663">
        <v>26</v>
      </c>
      <c r="E663">
        <v>26</v>
      </c>
      <c r="F663" s="1">
        <v>45686</v>
      </c>
      <c r="G663" s="1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f>orders[[#This Row],[Ship Date]]-orders[[#This Row],[Order Date]]</f>
        <v>2</v>
      </c>
      <c r="N663">
        <f>WEEKNUM(orders[[#This Row],[Order Date]])</f>
        <v>5</v>
      </c>
      <c r="O663" t="str" cm="1">
        <f t="array" ref="O663">_xlfn.IFS(orders[[#This Row],[Customer Gender]]="M","Male", orders[[#This Row],[Customer Gender]]="F","Female", orders[[#This Row],[Customer Gender]]="O","Other", TRUE,"Unknown")</f>
        <v>Male</v>
      </c>
    </row>
    <row r="664" spans="1:15" x14ac:dyDescent="0.3">
      <c r="A664" t="s">
        <v>756</v>
      </c>
      <c r="B664" t="s">
        <v>26</v>
      </c>
      <c r="C664">
        <v>5</v>
      </c>
      <c r="D664">
        <v>94.4</v>
      </c>
      <c r="E664">
        <v>472</v>
      </c>
      <c r="F664" s="1">
        <v>45686</v>
      </c>
      <c r="G664" s="1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f>orders[[#This Row],[Ship Date]]-orders[[#This Row],[Order Date]]</f>
        <v>1</v>
      </c>
      <c r="N664">
        <f>WEEKNUM(orders[[#This Row],[Order Date]])</f>
        <v>5</v>
      </c>
      <c r="O664" t="str" cm="1">
        <f t="array" ref="O664">_xlfn.IFS(orders[[#This Row],[Customer Gender]]="M","Male", orders[[#This Row],[Customer Gender]]="F","Female", orders[[#This Row],[Customer Gender]]="O","Other", TRUE,"Unknown")</f>
        <v>Female</v>
      </c>
    </row>
    <row r="665" spans="1:15" x14ac:dyDescent="0.3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1">
        <v>45686</v>
      </c>
      <c r="G665" s="1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f>orders[[#This Row],[Ship Date]]-orders[[#This Row],[Order Date]]</f>
        <v>2</v>
      </c>
      <c r="N665">
        <f>WEEKNUM(orders[[#This Row],[Order Date]])</f>
        <v>5</v>
      </c>
      <c r="O665" t="str" cm="1">
        <f t="array" ref="O665">_xlfn.IFS(orders[[#This Row],[Customer Gender]]="M","Male", orders[[#This Row],[Customer Gender]]="F","Female", orders[[#This Row],[Customer Gender]]="O","Other", TRUE,"Unknown")</f>
        <v>Male</v>
      </c>
    </row>
    <row r="666" spans="1:15" x14ac:dyDescent="0.3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1">
        <v>45686</v>
      </c>
      <c r="G666" s="1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f>orders[[#This Row],[Ship Date]]-orders[[#This Row],[Order Date]]</f>
        <v>2</v>
      </c>
      <c r="N666">
        <f>WEEKNUM(orders[[#This Row],[Order Date]])</f>
        <v>5</v>
      </c>
      <c r="O666" t="str" cm="1">
        <f t="array" ref="O666">_xlfn.IFS(orders[[#This Row],[Customer Gender]]="M","Male", orders[[#This Row],[Customer Gender]]="F","Female", orders[[#This Row],[Customer Gender]]="O","Other", TRUE,"Unknown")</f>
        <v>Male</v>
      </c>
    </row>
    <row r="667" spans="1:15" x14ac:dyDescent="0.3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1">
        <v>45686</v>
      </c>
      <c r="G667" s="1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f>orders[[#This Row],[Ship Date]]-orders[[#This Row],[Order Date]]</f>
        <v>0</v>
      </c>
      <c r="N667">
        <f>WEEKNUM(orders[[#This Row],[Order Date]])</f>
        <v>5</v>
      </c>
      <c r="O667" t="str" cm="1">
        <f t="array" ref="O667">_xlfn.IFS(orders[[#This Row],[Customer Gender]]="M","Male", orders[[#This Row],[Customer Gender]]="F","Female", orders[[#This Row],[Customer Gender]]="O","Other", TRUE,"Unknown")</f>
        <v>Female</v>
      </c>
    </row>
    <row r="668" spans="1:15" x14ac:dyDescent="0.3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1">
        <v>45686</v>
      </c>
      <c r="G668" s="1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f>orders[[#This Row],[Ship Date]]-orders[[#This Row],[Order Date]]</f>
        <v>2</v>
      </c>
      <c r="N668">
        <f>WEEKNUM(orders[[#This Row],[Order Date]])</f>
        <v>5</v>
      </c>
      <c r="O668" t="str" cm="1">
        <f t="array" ref="O668">_xlfn.IFS(orders[[#This Row],[Customer Gender]]="M","Male", orders[[#This Row],[Customer Gender]]="F","Female", orders[[#This Row],[Customer Gender]]="O","Other", TRUE,"Unknown")</f>
        <v>Male</v>
      </c>
    </row>
    <row r="669" spans="1:15" x14ac:dyDescent="0.3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1">
        <v>45686</v>
      </c>
      <c r="G669" s="1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f>orders[[#This Row],[Ship Date]]-orders[[#This Row],[Order Date]]</f>
        <v>1</v>
      </c>
      <c r="N669">
        <f>WEEKNUM(orders[[#This Row],[Order Date]])</f>
        <v>5</v>
      </c>
      <c r="O669" t="str" cm="1">
        <f t="array" ref="O669">_xlfn.IFS(orders[[#This Row],[Customer Gender]]="M","Male", orders[[#This Row],[Customer Gender]]="F","Female", orders[[#This Row],[Customer Gender]]="O","Other", TRUE,"Unknown")</f>
        <v>Female</v>
      </c>
    </row>
    <row r="670" spans="1:15" x14ac:dyDescent="0.3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1">
        <v>45686</v>
      </c>
      <c r="G670" s="1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f>orders[[#This Row],[Ship Date]]-orders[[#This Row],[Order Date]]</f>
        <v>1</v>
      </c>
      <c r="N670">
        <f>WEEKNUM(orders[[#This Row],[Order Date]])</f>
        <v>5</v>
      </c>
      <c r="O670" t="str" cm="1">
        <f t="array" ref="O670">_xlfn.IFS(orders[[#This Row],[Customer Gender]]="M","Male", orders[[#This Row],[Customer Gender]]="F","Female", orders[[#This Row],[Customer Gender]]="O","Other", TRUE,"Unknown")</f>
        <v>Female</v>
      </c>
    </row>
    <row r="671" spans="1:15" x14ac:dyDescent="0.3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1">
        <v>45686</v>
      </c>
      <c r="G671" s="1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f>orders[[#This Row],[Ship Date]]-orders[[#This Row],[Order Date]]</f>
        <v>7</v>
      </c>
      <c r="N671">
        <f>WEEKNUM(orders[[#This Row],[Order Date]])</f>
        <v>5</v>
      </c>
      <c r="O671" t="str" cm="1">
        <f t="array" ref="O671">_xlfn.IFS(orders[[#This Row],[Customer Gender]]="M","Male", orders[[#This Row],[Customer Gender]]="F","Female", orders[[#This Row],[Customer Gender]]="O","Other", TRUE,"Unknown")</f>
        <v>Female</v>
      </c>
    </row>
    <row r="672" spans="1:15" x14ac:dyDescent="0.3">
      <c r="A672" t="s">
        <v>764</v>
      </c>
      <c r="B672" t="s">
        <v>69</v>
      </c>
      <c r="C672">
        <v>4</v>
      </c>
      <c r="D672">
        <v>38.5</v>
      </c>
      <c r="E672">
        <v>154</v>
      </c>
      <c r="F672" s="1">
        <v>45686</v>
      </c>
      <c r="G672" s="1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f>orders[[#This Row],[Ship Date]]-orders[[#This Row],[Order Date]]</f>
        <v>11</v>
      </c>
      <c r="N672">
        <f>WEEKNUM(orders[[#This Row],[Order Date]])</f>
        <v>5</v>
      </c>
      <c r="O672" t="str" cm="1">
        <f t="array" ref="O672">_xlfn.IFS(orders[[#This Row],[Customer Gender]]="M","Male", orders[[#This Row],[Customer Gender]]="F","Female", orders[[#This Row],[Customer Gender]]="O","Other", TRUE,"Unknown")</f>
        <v>Female</v>
      </c>
    </row>
    <row r="673" spans="1:15" x14ac:dyDescent="0.3">
      <c r="A673" t="s">
        <v>765</v>
      </c>
      <c r="B673" t="s">
        <v>42</v>
      </c>
      <c r="C673">
        <v>2</v>
      </c>
      <c r="D673">
        <v>105</v>
      </c>
      <c r="E673">
        <v>210</v>
      </c>
      <c r="F673" s="1">
        <v>45686</v>
      </c>
      <c r="G673" s="1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f>orders[[#This Row],[Ship Date]]-orders[[#This Row],[Order Date]]</f>
        <v>6</v>
      </c>
      <c r="N673">
        <f>WEEKNUM(orders[[#This Row],[Order Date]])</f>
        <v>5</v>
      </c>
      <c r="O673" t="str" cm="1">
        <f t="array" ref="O673">_xlfn.IFS(orders[[#This Row],[Customer Gender]]="M","Male", orders[[#This Row],[Customer Gender]]="F","Female", orders[[#This Row],[Customer Gender]]="O","Other", TRUE,"Unknown")</f>
        <v>Female</v>
      </c>
    </row>
    <row r="674" spans="1:15" x14ac:dyDescent="0.3">
      <c r="A674" t="s">
        <v>766</v>
      </c>
      <c r="B674" t="s">
        <v>44</v>
      </c>
      <c r="C674">
        <v>5</v>
      </c>
      <c r="D674">
        <v>45.2</v>
      </c>
      <c r="E674">
        <v>226</v>
      </c>
      <c r="F674" s="1">
        <v>45686</v>
      </c>
      <c r="G674" s="1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f>orders[[#This Row],[Ship Date]]-orders[[#This Row],[Order Date]]</f>
        <v>2</v>
      </c>
      <c r="N674">
        <f>WEEKNUM(orders[[#This Row],[Order Date]])</f>
        <v>5</v>
      </c>
      <c r="O674" t="str" cm="1">
        <f t="array" ref="O674">_xlfn.IFS(orders[[#This Row],[Customer Gender]]="M","Male", orders[[#This Row],[Customer Gender]]="F","Female", orders[[#This Row],[Customer Gender]]="O","Other", TRUE,"Unknown")</f>
        <v>Female</v>
      </c>
    </row>
    <row r="675" spans="1:15" x14ac:dyDescent="0.3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1">
        <v>45686</v>
      </c>
      <c r="G675" s="1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f>orders[[#This Row],[Ship Date]]-orders[[#This Row],[Order Date]]</f>
        <v>0</v>
      </c>
      <c r="N675">
        <f>WEEKNUM(orders[[#This Row],[Order Date]])</f>
        <v>5</v>
      </c>
      <c r="O675" t="str" cm="1">
        <f t="array" ref="O675">_xlfn.IFS(orders[[#This Row],[Customer Gender]]="M","Male", orders[[#This Row],[Customer Gender]]="F","Female", orders[[#This Row],[Customer Gender]]="O","Other", TRUE,"Unknown")</f>
        <v>Unknown</v>
      </c>
    </row>
    <row r="676" spans="1:15" x14ac:dyDescent="0.3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1">
        <v>45686</v>
      </c>
      <c r="G676" s="1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f>orders[[#This Row],[Ship Date]]-orders[[#This Row],[Order Date]]</f>
        <v>7</v>
      </c>
      <c r="N676">
        <f>WEEKNUM(orders[[#This Row],[Order Date]])</f>
        <v>5</v>
      </c>
      <c r="O676" t="str" cm="1">
        <f t="array" ref="O676">_xlfn.IFS(orders[[#This Row],[Customer Gender]]="M","Male", orders[[#This Row],[Customer Gender]]="F","Female", orders[[#This Row],[Customer Gender]]="O","Other", TRUE,"Unknown")</f>
        <v>Female</v>
      </c>
    </row>
    <row r="677" spans="1:15" x14ac:dyDescent="0.3">
      <c r="A677" t="s">
        <v>769</v>
      </c>
      <c r="B677" t="s">
        <v>22</v>
      </c>
      <c r="C677">
        <v>1</v>
      </c>
      <c r="D677">
        <v>75</v>
      </c>
      <c r="E677">
        <v>75</v>
      </c>
      <c r="F677" s="1">
        <v>45686</v>
      </c>
      <c r="G677" s="1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f>orders[[#This Row],[Ship Date]]-orders[[#This Row],[Order Date]]</f>
        <v>2</v>
      </c>
      <c r="N677">
        <f>WEEKNUM(orders[[#This Row],[Order Date]])</f>
        <v>5</v>
      </c>
      <c r="O677" t="str" cm="1">
        <f t="array" ref="O677">_xlfn.IFS(orders[[#This Row],[Customer Gender]]="M","Male", orders[[#This Row],[Customer Gender]]="F","Female", orders[[#This Row],[Customer Gender]]="O","Other", TRUE,"Unknown")</f>
        <v>Female</v>
      </c>
    </row>
    <row r="678" spans="1:15" x14ac:dyDescent="0.3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1">
        <v>45686</v>
      </c>
      <c r="G678" s="1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f>orders[[#This Row],[Ship Date]]-orders[[#This Row],[Order Date]]</f>
        <v>1</v>
      </c>
      <c r="N678">
        <f>WEEKNUM(orders[[#This Row],[Order Date]])</f>
        <v>5</v>
      </c>
      <c r="O678" t="str" cm="1">
        <f t="array" ref="O678">_xlfn.IFS(orders[[#This Row],[Customer Gender]]="M","Male", orders[[#This Row],[Customer Gender]]="F","Female", orders[[#This Row],[Customer Gender]]="O","Other", TRUE,"Unknown")</f>
        <v>Male</v>
      </c>
    </row>
    <row r="679" spans="1:15" x14ac:dyDescent="0.3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1">
        <v>45686</v>
      </c>
      <c r="G679" s="1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f>orders[[#This Row],[Ship Date]]-orders[[#This Row],[Order Date]]</f>
        <v>2</v>
      </c>
      <c r="N679">
        <f>WEEKNUM(orders[[#This Row],[Order Date]])</f>
        <v>5</v>
      </c>
      <c r="O679" t="str" cm="1">
        <f t="array" ref="O679">_xlfn.IFS(orders[[#This Row],[Customer Gender]]="M","Male", orders[[#This Row],[Customer Gender]]="F","Female", orders[[#This Row],[Customer Gender]]="O","Other", TRUE,"Unknown")</f>
        <v>Female</v>
      </c>
    </row>
    <row r="680" spans="1:15" x14ac:dyDescent="0.3">
      <c r="A680" t="s">
        <v>772</v>
      </c>
      <c r="B680" t="s">
        <v>16</v>
      </c>
      <c r="C680">
        <v>1</v>
      </c>
      <c r="D680">
        <v>20</v>
      </c>
      <c r="E680">
        <v>20</v>
      </c>
      <c r="F680" s="1">
        <v>45687</v>
      </c>
      <c r="G680" s="1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f>orders[[#This Row],[Ship Date]]-orders[[#This Row],[Order Date]]</f>
        <v>3</v>
      </c>
      <c r="N680">
        <f>WEEKNUM(orders[[#This Row],[Order Date]])</f>
        <v>5</v>
      </c>
      <c r="O680" t="str" cm="1">
        <f t="array" ref="O680">_xlfn.IFS(orders[[#This Row],[Customer Gender]]="M","Male", orders[[#This Row],[Customer Gender]]="F","Female", orders[[#This Row],[Customer Gender]]="O","Other", TRUE,"Unknown")</f>
        <v>Female</v>
      </c>
    </row>
    <row r="681" spans="1:15" x14ac:dyDescent="0.3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1">
        <v>45687</v>
      </c>
      <c r="G681" s="1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f>orders[[#This Row],[Ship Date]]-orders[[#This Row],[Order Date]]</f>
        <v>2</v>
      </c>
      <c r="N681">
        <f>WEEKNUM(orders[[#This Row],[Order Date]])</f>
        <v>5</v>
      </c>
      <c r="O681" t="str" cm="1">
        <f t="array" ref="O681">_xlfn.IFS(orders[[#This Row],[Customer Gender]]="M","Male", orders[[#This Row],[Customer Gender]]="F","Female", orders[[#This Row],[Customer Gender]]="O","Other", TRUE,"Unknown")</f>
        <v>Female</v>
      </c>
    </row>
    <row r="682" spans="1:15" x14ac:dyDescent="0.3">
      <c r="A682" t="s">
        <v>774</v>
      </c>
      <c r="B682" t="s">
        <v>54</v>
      </c>
      <c r="C682">
        <v>4</v>
      </c>
      <c r="D682">
        <v>58</v>
      </c>
      <c r="E682">
        <v>232</v>
      </c>
      <c r="F682" s="1">
        <v>45687</v>
      </c>
      <c r="G682" s="1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f>orders[[#This Row],[Ship Date]]-orders[[#This Row],[Order Date]]</f>
        <v>4</v>
      </c>
      <c r="N682">
        <f>WEEKNUM(orders[[#This Row],[Order Date]])</f>
        <v>5</v>
      </c>
      <c r="O682" t="str" cm="1">
        <f t="array" ref="O682">_xlfn.IFS(orders[[#This Row],[Customer Gender]]="M","Male", orders[[#This Row],[Customer Gender]]="F","Female", orders[[#This Row],[Customer Gender]]="O","Other", TRUE,"Unknown")</f>
        <v>Female</v>
      </c>
    </row>
    <row r="683" spans="1:15" x14ac:dyDescent="0.3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1">
        <v>45687</v>
      </c>
      <c r="G683" s="1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f>orders[[#This Row],[Ship Date]]-orders[[#This Row],[Order Date]]</f>
        <v>1</v>
      </c>
      <c r="N683">
        <f>WEEKNUM(orders[[#This Row],[Order Date]])</f>
        <v>5</v>
      </c>
      <c r="O683" t="str" cm="1">
        <f t="array" ref="O683">_xlfn.IFS(orders[[#This Row],[Customer Gender]]="M","Male", orders[[#This Row],[Customer Gender]]="F","Female", orders[[#This Row],[Customer Gender]]="O","Other", TRUE,"Unknown")</f>
        <v>Female</v>
      </c>
    </row>
    <row r="684" spans="1:15" x14ac:dyDescent="0.3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1">
        <v>45687</v>
      </c>
      <c r="G684" s="1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f>orders[[#This Row],[Ship Date]]-orders[[#This Row],[Order Date]]</f>
        <v>2</v>
      </c>
      <c r="N684">
        <f>WEEKNUM(orders[[#This Row],[Order Date]])</f>
        <v>5</v>
      </c>
      <c r="O684" t="str" cm="1">
        <f t="array" ref="O684">_xlfn.IFS(orders[[#This Row],[Customer Gender]]="M","Male", orders[[#This Row],[Customer Gender]]="F","Female", orders[[#This Row],[Customer Gender]]="O","Other", TRUE,"Unknown")</f>
        <v>Male</v>
      </c>
    </row>
    <row r="685" spans="1:15" x14ac:dyDescent="0.3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1">
        <v>45687</v>
      </c>
      <c r="G685" s="1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f>orders[[#This Row],[Ship Date]]-orders[[#This Row],[Order Date]]</f>
        <v>0</v>
      </c>
      <c r="N685">
        <f>WEEKNUM(orders[[#This Row],[Order Date]])</f>
        <v>5</v>
      </c>
      <c r="O685" t="str" cm="1">
        <f t="array" ref="O685">_xlfn.IFS(orders[[#This Row],[Customer Gender]]="M","Male", orders[[#This Row],[Customer Gender]]="F","Female", orders[[#This Row],[Customer Gender]]="O","Other", TRUE,"Unknown")</f>
        <v>Male</v>
      </c>
    </row>
    <row r="686" spans="1:15" x14ac:dyDescent="0.3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1">
        <v>45687</v>
      </c>
      <c r="G686" s="1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f>orders[[#This Row],[Ship Date]]-orders[[#This Row],[Order Date]]</f>
        <v>1</v>
      </c>
      <c r="N686">
        <f>WEEKNUM(orders[[#This Row],[Order Date]])</f>
        <v>5</v>
      </c>
      <c r="O686" t="str" cm="1">
        <f t="array" ref="O686">_xlfn.IFS(orders[[#This Row],[Customer Gender]]="M","Male", orders[[#This Row],[Customer Gender]]="F","Female", orders[[#This Row],[Customer Gender]]="O","Other", TRUE,"Unknown")</f>
        <v>Male</v>
      </c>
    </row>
    <row r="687" spans="1:15" x14ac:dyDescent="0.3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1">
        <v>45687</v>
      </c>
      <c r="G687" s="1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f>orders[[#This Row],[Ship Date]]-orders[[#This Row],[Order Date]]</f>
        <v>1</v>
      </c>
      <c r="N687">
        <f>WEEKNUM(orders[[#This Row],[Order Date]])</f>
        <v>5</v>
      </c>
      <c r="O687" t="str" cm="1">
        <f t="array" ref="O687">_xlfn.IFS(orders[[#This Row],[Customer Gender]]="M","Male", orders[[#This Row],[Customer Gender]]="F","Female", orders[[#This Row],[Customer Gender]]="O","Other", TRUE,"Unknown")</f>
        <v>Female</v>
      </c>
    </row>
    <row r="688" spans="1:15" x14ac:dyDescent="0.3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1">
        <v>45687</v>
      </c>
      <c r="G688" s="1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f>orders[[#This Row],[Ship Date]]-orders[[#This Row],[Order Date]]</f>
        <v>1</v>
      </c>
      <c r="N688">
        <f>WEEKNUM(orders[[#This Row],[Order Date]])</f>
        <v>5</v>
      </c>
      <c r="O688" t="str" cm="1">
        <f t="array" ref="O688">_xlfn.IFS(orders[[#This Row],[Customer Gender]]="M","Male", orders[[#This Row],[Customer Gender]]="F","Female", orders[[#This Row],[Customer Gender]]="O","Other", TRUE,"Unknown")</f>
        <v>Female</v>
      </c>
    </row>
    <row r="689" spans="1:15" x14ac:dyDescent="0.3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1">
        <v>45687</v>
      </c>
      <c r="G689" s="1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f>orders[[#This Row],[Ship Date]]-orders[[#This Row],[Order Date]]</f>
        <v>3</v>
      </c>
      <c r="N689">
        <f>WEEKNUM(orders[[#This Row],[Order Date]])</f>
        <v>5</v>
      </c>
      <c r="O689" t="str" cm="1">
        <f t="array" ref="O689">_xlfn.IFS(orders[[#This Row],[Customer Gender]]="M","Male", orders[[#This Row],[Customer Gender]]="F","Female", orders[[#This Row],[Customer Gender]]="O","Other", TRUE,"Unknown")</f>
        <v>Female</v>
      </c>
    </row>
    <row r="690" spans="1:15" x14ac:dyDescent="0.3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1">
        <v>45687</v>
      </c>
      <c r="G690" s="1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f>orders[[#This Row],[Ship Date]]-orders[[#This Row],[Order Date]]</f>
        <v>1</v>
      </c>
      <c r="N690">
        <f>WEEKNUM(orders[[#This Row],[Order Date]])</f>
        <v>5</v>
      </c>
      <c r="O690" t="str" cm="1">
        <f t="array" ref="O690">_xlfn.IFS(orders[[#This Row],[Customer Gender]]="M","Male", orders[[#This Row],[Customer Gender]]="F","Female", orders[[#This Row],[Customer Gender]]="O","Other", TRUE,"Unknown")</f>
        <v>Female</v>
      </c>
    </row>
    <row r="691" spans="1:15" x14ac:dyDescent="0.3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1">
        <v>45687</v>
      </c>
      <c r="G691" s="1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f>orders[[#This Row],[Ship Date]]-orders[[#This Row],[Order Date]]</f>
        <v>1</v>
      </c>
      <c r="N691">
        <f>WEEKNUM(orders[[#This Row],[Order Date]])</f>
        <v>5</v>
      </c>
      <c r="O691" t="str" cm="1">
        <f t="array" ref="O691">_xlfn.IFS(orders[[#This Row],[Customer Gender]]="M","Male", orders[[#This Row],[Customer Gender]]="F","Female", orders[[#This Row],[Customer Gender]]="O","Other", TRUE,"Unknown")</f>
        <v>Unknown</v>
      </c>
    </row>
    <row r="692" spans="1:15" x14ac:dyDescent="0.3">
      <c r="A692" t="s">
        <v>784</v>
      </c>
      <c r="B692" t="s">
        <v>54</v>
      </c>
      <c r="C692">
        <v>4</v>
      </c>
      <c r="D692">
        <v>31.5</v>
      </c>
      <c r="E692">
        <v>126</v>
      </c>
      <c r="F692" s="1">
        <v>45687</v>
      </c>
      <c r="G692" s="1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f>orders[[#This Row],[Ship Date]]-orders[[#This Row],[Order Date]]</f>
        <v>2</v>
      </c>
      <c r="N692">
        <f>WEEKNUM(orders[[#This Row],[Order Date]])</f>
        <v>5</v>
      </c>
      <c r="O692" t="str" cm="1">
        <f t="array" ref="O692">_xlfn.IFS(orders[[#This Row],[Customer Gender]]="M","Male", orders[[#This Row],[Customer Gender]]="F","Female", orders[[#This Row],[Customer Gender]]="O","Other", TRUE,"Unknown")</f>
        <v>Male</v>
      </c>
    </row>
    <row r="693" spans="1:15" x14ac:dyDescent="0.3">
      <c r="A693" t="s">
        <v>785</v>
      </c>
      <c r="B693" t="s">
        <v>54</v>
      </c>
      <c r="C693">
        <v>1</v>
      </c>
      <c r="D693">
        <v>27</v>
      </c>
      <c r="E693">
        <v>27</v>
      </c>
      <c r="F693" s="1">
        <v>45687</v>
      </c>
      <c r="G693" s="1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f>orders[[#This Row],[Ship Date]]-orders[[#This Row],[Order Date]]</f>
        <v>2</v>
      </c>
      <c r="N693">
        <f>WEEKNUM(orders[[#This Row],[Order Date]])</f>
        <v>5</v>
      </c>
      <c r="O693" t="str" cm="1">
        <f t="array" ref="O693">_xlfn.IFS(orders[[#This Row],[Customer Gender]]="M","Male", orders[[#This Row],[Customer Gender]]="F","Female", orders[[#This Row],[Customer Gender]]="O","Other", TRUE,"Unknown")</f>
        <v>Female</v>
      </c>
    </row>
    <row r="694" spans="1:15" x14ac:dyDescent="0.3">
      <c r="A694" t="s">
        <v>786</v>
      </c>
      <c r="B694" t="s">
        <v>32</v>
      </c>
      <c r="C694">
        <v>1</v>
      </c>
      <c r="D694">
        <v>32</v>
      </c>
      <c r="E694">
        <v>32</v>
      </c>
      <c r="F694" s="1">
        <v>45687</v>
      </c>
      <c r="G694" s="1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f>orders[[#This Row],[Ship Date]]-orders[[#This Row],[Order Date]]</f>
        <v>3</v>
      </c>
      <c r="N694">
        <f>WEEKNUM(orders[[#This Row],[Order Date]])</f>
        <v>5</v>
      </c>
      <c r="O694" t="str" cm="1">
        <f t="array" ref="O694">_xlfn.IFS(orders[[#This Row],[Customer Gender]]="M","Male", orders[[#This Row],[Customer Gender]]="F","Female", orders[[#This Row],[Customer Gender]]="O","Other", TRUE,"Unknown")</f>
        <v>Male</v>
      </c>
    </row>
    <row r="695" spans="1:15" x14ac:dyDescent="0.3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1">
        <v>45687</v>
      </c>
      <c r="G695" s="1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f>orders[[#This Row],[Ship Date]]-orders[[#This Row],[Order Date]]</f>
        <v>2</v>
      </c>
      <c r="N695">
        <f>WEEKNUM(orders[[#This Row],[Order Date]])</f>
        <v>5</v>
      </c>
      <c r="O695" t="str" cm="1">
        <f t="array" ref="O695">_xlfn.IFS(orders[[#This Row],[Customer Gender]]="M","Male", orders[[#This Row],[Customer Gender]]="F","Female", orders[[#This Row],[Customer Gender]]="O","Other", TRUE,"Unknown")</f>
        <v>Male</v>
      </c>
    </row>
    <row r="696" spans="1:15" x14ac:dyDescent="0.3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1">
        <v>45687</v>
      </c>
      <c r="G696" s="1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f>orders[[#This Row],[Ship Date]]-orders[[#This Row],[Order Date]]</f>
        <v>1</v>
      </c>
      <c r="N696">
        <f>WEEKNUM(orders[[#This Row],[Order Date]])</f>
        <v>5</v>
      </c>
      <c r="O696" t="str" cm="1">
        <f t="array" ref="O696">_xlfn.IFS(orders[[#This Row],[Customer Gender]]="M","Male", orders[[#This Row],[Customer Gender]]="F","Female", orders[[#This Row],[Customer Gender]]="O","Other", TRUE,"Unknown")</f>
        <v>Male</v>
      </c>
    </row>
    <row r="697" spans="1:15" x14ac:dyDescent="0.3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1">
        <v>45687</v>
      </c>
      <c r="G697" s="1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f>orders[[#This Row],[Ship Date]]-orders[[#This Row],[Order Date]]</f>
        <v>3</v>
      </c>
      <c r="N697">
        <f>WEEKNUM(orders[[#This Row],[Order Date]])</f>
        <v>5</v>
      </c>
      <c r="O697" t="str" cm="1">
        <f t="array" ref="O697">_xlfn.IFS(orders[[#This Row],[Customer Gender]]="M","Male", orders[[#This Row],[Customer Gender]]="F","Female", orders[[#This Row],[Customer Gender]]="O","Other", TRUE,"Unknown")</f>
        <v>Female</v>
      </c>
    </row>
    <row r="698" spans="1:15" x14ac:dyDescent="0.3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1">
        <v>45687</v>
      </c>
      <c r="G698" s="1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f>orders[[#This Row],[Ship Date]]-orders[[#This Row],[Order Date]]</f>
        <v>1</v>
      </c>
      <c r="N698">
        <f>WEEKNUM(orders[[#This Row],[Order Date]])</f>
        <v>5</v>
      </c>
      <c r="O698" t="str" cm="1">
        <f t="array" ref="O698">_xlfn.IFS(orders[[#This Row],[Customer Gender]]="M","Male", orders[[#This Row],[Customer Gender]]="F","Female", orders[[#This Row],[Customer Gender]]="O","Other", TRUE,"Unknown")</f>
        <v>Female</v>
      </c>
    </row>
    <row r="699" spans="1:15" x14ac:dyDescent="0.3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1">
        <v>45687</v>
      </c>
      <c r="G699" s="1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f>orders[[#This Row],[Ship Date]]-orders[[#This Row],[Order Date]]</f>
        <v>1</v>
      </c>
      <c r="N699">
        <f>WEEKNUM(orders[[#This Row],[Order Date]])</f>
        <v>5</v>
      </c>
      <c r="O699" t="str" cm="1">
        <f t="array" ref="O699">_xlfn.IFS(orders[[#This Row],[Customer Gender]]="M","Male", orders[[#This Row],[Customer Gender]]="F","Female", orders[[#This Row],[Customer Gender]]="O","Other", TRUE,"Unknown")</f>
        <v>Male</v>
      </c>
    </row>
    <row r="700" spans="1:15" x14ac:dyDescent="0.3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1">
        <v>45687</v>
      </c>
      <c r="G700" s="1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f>orders[[#This Row],[Ship Date]]-orders[[#This Row],[Order Date]]</f>
        <v>2</v>
      </c>
      <c r="N700">
        <f>WEEKNUM(orders[[#This Row],[Order Date]])</f>
        <v>5</v>
      </c>
      <c r="O700" t="str" cm="1">
        <f t="array" ref="O700">_xlfn.IFS(orders[[#This Row],[Customer Gender]]="M","Male", orders[[#This Row],[Customer Gender]]="F","Female", orders[[#This Row],[Customer Gender]]="O","Other", TRUE,"Unknown")</f>
        <v>Unknown</v>
      </c>
    </row>
    <row r="701" spans="1:15" x14ac:dyDescent="0.3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1">
        <v>45687</v>
      </c>
      <c r="G701" s="1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f>orders[[#This Row],[Ship Date]]-orders[[#This Row],[Order Date]]</f>
        <v>1</v>
      </c>
      <c r="N701">
        <f>WEEKNUM(orders[[#This Row],[Order Date]])</f>
        <v>5</v>
      </c>
      <c r="O701" t="str" cm="1">
        <f t="array" ref="O701">_xlfn.IFS(orders[[#This Row],[Customer Gender]]="M","Male", orders[[#This Row],[Customer Gender]]="F","Female", orders[[#This Row],[Customer Gender]]="O","Other", TRUE,"Unknown")</f>
        <v>Male</v>
      </c>
    </row>
    <row r="702" spans="1:15" x14ac:dyDescent="0.3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1">
        <v>45687</v>
      </c>
      <c r="G702" s="1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f>orders[[#This Row],[Ship Date]]-orders[[#This Row],[Order Date]]</f>
        <v>2</v>
      </c>
      <c r="N702">
        <f>WEEKNUM(orders[[#This Row],[Order Date]])</f>
        <v>5</v>
      </c>
      <c r="O702" t="str" cm="1">
        <f t="array" ref="O702">_xlfn.IFS(orders[[#This Row],[Customer Gender]]="M","Male", orders[[#This Row],[Customer Gender]]="F","Female", orders[[#This Row],[Customer Gender]]="O","Other", TRUE,"Unknown")</f>
        <v>Female</v>
      </c>
    </row>
    <row r="703" spans="1:15" x14ac:dyDescent="0.3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1">
        <v>45687</v>
      </c>
      <c r="G703" s="1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f>orders[[#This Row],[Ship Date]]-orders[[#This Row],[Order Date]]</f>
        <v>1</v>
      </c>
      <c r="N703">
        <f>WEEKNUM(orders[[#This Row],[Order Date]])</f>
        <v>5</v>
      </c>
      <c r="O703" t="str" cm="1">
        <f t="array" ref="O703">_xlfn.IFS(orders[[#This Row],[Customer Gender]]="M","Male", orders[[#This Row],[Customer Gender]]="F","Female", orders[[#This Row],[Customer Gender]]="O","Other", TRUE,"Unknown")</f>
        <v>Male</v>
      </c>
    </row>
    <row r="704" spans="1:15" x14ac:dyDescent="0.3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1">
        <v>45687</v>
      </c>
      <c r="G704" s="1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f>orders[[#This Row],[Ship Date]]-orders[[#This Row],[Order Date]]</f>
        <v>0</v>
      </c>
      <c r="N704">
        <f>WEEKNUM(orders[[#This Row],[Order Date]])</f>
        <v>5</v>
      </c>
      <c r="O704" t="str" cm="1">
        <f t="array" ref="O704">_xlfn.IFS(orders[[#This Row],[Customer Gender]]="M","Male", orders[[#This Row],[Customer Gender]]="F","Female", orders[[#This Row],[Customer Gender]]="O","Other", TRUE,"Unknown")</f>
        <v>Male</v>
      </c>
    </row>
    <row r="705" spans="1:15" x14ac:dyDescent="0.3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1">
        <v>45687</v>
      </c>
      <c r="G705" s="1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f>orders[[#This Row],[Ship Date]]-orders[[#This Row],[Order Date]]</f>
        <v>4</v>
      </c>
      <c r="N705">
        <f>WEEKNUM(orders[[#This Row],[Order Date]])</f>
        <v>5</v>
      </c>
      <c r="O705" t="str" cm="1">
        <f t="array" ref="O705">_xlfn.IFS(orders[[#This Row],[Customer Gender]]="M","Male", orders[[#This Row],[Customer Gender]]="F","Female", orders[[#This Row],[Customer Gender]]="O","Other", TRUE,"Unknown")</f>
        <v>Male</v>
      </c>
    </row>
    <row r="706" spans="1:15" x14ac:dyDescent="0.3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1">
        <v>45687</v>
      </c>
      <c r="G706" s="1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f>orders[[#This Row],[Ship Date]]-orders[[#This Row],[Order Date]]</f>
        <v>1</v>
      </c>
      <c r="N706">
        <f>WEEKNUM(orders[[#This Row],[Order Date]])</f>
        <v>5</v>
      </c>
      <c r="O706" t="str" cm="1">
        <f t="array" ref="O706">_xlfn.IFS(orders[[#This Row],[Customer Gender]]="M","Male", orders[[#This Row],[Customer Gender]]="F","Female", orders[[#This Row],[Customer Gender]]="O","Other", TRUE,"Unknown")</f>
        <v>Male</v>
      </c>
    </row>
    <row r="707" spans="1:15" x14ac:dyDescent="0.3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1">
        <v>45687</v>
      </c>
      <c r="G707" s="1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f>orders[[#This Row],[Ship Date]]-orders[[#This Row],[Order Date]]</f>
        <v>1</v>
      </c>
      <c r="N707">
        <f>WEEKNUM(orders[[#This Row],[Order Date]])</f>
        <v>5</v>
      </c>
      <c r="O707" t="str" cm="1">
        <f t="array" ref="O707">_xlfn.IFS(orders[[#This Row],[Customer Gender]]="M","Male", orders[[#This Row],[Customer Gender]]="F","Female", orders[[#This Row],[Customer Gender]]="O","Other", TRUE,"Unknown")</f>
        <v>Female</v>
      </c>
    </row>
    <row r="708" spans="1:15" x14ac:dyDescent="0.3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1">
        <v>45687</v>
      </c>
      <c r="G708" s="1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f>orders[[#This Row],[Ship Date]]-orders[[#This Row],[Order Date]]</f>
        <v>2</v>
      </c>
      <c r="N708">
        <f>WEEKNUM(orders[[#This Row],[Order Date]])</f>
        <v>5</v>
      </c>
      <c r="O708" t="str" cm="1">
        <f t="array" ref="O708">_xlfn.IFS(orders[[#This Row],[Customer Gender]]="M","Male", orders[[#This Row],[Customer Gender]]="F","Female", orders[[#This Row],[Customer Gender]]="O","Other", TRUE,"Unknown")</f>
        <v>Male</v>
      </c>
    </row>
    <row r="709" spans="1:15" x14ac:dyDescent="0.3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1">
        <v>45688</v>
      </c>
      <c r="G709" s="1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f>orders[[#This Row],[Ship Date]]-orders[[#This Row],[Order Date]]</f>
        <v>5</v>
      </c>
      <c r="N709">
        <f>WEEKNUM(orders[[#This Row],[Order Date]])</f>
        <v>5</v>
      </c>
      <c r="O709" t="str" cm="1">
        <f t="array" ref="O709">_xlfn.IFS(orders[[#This Row],[Customer Gender]]="M","Male", orders[[#This Row],[Customer Gender]]="F","Female", orders[[#This Row],[Customer Gender]]="O","Other", TRUE,"Unknown")</f>
        <v>Male</v>
      </c>
    </row>
    <row r="710" spans="1:15" x14ac:dyDescent="0.3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1">
        <v>45688</v>
      </c>
      <c r="G710" s="1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f>orders[[#This Row],[Ship Date]]-orders[[#This Row],[Order Date]]</f>
        <v>4</v>
      </c>
      <c r="N710">
        <f>WEEKNUM(orders[[#This Row],[Order Date]])</f>
        <v>5</v>
      </c>
      <c r="O710" t="str" cm="1">
        <f t="array" ref="O710">_xlfn.IFS(orders[[#This Row],[Customer Gender]]="M","Male", orders[[#This Row],[Customer Gender]]="F","Female", orders[[#This Row],[Customer Gender]]="O","Other", TRUE,"Unknown")</f>
        <v>Male</v>
      </c>
    </row>
    <row r="711" spans="1:15" x14ac:dyDescent="0.3">
      <c r="A711" t="s">
        <v>804</v>
      </c>
      <c r="B711" t="s">
        <v>44</v>
      </c>
      <c r="C711">
        <v>5</v>
      </c>
      <c r="D711">
        <v>30</v>
      </c>
      <c r="E711">
        <v>150</v>
      </c>
      <c r="F711" s="1">
        <v>45688</v>
      </c>
      <c r="G711" s="1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f>orders[[#This Row],[Ship Date]]-orders[[#This Row],[Order Date]]</f>
        <v>2</v>
      </c>
      <c r="N711">
        <f>WEEKNUM(orders[[#This Row],[Order Date]])</f>
        <v>5</v>
      </c>
      <c r="O711" t="str" cm="1">
        <f t="array" ref="O711">_xlfn.IFS(orders[[#This Row],[Customer Gender]]="M","Male", orders[[#This Row],[Customer Gender]]="F","Female", orders[[#This Row],[Customer Gender]]="O","Other", TRUE,"Unknown")</f>
        <v>Male</v>
      </c>
    </row>
    <row r="712" spans="1:15" x14ac:dyDescent="0.3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1">
        <v>45688</v>
      </c>
      <c r="G712" s="1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f>orders[[#This Row],[Ship Date]]-orders[[#This Row],[Order Date]]</f>
        <v>2</v>
      </c>
      <c r="N712">
        <f>WEEKNUM(orders[[#This Row],[Order Date]])</f>
        <v>5</v>
      </c>
      <c r="O712" t="str" cm="1">
        <f t="array" ref="O712">_xlfn.IFS(orders[[#This Row],[Customer Gender]]="M","Male", orders[[#This Row],[Customer Gender]]="F","Female", orders[[#This Row],[Customer Gender]]="O","Other", TRUE,"Unknown")</f>
        <v>Unknown</v>
      </c>
    </row>
    <row r="713" spans="1:15" x14ac:dyDescent="0.3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1">
        <v>45688</v>
      </c>
      <c r="G713" s="1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f>orders[[#This Row],[Ship Date]]-orders[[#This Row],[Order Date]]</f>
        <v>1</v>
      </c>
      <c r="N713">
        <f>WEEKNUM(orders[[#This Row],[Order Date]])</f>
        <v>5</v>
      </c>
      <c r="O713" t="str" cm="1">
        <f t="array" ref="O713">_xlfn.IFS(orders[[#This Row],[Customer Gender]]="M","Male", orders[[#This Row],[Customer Gender]]="F","Female", orders[[#This Row],[Customer Gender]]="O","Other", TRUE,"Unknown")</f>
        <v>Female</v>
      </c>
    </row>
    <row r="714" spans="1:15" x14ac:dyDescent="0.3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1">
        <v>45688</v>
      </c>
      <c r="G714" s="1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f>orders[[#This Row],[Ship Date]]-orders[[#This Row],[Order Date]]</f>
        <v>4</v>
      </c>
      <c r="N714">
        <f>WEEKNUM(orders[[#This Row],[Order Date]])</f>
        <v>5</v>
      </c>
      <c r="O714" t="str" cm="1">
        <f t="array" ref="O714">_xlfn.IFS(orders[[#This Row],[Customer Gender]]="M","Male", orders[[#This Row],[Customer Gender]]="F","Female", orders[[#This Row],[Customer Gender]]="O","Other", TRUE,"Unknown")</f>
        <v>Male</v>
      </c>
    </row>
    <row r="715" spans="1:15" x14ac:dyDescent="0.3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1">
        <v>45688</v>
      </c>
      <c r="G715" s="1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f>orders[[#This Row],[Ship Date]]-orders[[#This Row],[Order Date]]</f>
        <v>3</v>
      </c>
      <c r="N715">
        <f>WEEKNUM(orders[[#This Row],[Order Date]])</f>
        <v>5</v>
      </c>
      <c r="O715" t="str" cm="1">
        <f t="array" ref="O715">_xlfn.IFS(orders[[#This Row],[Customer Gender]]="M","Male", orders[[#This Row],[Customer Gender]]="F","Female", orders[[#This Row],[Customer Gender]]="O","Other", TRUE,"Unknown")</f>
        <v>Female</v>
      </c>
    </row>
    <row r="716" spans="1:15" x14ac:dyDescent="0.3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1">
        <v>45688</v>
      </c>
      <c r="G716" s="1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f>orders[[#This Row],[Ship Date]]-orders[[#This Row],[Order Date]]</f>
        <v>1</v>
      </c>
      <c r="N716">
        <f>WEEKNUM(orders[[#This Row],[Order Date]])</f>
        <v>5</v>
      </c>
      <c r="O716" t="str" cm="1">
        <f t="array" ref="O716">_xlfn.IFS(orders[[#This Row],[Customer Gender]]="M","Male", orders[[#This Row],[Customer Gender]]="F","Female", orders[[#This Row],[Customer Gender]]="O","Other", TRUE,"Unknown")</f>
        <v>Male</v>
      </c>
    </row>
    <row r="717" spans="1:15" x14ac:dyDescent="0.3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1">
        <v>45688</v>
      </c>
      <c r="G717" s="1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f>orders[[#This Row],[Ship Date]]-orders[[#This Row],[Order Date]]</f>
        <v>1</v>
      </c>
      <c r="N717">
        <f>WEEKNUM(orders[[#This Row],[Order Date]])</f>
        <v>5</v>
      </c>
      <c r="O717" t="str" cm="1">
        <f t="array" ref="O717">_xlfn.IFS(orders[[#This Row],[Customer Gender]]="M","Male", orders[[#This Row],[Customer Gender]]="F","Female", orders[[#This Row],[Customer Gender]]="O","Other", TRUE,"Unknown")</f>
        <v>Male</v>
      </c>
    </row>
    <row r="718" spans="1:15" x14ac:dyDescent="0.3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1">
        <v>45688</v>
      </c>
      <c r="G718" s="1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f>orders[[#This Row],[Ship Date]]-orders[[#This Row],[Order Date]]</f>
        <v>1</v>
      </c>
      <c r="N718">
        <f>WEEKNUM(orders[[#This Row],[Order Date]])</f>
        <v>5</v>
      </c>
      <c r="O718" t="str" cm="1">
        <f t="array" ref="O718">_xlfn.IFS(orders[[#This Row],[Customer Gender]]="M","Male", orders[[#This Row],[Customer Gender]]="F","Female", orders[[#This Row],[Customer Gender]]="O","Other", TRUE,"Unknown")</f>
        <v>Female</v>
      </c>
    </row>
    <row r="719" spans="1:15" x14ac:dyDescent="0.3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1">
        <v>45688</v>
      </c>
      <c r="G719" s="1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f>orders[[#This Row],[Ship Date]]-orders[[#This Row],[Order Date]]</f>
        <v>0</v>
      </c>
      <c r="N719">
        <f>WEEKNUM(orders[[#This Row],[Order Date]])</f>
        <v>5</v>
      </c>
      <c r="O719" t="str" cm="1">
        <f t="array" ref="O719">_xlfn.IFS(orders[[#This Row],[Customer Gender]]="M","Male", orders[[#This Row],[Customer Gender]]="F","Female", orders[[#This Row],[Customer Gender]]="O","Other", TRUE,"Unknown")</f>
        <v>Male</v>
      </c>
    </row>
    <row r="720" spans="1:15" x14ac:dyDescent="0.3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1">
        <v>45688</v>
      </c>
      <c r="G720" s="1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f>orders[[#This Row],[Ship Date]]-orders[[#This Row],[Order Date]]</f>
        <v>0</v>
      </c>
      <c r="N720">
        <f>WEEKNUM(orders[[#This Row],[Order Date]])</f>
        <v>5</v>
      </c>
      <c r="O720" t="str" cm="1">
        <f t="array" ref="O720">_xlfn.IFS(orders[[#This Row],[Customer Gender]]="M","Male", orders[[#This Row],[Customer Gender]]="F","Female", orders[[#This Row],[Customer Gender]]="O","Other", TRUE,"Unknown")</f>
        <v>Female</v>
      </c>
    </row>
    <row r="721" spans="1:15" x14ac:dyDescent="0.3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1">
        <v>45688</v>
      </c>
      <c r="G721" s="1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f>orders[[#This Row],[Ship Date]]-orders[[#This Row],[Order Date]]</f>
        <v>1</v>
      </c>
      <c r="N721">
        <f>WEEKNUM(orders[[#This Row],[Order Date]])</f>
        <v>5</v>
      </c>
      <c r="O721" t="str" cm="1">
        <f t="array" ref="O721">_xlfn.IFS(orders[[#This Row],[Customer Gender]]="M","Male", orders[[#This Row],[Customer Gender]]="F","Female", orders[[#This Row],[Customer Gender]]="O","Other", TRUE,"Unknown")</f>
        <v>Male</v>
      </c>
    </row>
    <row r="722" spans="1:15" x14ac:dyDescent="0.3">
      <c r="A722" t="s">
        <v>815</v>
      </c>
      <c r="B722" t="s">
        <v>44</v>
      </c>
      <c r="C722">
        <v>4</v>
      </c>
      <c r="D722">
        <v>22.5</v>
      </c>
      <c r="E722">
        <v>90</v>
      </c>
      <c r="F722" s="1">
        <v>45688</v>
      </c>
      <c r="G722" s="1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f>orders[[#This Row],[Ship Date]]-orders[[#This Row],[Order Date]]</f>
        <v>0</v>
      </c>
      <c r="N722">
        <f>WEEKNUM(orders[[#This Row],[Order Date]])</f>
        <v>5</v>
      </c>
      <c r="O722" t="str" cm="1">
        <f t="array" ref="O722">_xlfn.IFS(orders[[#This Row],[Customer Gender]]="M","Male", orders[[#This Row],[Customer Gender]]="F","Female", orders[[#This Row],[Customer Gender]]="O","Other", TRUE,"Unknown")</f>
        <v>Male</v>
      </c>
    </row>
    <row r="723" spans="1:15" x14ac:dyDescent="0.3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1">
        <v>45688</v>
      </c>
      <c r="G723" s="1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f>orders[[#This Row],[Ship Date]]-orders[[#This Row],[Order Date]]</f>
        <v>1</v>
      </c>
      <c r="N723">
        <f>WEEKNUM(orders[[#This Row],[Order Date]])</f>
        <v>5</v>
      </c>
      <c r="O723" t="str" cm="1">
        <f t="array" ref="O723">_xlfn.IFS(orders[[#This Row],[Customer Gender]]="M","Male", orders[[#This Row],[Customer Gender]]="F","Female", orders[[#This Row],[Customer Gender]]="O","Other", TRUE,"Unknown")</f>
        <v>Female</v>
      </c>
    </row>
    <row r="724" spans="1:15" x14ac:dyDescent="0.3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1">
        <v>45688</v>
      </c>
      <c r="G724" s="1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f>orders[[#This Row],[Ship Date]]-orders[[#This Row],[Order Date]]</f>
        <v>3</v>
      </c>
      <c r="N724">
        <f>WEEKNUM(orders[[#This Row],[Order Date]])</f>
        <v>5</v>
      </c>
      <c r="O724" t="str" cm="1">
        <f t="array" ref="O724">_xlfn.IFS(orders[[#This Row],[Customer Gender]]="M","Male", orders[[#This Row],[Customer Gender]]="F","Female", orders[[#This Row],[Customer Gender]]="O","Other", TRUE,"Unknown")</f>
        <v>Male</v>
      </c>
    </row>
    <row r="725" spans="1:15" x14ac:dyDescent="0.3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1">
        <v>45688</v>
      </c>
      <c r="G725" s="1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f>orders[[#This Row],[Ship Date]]-orders[[#This Row],[Order Date]]</f>
        <v>3</v>
      </c>
      <c r="N725">
        <f>WEEKNUM(orders[[#This Row],[Order Date]])</f>
        <v>5</v>
      </c>
      <c r="O725" t="str" cm="1">
        <f t="array" ref="O725">_xlfn.IFS(orders[[#This Row],[Customer Gender]]="M","Male", orders[[#This Row],[Customer Gender]]="F","Female", orders[[#This Row],[Customer Gender]]="O","Other", TRUE,"Unknown")</f>
        <v>Male</v>
      </c>
    </row>
    <row r="726" spans="1:15" x14ac:dyDescent="0.3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1">
        <v>45688</v>
      </c>
      <c r="G726" s="1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f>orders[[#This Row],[Ship Date]]-orders[[#This Row],[Order Date]]</f>
        <v>0</v>
      </c>
      <c r="N726">
        <f>WEEKNUM(orders[[#This Row],[Order Date]])</f>
        <v>5</v>
      </c>
      <c r="O726" t="str" cm="1">
        <f t="array" ref="O726">_xlfn.IFS(orders[[#This Row],[Customer Gender]]="M","Male", orders[[#This Row],[Customer Gender]]="F","Female", orders[[#This Row],[Customer Gender]]="O","Other", TRUE,"Unknown")</f>
        <v>Male</v>
      </c>
    </row>
    <row r="727" spans="1:15" x14ac:dyDescent="0.3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1">
        <v>45688</v>
      </c>
      <c r="G727" s="1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f>orders[[#This Row],[Ship Date]]-orders[[#This Row],[Order Date]]</f>
        <v>2</v>
      </c>
      <c r="N727">
        <f>WEEKNUM(orders[[#This Row],[Order Date]])</f>
        <v>5</v>
      </c>
      <c r="O727" t="str" cm="1">
        <f t="array" ref="O727">_xlfn.IFS(orders[[#This Row],[Customer Gender]]="M","Male", orders[[#This Row],[Customer Gender]]="F","Female", orders[[#This Row],[Customer Gender]]="O","Other", TRUE,"Unknown")</f>
        <v>Female</v>
      </c>
    </row>
    <row r="728" spans="1:15" x14ac:dyDescent="0.3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1">
        <v>45688</v>
      </c>
      <c r="G728" s="1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f>orders[[#This Row],[Ship Date]]-orders[[#This Row],[Order Date]]</f>
        <v>2</v>
      </c>
      <c r="N728">
        <f>WEEKNUM(orders[[#This Row],[Order Date]])</f>
        <v>5</v>
      </c>
      <c r="O728" t="str" cm="1">
        <f t="array" ref="O728">_xlfn.IFS(orders[[#This Row],[Customer Gender]]="M","Male", orders[[#This Row],[Customer Gender]]="F","Female", orders[[#This Row],[Customer Gender]]="O","Other", TRUE,"Unknown")</f>
        <v>Other</v>
      </c>
    </row>
    <row r="729" spans="1:15" x14ac:dyDescent="0.3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1">
        <v>45688</v>
      </c>
      <c r="G729" s="1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f>orders[[#This Row],[Ship Date]]-orders[[#This Row],[Order Date]]</f>
        <v>2</v>
      </c>
      <c r="N729">
        <f>WEEKNUM(orders[[#This Row],[Order Date]])</f>
        <v>5</v>
      </c>
      <c r="O729" t="str" cm="1">
        <f t="array" ref="O729">_xlfn.IFS(orders[[#This Row],[Customer Gender]]="M","Male", orders[[#This Row],[Customer Gender]]="F","Female", orders[[#This Row],[Customer Gender]]="O","Other", TRUE,"Unknown")</f>
        <v>Female</v>
      </c>
    </row>
    <row r="730" spans="1:15" x14ac:dyDescent="0.3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1">
        <v>45688</v>
      </c>
      <c r="G730" s="1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f>orders[[#This Row],[Ship Date]]-orders[[#This Row],[Order Date]]</f>
        <v>1</v>
      </c>
      <c r="N730">
        <f>WEEKNUM(orders[[#This Row],[Order Date]])</f>
        <v>5</v>
      </c>
      <c r="O730" t="str" cm="1">
        <f t="array" ref="O730">_xlfn.IFS(orders[[#This Row],[Customer Gender]]="M","Male", orders[[#This Row],[Customer Gender]]="F","Female", orders[[#This Row],[Customer Gender]]="O","Other", TRUE,"Unknown")</f>
        <v>Female</v>
      </c>
    </row>
    <row r="731" spans="1:15" x14ac:dyDescent="0.3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1">
        <v>45688</v>
      </c>
      <c r="G731" s="1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f>orders[[#This Row],[Ship Date]]-orders[[#This Row],[Order Date]]</f>
        <v>2</v>
      </c>
      <c r="N731">
        <f>WEEKNUM(orders[[#This Row],[Order Date]])</f>
        <v>5</v>
      </c>
      <c r="O731" t="str" cm="1">
        <f t="array" ref="O731">_xlfn.IFS(orders[[#This Row],[Customer Gender]]="M","Male", orders[[#This Row],[Customer Gender]]="F","Female", orders[[#This Row],[Customer Gender]]="O","Other", TRUE,"Unknown")</f>
        <v>Female</v>
      </c>
    </row>
    <row r="732" spans="1:15" x14ac:dyDescent="0.3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1">
        <v>45689</v>
      </c>
      <c r="G732" s="1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f>orders[[#This Row],[Ship Date]]-orders[[#This Row],[Order Date]]</f>
        <v>3</v>
      </c>
      <c r="N732">
        <f>WEEKNUM(orders[[#This Row],[Order Date]])</f>
        <v>5</v>
      </c>
      <c r="O732" t="str" cm="1">
        <f t="array" ref="O732">_xlfn.IFS(orders[[#This Row],[Customer Gender]]="M","Male", orders[[#This Row],[Customer Gender]]="F","Female", orders[[#This Row],[Customer Gender]]="O","Other", TRUE,"Unknown")</f>
        <v>Female</v>
      </c>
    </row>
    <row r="733" spans="1:15" x14ac:dyDescent="0.3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1">
        <v>45689</v>
      </c>
      <c r="G733" s="1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f>orders[[#This Row],[Ship Date]]-orders[[#This Row],[Order Date]]</f>
        <v>1</v>
      </c>
      <c r="N733">
        <f>WEEKNUM(orders[[#This Row],[Order Date]])</f>
        <v>5</v>
      </c>
      <c r="O733" t="str" cm="1">
        <f t="array" ref="O733">_xlfn.IFS(orders[[#This Row],[Customer Gender]]="M","Male", orders[[#This Row],[Customer Gender]]="F","Female", orders[[#This Row],[Customer Gender]]="O","Other", TRUE,"Unknown")</f>
        <v>Other</v>
      </c>
    </row>
    <row r="734" spans="1:15" x14ac:dyDescent="0.3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1">
        <v>45689</v>
      </c>
      <c r="G734" s="1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f>orders[[#This Row],[Ship Date]]-orders[[#This Row],[Order Date]]</f>
        <v>3</v>
      </c>
      <c r="N734">
        <f>WEEKNUM(orders[[#This Row],[Order Date]])</f>
        <v>5</v>
      </c>
      <c r="O734" t="str" cm="1">
        <f t="array" ref="O734">_xlfn.IFS(orders[[#This Row],[Customer Gender]]="M","Male", orders[[#This Row],[Customer Gender]]="F","Female", orders[[#This Row],[Customer Gender]]="O","Other", TRUE,"Unknown")</f>
        <v>Female</v>
      </c>
    </row>
    <row r="735" spans="1:15" x14ac:dyDescent="0.3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1">
        <v>45689</v>
      </c>
      <c r="G735" s="1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f>orders[[#This Row],[Ship Date]]-orders[[#This Row],[Order Date]]</f>
        <v>0</v>
      </c>
      <c r="N735">
        <f>WEEKNUM(orders[[#This Row],[Order Date]])</f>
        <v>5</v>
      </c>
      <c r="O735" t="str" cm="1">
        <f t="array" ref="O735">_xlfn.IFS(orders[[#This Row],[Customer Gender]]="M","Male", orders[[#This Row],[Customer Gender]]="F","Female", orders[[#This Row],[Customer Gender]]="O","Other", TRUE,"Unknown")</f>
        <v>Female</v>
      </c>
    </row>
    <row r="736" spans="1:15" x14ac:dyDescent="0.3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1">
        <v>45689</v>
      </c>
      <c r="G736" s="1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f>orders[[#This Row],[Ship Date]]-orders[[#This Row],[Order Date]]</f>
        <v>1</v>
      </c>
      <c r="N736">
        <f>WEEKNUM(orders[[#This Row],[Order Date]])</f>
        <v>5</v>
      </c>
      <c r="O736" t="str" cm="1">
        <f t="array" ref="O736">_xlfn.IFS(orders[[#This Row],[Customer Gender]]="M","Male", orders[[#This Row],[Customer Gender]]="F","Female", orders[[#This Row],[Customer Gender]]="O","Other", TRUE,"Unknown")</f>
        <v>Female</v>
      </c>
    </row>
    <row r="737" spans="1:15" x14ac:dyDescent="0.3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1">
        <v>45689</v>
      </c>
      <c r="G737" s="1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f>orders[[#This Row],[Ship Date]]-orders[[#This Row],[Order Date]]</f>
        <v>3</v>
      </c>
      <c r="N737">
        <f>WEEKNUM(orders[[#This Row],[Order Date]])</f>
        <v>5</v>
      </c>
      <c r="O737" t="str" cm="1">
        <f t="array" ref="O737">_xlfn.IFS(orders[[#This Row],[Customer Gender]]="M","Male", orders[[#This Row],[Customer Gender]]="F","Female", orders[[#This Row],[Customer Gender]]="O","Other", TRUE,"Unknown")</f>
        <v>Unknown</v>
      </c>
    </row>
    <row r="738" spans="1:15" x14ac:dyDescent="0.3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1">
        <v>45689</v>
      </c>
      <c r="G738" s="1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f>orders[[#This Row],[Ship Date]]-orders[[#This Row],[Order Date]]</f>
        <v>0</v>
      </c>
      <c r="N738">
        <f>WEEKNUM(orders[[#This Row],[Order Date]])</f>
        <v>5</v>
      </c>
      <c r="O738" t="str" cm="1">
        <f t="array" ref="O738">_xlfn.IFS(orders[[#This Row],[Customer Gender]]="M","Male", orders[[#This Row],[Customer Gender]]="F","Female", orders[[#This Row],[Customer Gender]]="O","Other", TRUE,"Unknown")</f>
        <v>Female</v>
      </c>
    </row>
    <row r="739" spans="1:15" x14ac:dyDescent="0.3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1">
        <v>45689</v>
      </c>
      <c r="G739" s="1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f>orders[[#This Row],[Ship Date]]-orders[[#This Row],[Order Date]]</f>
        <v>1</v>
      </c>
      <c r="N739">
        <f>WEEKNUM(orders[[#This Row],[Order Date]])</f>
        <v>5</v>
      </c>
      <c r="O739" t="str" cm="1">
        <f t="array" ref="O739">_xlfn.IFS(orders[[#This Row],[Customer Gender]]="M","Male", orders[[#This Row],[Customer Gender]]="F","Female", orders[[#This Row],[Customer Gender]]="O","Other", TRUE,"Unknown")</f>
        <v>Unknown</v>
      </c>
    </row>
    <row r="740" spans="1:15" x14ac:dyDescent="0.3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1">
        <v>45689</v>
      </c>
      <c r="G740" s="1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f>orders[[#This Row],[Ship Date]]-orders[[#This Row],[Order Date]]</f>
        <v>1</v>
      </c>
      <c r="N740">
        <f>WEEKNUM(orders[[#This Row],[Order Date]])</f>
        <v>5</v>
      </c>
      <c r="O740" t="str" cm="1">
        <f t="array" ref="O740">_xlfn.IFS(orders[[#This Row],[Customer Gender]]="M","Male", orders[[#This Row],[Customer Gender]]="F","Female", orders[[#This Row],[Customer Gender]]="O","Other", TRUE,"Unknown")</f>
        <v>Female</v>
      </c>
    </row>
    <row r="741" spans="1:15" x14ac:dyDescent="0.3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1">
        <v>45689</v>
      </c>
      <c r="G741" s="1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f>orders[[#This Row],[Ship Date]]-orders[[#This Row],[Order Date]]</f>
        <v>3</v>
      </c>
      <c r="N741">
        <f>WEEKNUM(orders[[#This Row],[Order Date]])</f>
        <v>5</v>
      </c>
      <c r="O741" t="str" cm="1">
        <f t="array" ref="O741">_xlfn.IFS(orders[[#This Row],[Customer Gender]]="M","Male", orders[[#This Row],[Customer Gender]]="F","Female", orders[[#This Row],[Customer Gender]]="O","Other", TRUE,"Unknown")</f>
        <v>Female</v>
      </c>
    </row>
    <row r="742" spans="1:15" x14ac:dyDescent="0.3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1">
        <v>45689</v>
      </c>
      <c r="G742" s="1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f>orders[[#This Row],[Ship Date]]-orders[[#This Row],[Order Date]]</f>
        <v>4</v>
      </c>
      <c r="N742">
        <f>WEEKNUM(orders[[#This Row],[Order Date]])</f>
        <v>5</v>
      </c>
      <c r="O742" t="str" cm="1">
        <f t="array" ref="O742">_xlfn.IFS(orders[[#This Row],[Customer Gender]]="M","Male", orders[[#This Row],[Customer Gender]]="F","Female", orders[[#This Row],[Customer Gender]]="O","Other", TRUE,"Unknown")</f>
        <v>Female</v>
      </c>
    </row>
    <row r="743" spans="1:15" x14ac:dyDescent="0.3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1">
        <v>45689</v>
      </c>
      <c r="G743" s="1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f>orders[[#This Row],[Ship Date]]-orders[[#This Row],[Order Date]]</f>
        <v>1</v>
      </c>
      <c r="N743">
        <f>WEEKNUM(orders[[#This Row],[Order Date]])</f>
        <v>5</v>
      </c>
      <c r="O743" t="str" cm="1">
        <f t="array" ref="O743">_xlfn.IFS(orders[[#This Row],[Customer Gender]]="M","Male", orders[[#This Row],[Customer Gender]]="F","Female", orders[[#This Row],[Customer Gender]]="O","Other", TRUE,"Unknown")</f>
        <v>Male</v>
      </c>
    </row>
    <row r="744" spans="1:15" x14ac:dyDescent="0.3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1">
        <v>45689</v>
      </c>
      <c r="G744" s="1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f>orders[[#This Row],[Ship Date]]-orders[[#This Row],[Order Date]]</f>
        <v>1</v>
      </c>
      <c r="N744">
        <f>WEEKNUM(orders[[#This Row],[Order Date]])</f>
        <v>5</v>
      </c>
      <c r="O744" t="str" cm="1">
        <f t="array" ref="O744">_xlfn.IFS(orders[[#This Row],[Customer Gender]]="M","Male", orders[[#This Row],[Customer Gender]]="F","Female", orders[[#This Row],[Customer Gender]]="O","Other", TRUE,"Unknown")</f>
        <v>Female</v>
      </c>
    </row>
    <row r="745" spans="1:15" x14ac:dyDescent="0.3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1">
        <v>45689</v>
      </c>
      <c r="G745" s="1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f>orders[[#This Row],[Ship Date]]-orders[[#This Row],[Order Date]]</f>
        <v>1</v>
      </c>
      <c r="N745">
        <f>WEEKNUM(orders[[#This Row],[Order Date]])</f>
        <v>5</v>
      </c>
      <c r="O745" t="str" cm="1">
        <f t="array" ref="O745">_xlfn.IFS(orders[[#This Row],[Customer Gender]]="M","Male", orders[[#This Row],[Customer Gender]]="F","Female", orders[[#This Row],[Customer Gender]]="O","Other", TRUE,"Unknown")</f>
        <v>Unknown</v>
      </c>
    </row>
    <row r="746" spans="1:15" x14ac:dyDescent="0.3">
      <c r="A746" t="s">
        <v>839</v>
      </c>
      <c r="B746" t="s">
        <v>32</v>
      </c>
      <c r="C746">
        <v>5</v>
      </c>
      <c r="D746">
        <v>46.8</v>
      </c>
      <c r="E746">
        <v>234</v>
      </c>
      <c r="F746" s="1">
        <v>45690</v>
      </c>
      <c r="G746" s="1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f>orders[[#This Row],[Ship Date]]-orders[[#This Row],[Order Date]]</f>
        <v>8</v>
      </c>
      <c r="N746">
        <f>WEEKNUM(orders[[#This Row],[Order Date]])</f>
        <v>6</v>
      </c>
      <c r="O746" t="str" cm="1">
        <f t="array" ref="O746">_xlfn.IFS(orders[[#This Row],[Customer Gender]]="M","Male", orders[[#This Row],[Customer Gender]]="F","Female", orders[[#This Row],[Customer Gender]]="O","Other", TRUE,"Unknown")</f>
        <v>Female</v>
      </c>
    </row>
    <row r="747" spans="1:15" x14ac:dyDescent="0.3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1">
        <v>45690</v>
      </c>
      <c r="G747" s="1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f>orders[[#This Row],[Ship Date]]-orders[[#This Row],[Order Date]]</f>
        <v>2</v>
      </c>
      <c r="N747">
        <f>WEEKNUM(orders[[#This Row],[Order Date]])</f>
        <v>6</v>
      </c>
      <c r="O747" t="str" cm="1">
        <f t="array" ref="O747">_xlfn.IFS(orders[[#This Row],[Customer Gender]]="M","Male", orders[[#This Row],[Customer Gender]]="F","Female", orders[[#This Row],[Customer Gender]]="O","Other", TRUE,"Unknown")</f>
        <v>Female</v>
      </c>
    </row>
    <row r="748" spans="1:15" x14ac:dyDescent="0.3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1">
        <v>45690</v>
      </c>
      <c r="G748" s="1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f>orders[[#This Row],[Ship Date]]-orders[[#This Row],[Order Date]]</f>
        <v>4</v>
      </c>
      <c r="N748">
        <f>WEEKNUM(orders[[#This Row],[Order Date]])</f>
        <v>6</v>
      </c>
      <c r="O748" t="str" cm="1">
        <f t="array" ref="O748">_xlfn.IFS(orders[[#This Row],[Customer Gender]]="M","Male", orders[[#This Row],[Customer Gender]]="F","Female", orders[[#This Row],[Customer Gender]]="O","Other", TRUE,"Unknown")</f>
        <v>Male</v>
      </c>
    </row>
    <row r="749" spans="1:15" x14ac:dyDescent="0.3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1">
        <v>45690</v>
      </c>
      <c r="G749" s="1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f>orders[[#This Row],[Ship Date]]-orders[[#This Row],[Order Date]]</f>
        <v>3</v>
      </c>
      <c r="N749">
        <f>WEEKNUM(orders[[#This Row],[Order Date]])</f>
        <v>6</v>
      </c>
      <c r="O749" t="str" cm="1">
        <f t="array" ref="O749">_xlfn.IFS(orders[[#This Row],[Customer Gender]]="M","Male", orders[[#This Row],[Customer Gender]]="F","Female", orders[[#This Row],[Customer Gender]]="O","Other", TRUE,"Unknown")</f>
        <v>Female</v>
      </c>
    </row>
    <row r="750" spans="1:15" x14ac:dyDescent="0.3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1">
        <v>45690</v>
      </c>
      <c r="G750" s="1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f>orders[[#This Row],[Ship Date]]-orders[[#This Row],[Order Date]]</f>
        <v>2</v>
      </c>
      <c r="N750">
        <f>WEEKNUM(orders[[#This Row],[Order Date]])</f>
        <v>6</v>
      </c>
      <c r="O750" t="str" cm="1">
        <f t="array" ref="O750">_xlfn.IFS(orders[[#This Row],[Customer Gender]]="M","Male", orders[[#This Row],[Customer Gender]]="F","Female", orders[[#This Row],[Customer Gender]]="O","Other", TRUE,"Unknown")</f>
        <v>Male</v>
      </c>
    </row>
    <row r="751" spans="1:15" x14ac:dyDescent="0.3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1">
        <v>45690</v>
      </c>
      <c r="G751" s="1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f>orders[[#This Row],[Ship Date]]-orders[[#This Row],[Order Date]]</f>
        <v>1</v>
      </c>
      <c r="N751">
        <f>WEEKNUM(orders[[#This Row],[Order Date]])</f>
        <v>6</v>
      </c>
      <c r="O751" t="str" cm="1">
        <f t="array" ref="O751">_xlfn.IFS(orders[[#This Row],[Customer Gender]]="M","Male", orders[[#This Row],[Customer Gender]]="F","Female", orders[[#This Row],[Customer Gender]]="O","Other", TRUE,"Unknown")</f>
        <v>Unknown</v>
      </c>
    </row>
    <row r="752" spans="1:15" x14ac:dyDescent="0.3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1">
        <v>45690</v>
      </c>
      <c r="G752" s="1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f>orders[[#This Row],[Ship Date]]-orders[[#This Row],[Order Date]]</f>
        <v>2</v>
      </c>
      <c r="N752">
        <f>WEEKNUM(orders[[#This Row],[Order Date]])</f>
        <v>6</v>
      </c>
      <c r="O752" t="str" cm="1">
        <f t="array" ref="O752">_xlfn.IFS(orders[[#This Row],[Customer Gender]]="M","Male", orders[[#This Row],[Customer Gender]]="F","Female", orders[[#This Row],[Customer Gender]]="O","Other", TRUE,"Unknown")</f>
        <v>Male</v>
      </c>
    </row>
    <row r="753" spans="1:15" x14ac:dyDescent="0.3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1">
        <v>45690</v>
      </c>
      <c r="G753" s="1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f>orders[[#This Row],[Ship Date]]-orders[[#This Row],[Order Date]]</f>
        <v>6</v>
      </c>
      <c r="N753">
        <f>WEEKNUM(orders[[#This Row],[Order Date]])</f>
        <v>6</v>
      </c>
      <c r="O753" t="str" cm="1">
        <f t="array" ref="O753">_xlfn.IFS(orders[[#This Row],[Customer Gender]]="M","Male", orders[[#This Row],[Customer Gender]]="F","Female", orders[[#This Row],[Customer Gender]]="O","Other", TRUE,"Unknown")</f>
        <v>Female</v>
      </c>
    </row>
    <row r="754" spans="1:15" x14ac:dyDescent="0.3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1">
        <v>45690</v>
      </c>
      <c r="G754" s="1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f>orders[[#This Row],[Ship Date]]-orders[[#This Row],[Order Date]]</f>
        <v>3</v>
      </c>
      <c r="N754">
        <f>WEEKNUM(orders[[#This Row],[Order Date]])</f>
        <v>6</v>
      </c>
      <c r="O754" t="str" cm="1">
        <f t="array" ref="O754">_xlfn.IFS(orders[[#This Row],[Customer Gender]]="M","Male", orders[[#This Row],[Customer Gender]]="F","Female", orders[[#This Row],[Customer Gender]]="O","Other", TRUE,"Unknown")</f>
        <v>Male</v>
      </c>
    </row>
    <row r="755" spans="1:15" x14ac:dyDescent="0.3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1">
        <v>45690</v>
      </c>
      <c r="G755" s="1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f>orders[[#This Row],[Ship Date]]-orders[[#This Row],[Order Date]]</f>
        <v>1</v>
      </c>
      <c r="N755">
        <f>WEEKNUM(orders[[#This Row],[Order Date]])</f>
        <v>6</v>
      </c>
      <c r="O755" t="str" cm="1">
        <f t="array" ref="O755">_xlfn.IFS(orders[[#This Row],[Customer Gender]]="M","Male", orders[[#This Row],[Customer Gender]]="F","Female", orders[[#This Row],[Customer Gender]]="O","Other", TRUE,"Unknown")</f>
        <v>Male</v>
      </c>
    </row>
    <row r="756" spans="1:15" x14ac:dyDescent="0.3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1">
        <v>45690</v>
      </c>
      <c r="G756" s="1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f>orders[[#This Row],[Ship Date]]-orders[[#This Row],[Order Date]]</f>
        <v>1</v>
      </c>
      <c r="N756">
        <f>WEEKNUM(orders[[#This Row],[Order Date]])</f>
        <v>6</v>
      </c>
      <c r="O756" t="str" cm="1">
        <f t="array" ref="O756">_xlfn.IFS(orders[[#This Row],[Customer Gender]]="M","Male", orders[[#This Row],[Customer Gender]]="F","Female", orders[[#This Row],[Customer Gender]]="O","Other", TRUE,"Unknown")</f>
        <v>Female</v>
      </c>
    </row>
    <row r="757" spans="1:15" x14ac:dyDescent="0.3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1">
        <v>45690</v>
      </c>
      <c r="G757" s="1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f>orders[[#This Row],[Ship Date]]-orders[[#This Row],[Order Date]]</f>
        <v>2</v>
      </c>
      <c r="N757">
        <f>WEEKNUM(orders[[#This Row],[Order Date]])</f>
        <v>6</v>
      </c>
      <c r="O757" t="str" cm="1">
        <f t="array" ref="O757">_xlfn.IFS(orders[[#This Row],[Customer Gender]]="M","Male", orders[[#This Row],[Customer Gender]]="F","Female", orders[[#This Row],[Customer Gender]]="O","Other", TRUE,"Unknown")</f>
        <v>Male</v>
      </c>
    </row>
    <row r="758" spans="1:15" x14ac:dyDescent="0.3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1">
        <v>45690</v>
      </c>
      <c r="G758" s="1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f>orders[[#This Row],[Ship Date]]-orders[[#This Row],[Order Date]]</f>
        <v>1</v>
      </c>
      <c r="N758">
        <f>WEEKNUM(orders[[#This Row],[Order Date]])</f>
        <v>6</v>
      </c>
      <c r="O758" t="str" cm="1">
        <f t="array" ref="O758">_xlfn.IFS(orders[[#This Row],[Customer Gender]]="M","Male", orders[[#This Row],[Customer Gender]]="F","Female", orders[[#This Row],[Customer Gender]]="O","Other", TRUE,"Unknown")</f>
        <v>Female</v>
      </c>
    </row>
    <row r="759" spans="1:15" x14ac:dyDescent="0.3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1">
        <v>45690</v>
      </c>
      <c r="G759" s="1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f>orders[[#This Row],[Ship Date]]-orders[[#This Row],[Order Date]]</f>
        <v>3</v>
      </c>
      <c r="N759">
        <f>WEEKNUM(orders[[#This Row],[Order Date]])</f>
        <v>6</v>
      </c>
      <c r="O759" t="str" cm="1">
        <f t="array" ref="O759">_xlfn.IFS(orders[[#This Row],[Customer Gender]]="M","Male", orders[[#This Row],[Customer Gender]]="F","Female", orders[[#This Row],[Customer Gender]]="O","Other", TRUE,"Unknown")</f>
        <v>Female</v>
      </c>
    </row>
    <row r="760" spans="1:15" x14ac:dyDescent="0.3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1">
        <v>45690</v>
      </c>
      <c r="G760" s="1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f>orders[[#This Row],[Ship Date]]-orders[[#This Row],[Order Date]]</f>
        <v>5</v>
      </c>
      <c r="N760">
        <f>WEEKNUM(orders[[#This Row],[Order Date]])</f>
        <v>6</v>
      </c>
      <c r="O760" t="str" cm="1">
        <f t="array" ref="O760">_xlfn.IFS(orders[[#This Row],[Customer Gender]]="M","Male", orders[[#This Row],[Customer Gender]]="F","Female", orders[[#This Row],[Customer Gender]]="O","Other", TRUE,"Unknown")</f>
        <v>Female</v>
      </c>
    </row>
    <row r="761" spans="1:15" x14ac:dyDescent="0.3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1">
        <v>45690</v>
      </c>
      <c r="G761" s="1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f>orders[[#This Row],[Ship Date]]-orders[[#This Row],[Order Date]]</f>
        <v>4</v>
      </c>
      <c r="N761">
        <f>WEEKNUM(orders[[#This Row],[Order Date]])</f>
        <v>6</v>
      </c>
      <c r="O761" t="str" cm="1">
        <f t="array" ref="O761">_xlfn.IFS(orders[[#This Row],[Customer Gender]]="M","Male", orders[[#This Row],[Customer Gender]]="F","Female", orders[[#This Row],[Customer Gender]]="O","Other", TRUE,"Unknown")</f>
        <v>Male</v>
      </c>
    </row>
    <row r="762" spans="1:15" x14ac:dyDescent="0.3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1">
        <v>45690</v>
      </c>
      <c r="G762" s="1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f>orders[[#This Row],[Ship Date]]-orders[[#This Row],[Order Date]]</f>
        <v>2</v>
      </c>
      <c r="N762">
        <f>WEEKNUM(orders[[#This Row],[Order Date]])</f>
        <v>6</v>
      </c>
      <c r="O762" t="str" cm="1">
        <f t="array" ref="O762">_xlfn.IFS(orders[[#This Row],[Customer Gender]]="M","Male", orders[[#This Row],[Customer Gender]]="F","Female", orders[[#This Row],[Customer Gender]]="O","Other", TRUE,"Unknown")</f>
        <v>Female</v>
      </c>
    </row>
    <row r="763" spans="1:15" x14ac:dyDescent="0.3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1">
        <v>45690</v>
      </c>
      <c r="G763" s="1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f>orders[[#This Row],[Ship Date]]-orders[[#This Row],[Order Date]]</f>
        <v>4</v>
      </c>
      <c r="N763">
        <f>WEEKNUM(orders[[#This Row],[Order Date]])</f>
        <v>6</v>
      </c>
      <c r="O763" t="str" cm="1">
        <f t="array" ref="O763">_xlfn.IFS(orders[[#This Row],[Customer Gender]]="M","Male", orders[[#This Row],[Customer Gender]]="F","Female", orders[[#This Row],[Customer Gender]]="O","Other", TRUE,"Unknown")</f>
        <v>Male</v>
      </c>
    </row>
    <row r="764" spans="1:15" x14ac:dyDescent="0.3">
      <c r="A764" t="s">
        <v>857</v>
      </c>
      <c r="B764" t="s">
        <v>32</v>
      </c>
      <c r="C764">
        <v>8</v>
      </c>
      <c r="D764">
        <v>28.5</v>
      </c>
      <c r="E764">
        <v>228</v>
      </c>
      <c r="F764" s="1">
        <v>45690</v>
      </c>
      <c r="G764" s="1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f>orders[[#This Row],[Ship Date]]-orders[[#This Row],[Order Date]]</f>
        <v>2</v>
      </c>
      <c r="N764">
        <f>WEEKNUM(orders[[#This Row],[Order Date]])</f>
        <v>6</v>
      </c>
      <c r="O764" t="str" cm="1">
        <f t="array" ref="O764">_xlfn.IFS(orders[[#This Row],[Customer Gender]]="M","Male", orders[[#This Row],[Customer Gender]]="F","Female", orders[[#This Row],[Customer Gender]]="O","Other", TRUE,"Unknown")</f>
        <v>Male</v>
      </c>
    </row>
    <row r="765" spans="1:15" x14ac:dyDescent="0.3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1">
        <v>45690</v>
      </c>
      <c r="G765" s="1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f>orders[[#This Row],[Ship Date]]-orders[[#This Row],[Order Date]]</f>
        <v>3</v>
      </c>
      <c r="N765">
        <f>WEEKNUM(orders[[#This Row],[Order Date]])</f>
        <v>6</v>
      </c>
      <c r="O765" t="str" cm="1">
        <f t="array" ref="O765">_xlfn.IFS(orders[[#This Row],[Customer Gender]]="M","Male", orders[[#This Row],[Customer Gender]]="F","Female", orders[[#This Row],[Customer Gender]]="O","Other", TRUE,"Unknown")</f>
        <v>Female</v>
      </c>
    </row>
    <row r="766" spans="1:15" x14ac:dyDescent="0.3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1">
        <v>45690</v>
      </c>
      <c r="G766" s="1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f>orders[[#This Row],[Ship Date]]-orders[[#This Row],[Order Date]]</f>
        <v>9</v>
      </c>
      <c r="N766">
        <f>WEEKNUM(orders[[#This Row],[Order Date]])</f>
        <v>6</v>
      </c>
      <c r="O766" t="str" cm="1">
        <f t="array" ref="O766">_xlfn.IFS(orders[[#This Row],[Customer Gender]]="M","Male", orders[[#This Row],[Customer Gender]]="F","Female", orders[[#This Row],[Customer Gender]]="O","Other", TRUE,"Unknown")</f>
        <v>Female</v>
      </c>
    </row>
    <row r="767" spans="1:15" x14ac:dyDescent="0.3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1">
        <v>45690</v>
      </c>
      <c r="G767" s="1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f>orders[[#This Row],[Ship Date]]-orders[[#This Row],[Order Date]]</f>
        <v>1</v>
      </c>
      <c r="N767">
        <f>WEEKNUM(orders[[#This Row],[Order Date]])</f>
        <v>6</v>
      </c>
      <c r="O767" t="str" cm="1">
        <f t="array" ref="O767">_xlfn.IFS(orders[[#This Row],[Customer Gender]]="M","Male", orders[[#This Row],[Customer Gender]]="F","Female", orders[[#This Row],[Customer Gender]]="O","Other", TRUE,"Unknown")</f>
        <v>Male</v>
      </c>
    </row>
    <row r="768" spans="1:15" x14ac:dyDescent="0.3">
      <c r="A768" t="s">
        <v>861</v>
      </c>
      <c r="B768" t="s">
        <v>44</v>
      </c>
      <c r="C768">
        <v>3</v>
      </c>
      <c r="D768">
        <v>45</v>
      </c>
      <c r="E768">
        <v>135</v>
      </c>
      <c r="F768" s="1">
        <v>45690</v>
      </c>
      <c r="G768" s="1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f>orders[[#This Row],[Ship Date]]-orders[[#This Row],[Order Date]]</f>
        <v>14</v>
      </c>
      <c r="N768">
        <f>WEEKNUM(orders[[#This Row],[Order Date]])</f>
        <v>6</v>
      </c>
      <c r="O768" t="str" cm="1">
        <f t="array" ref="O768">_xlfn.IFS(orders[[#This Row],[Customer Gender]]="M","Male", orders[[#This Row],[Customer Gender]]="F","Female", orders[[#This Row],[Customer Gender]]="O","Other", TRUE,"Unknown")</f>
        <v>Male</v>
      </c>
    </row>
    <row r="769" spans="1:15" x14ac:dyDescent="0.3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1">
        <v>45690</v>
      </c>
      <c r="G769" s="1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f>orders[[#This Row],[Ship Date]]-orders[[#This Row],[Order Date]]</f>
        <v>2</v>
      </c>
      <c r="N769">
        <f>WEEKNUM(orders[[#This Row],[Order Date]])</f>
        <v>6</v>
      </c>
      <c r="O769" t="str" cm="1">
        <f t="array" ref="O769">_xlfn.IFS(orders[[#This Row],[Customer Gender]]="M","Male", orders[[#This Row],[Customer Gender]]="F","Female", orders[[#This Row],[Customer Gender]]="O","Other", TRUE,"Unknown")</f>
        <v>Male</v>
      </c>
    </row>
    <row r="770" spans="1:15" x14ac:dyDescent="0.3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1">
        <v>45690</v>
      </c>
      <c r="G770" s="1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f>orders[[#This Row],[Ship Date]]-orders[[#This Row],[Order Date]]</f>
        <v>1</v>
      </c>
      <c r="N770">
        <f>WEEKNUM(orders[[#This Row],[Order Date]])</f>
        <v>6</v>
      </c>
      <c r="O770" t="str" cm="1">
        <f t="array" ref="O770">_xlfn.IFS(orders[[#This Row],[Customer Gender]]="M","Male", orders[[#This Row],[Customer Gender]]="F","Female", orders[[#This Row],[Customer Gender]]="O","Other", TRUE,"Unknown")</f>
        <v>Female</v>
      </c>
    </row>
    <row r="771" spans="1:15" x14ac:dyDescent="0.3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1">
        <v>45690</v>
      </c>
      <c r="G771" s="1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f>orders[[#This Row],[Ship Date]]-orders[[#This Row],[Order Date]]</f>
        <v>2</v>
      </c>
      <c r="N771">
        <f>WEEKNUM(orders[[#This Row],[Order Date]])</f>
        <v>6</v>
      </c>
      <c r="O771" t="str" cm="1">
        <f t="array" ref="O771">_xlfn.IFS(orders[[#This Row],[Customer Gender]]="M","Male", orders[[#This Row],[Customer Gender]]="F","Female", orders[[#This Row],[Customer Gender]]="O","Other", TRUE,"Unknown")</f>
        <v>Female</v>
      </c>
    </row>
    <row r="772" spans="1:15" x14ac:dyDescent="0.3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1">
        <v>45690</v>
      </c>
      <c r="G772" s="1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f>orders[[#This Row],[Ship Date]]-orders[[#This Row],[Order Date]]</f>
        <v>9</v>
      </c>
      <c r="N772">
        <f>WEEKNUM(orders[[#This Row],[Order Date]])</f>
        <v>6</v>
      </c>
      <c r="O772" t="str" cm="1">
        <f t="array" ref="O772">_xlfn.IFS(orders[[#This Row],[Customer Gender]]="M","Male", orders[[#This Row],[Customer Gender]]="F","Female", orders[[#This Row],[Customer Gender]]="O","Other", TRUE,"Unknown")</f>
        <v>Female</v>
      </c>
    </row>
    <row r="773" spans="1:15" x14ac:dyDescent="0.3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1">
        <v>45690</v>
      </c>
      <c r="G773" s="1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f>orders[[#This Row],[Ship Date]]-orders[[#This Row],[Order Date]]</f>
        <v>1</v>
      </c>
      <c r="N773">
        <f>WEEKNUM(orders[[#This Row],[Order Date]])</f>
        <v>6</v>
      </c>
      <c r="O773" t="str" cm="1">
        <f t="array" ref="O773">_xlfn.IFS(orders[[#This Row],[Customer Gender]]="M","Male", orders[[#This Row],[Customer Gender]]="F","Female", orders[[#This Row],[Customer Gender]]="O","Other", TRUE,"Unknown")</f>
        <v>Male</v>
      </c>
    </row>
    <row r="774" spans="1:15" x14ac:dyDescent="0.3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1">
        <v>45690</v>
      </c>
      <c r="G774" s="1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f>orders[[#This Row],[Ship Date]]-orders[[#This Row],[Order Date]]</f>
        <v>1</v>
      </c>
      <c r="N774">
        <f>WEEKNUM(orders[[#This Row],[Order Date]])</f>
        <v>6</v>
      </c>
      <c r="O774" t="str" cm="1">
        <f t="array" ref="O774">_xlfn.IFS(orders[[#This Row],[Customer Gender]]="M","Male", orders[[#This Row],[Customer Gender]]="F","Female", orders[[#This Row],[Customer Gender]]="O","Other", TRUE,"Unknown")</f>
        <v>Male</v>
      </c>
    </row>
    <row r="775" spans="1:15" x14ac:dyDescent="0.3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1">
        <v>45690</v>
      </c>
      <c r="G775" s="1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f>orders[[#This Row],[Ship Date]]-orders[[#This Row],[Order Date]]</f>
        <v>1</v>
      </c>
      <c r="N775">
        <f>WEEKNUM(orders[[#This Row],[Order Date]])</f>
        <v>6</v>
      </c>
      <c r="O775" t="str" cm="1">
        <f t="array" ref="O775">_xlfn.IFS(orders[[#This Row],[Customer Gender]]="M","Male", orders[[#This Row],[Customer Gender]]="F","Female", orders[[#This Row],[Customer Gender]]="O","Other", TRUE,"Unknown")</f>
        <v>Female</v>
      </c>
    </row>
    <row r="776" spans="1:15" x14ac:dyDescent="0.3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1">
        <v>45690</v>
      </c>
      <c r="G776" s="1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f>orders[[#This Row],[Ship Date]]-orders[[#This Row],[Order Date]]</f>
        <v>1</v>
      </c>
      <c r="N776">
        <f>WEEKNUM(orders[[#This Row],[Order Date]])</f>
        <v>6</v>
      </c>
      <c r="O776" t="str" cm="1">
        <f t="array" ref="O776">_xlfn.IFS(orders[[#This Row],[Customer Gender]]="M","Male", orders[[#This Row],[Customer Gender]]="F","Female", orders[[#This Row],[Customer Gender]]="O","Other", TRUE,"Unknown")</f>
        <v>Male</v>
      </c>
    </row>
    <row r="777" spans="1:15" x14ac:dyDescent="0.3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1">
        <v>45690</v>
      </c>
      <c r="G777" s="1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f>orders[[#This Row],[Ship Date]]-orders[[#This Row],[Order Date]]</f>
        <v>0</v>
      </c>
      <c r="N777">
        <f>WEEKNUM(orders[[#This Row],[Order Date]])</f>
        <v>6</v>
      </c>
      <c r="O777" t="str" cm="1">
        <f t="array" ref="O777">_xlfn.IFS(orders[[#This Row],[Customer Gender]]="M","Male", orders[[#This Row],[Customer Gender]]="F","Female", orders[[#This Row],[Customer Gender]]="O","Other", TRUE,"Unknown")</f>
        <v>Female</v>
      </c>
    </row>
    <row r="778" spans="1:15" x14ac:dyDescent="0.3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1">
        <v>45690</v>
      </c>
      <c r="G778" s="1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f>orders[[#This Row],[Ship Date]]-orders[[#This Row],[Order Date]]</f>
        <v>2</v>
      </c>
      <c r="N778">
        <f>WEEKNUM(orders[[#This Row],[Order Date]])</f>
        <v>6</v>
      </c>
      <c r="O778" t="str" cm="1">
        <f t="array" ref="O778">_xlfn.IFS(orders[[#This Row],[Customer Gender]]="M","Male", orders[[#This Row],[Customer Gender]]="F","Female", orders[[#This Row],[Customer Gender]]="O","Other", TRUE,"Unknown")</f>
        <v>Unknown</v>
      </c>
    </row>
    <row r="779" spans="1:15" x14ac:dyDescent="0.3">
      <c r="A779" t="s">
        <v>872</v>
      </c>
      <c r="B779" t="s">
        <v>128</v>
      </c>
      <c r="C779">
        <v>2</v>
      </c>
      <c r="D779">
        <v>112</v>
      </c>
      <c r="E779">
        <v>224</v>
      </c>
      <c r="F779" s="1">
        <v>45690</v>
      </c>
      <c r="G779" s="1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f>orders[[#This Row],[Ship Date]]-orders[[#This Row],[Order Date]]</f>
        <v>1</v>
      </c>
      <c r="N779">
        <f>WEEKNUM(orders[[#This Row],[Order Date]])</f>
        <v>6</v>
      </c>
      <c r="O779" t="str" cm="1">
        <f t="array" ref="O779">_xlfn.IFS(orders[[#This Row],[Customer Gender]]="M","Male", orders[[#This Row],[Customer Gender]]="F","Female", orders[[#This Row],[Customer Gender]]="O","Other", TRUE,"Unknown")</f>
        <v>Female</v>
      </c>
    </row>
    <row r="780" spans="1:15" x14ac:dyDescent="0.3">
      <c r="A780" t="s">
        <v>873</v>
      </c>
      <c r="B780" t="s">
        <v>42</v>
      </c>
      <c r="C780">
        <v>10</v>
      </c>
      <c r="D780">
        <v>49</v>
      </c>
      <c r="E780">
        <v>490</v>
      </c>
      <c r="F780" s="1">
        <v>45690</v>
      </c>
      <c r="G780" s="1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f>orders[[#This Row],[Ship Date]]-orders[[#This Row],[Order Date]]</f>
        <v>1</v>
      </c>
      <c r="N780">
        <f>WEEKNUM(orders[[#This Row],[Order Date]])</f>
        <v>6</v>
      </c>
      <c r="O780" t="str" cm="1">
        <f t="array" ref="O780">_xlfn.IFS(orders[[#This Row],[Customer Gender]]="M","Male", orders[[#This Row],[Customer Gender]]="F","Female", orders[[#This Row],[Customer Gender]]="O","Other", TRUE,"Unknown")</f>
        <v>Other</v>
      </c>
    </row>
    <row r="781" spans="1:15" x14ac:dyDescent="0.3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1">
        <v>45690</v>
      </c>
      <c r="G781" s="1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f>orders[[#This Row],[Ship Date]]-orders[[#This Row],[Order Date]]</f>
        <v>4</v>
      </c>
      <c r="N781">
        <f>WEEKNUM(orders[[#This Row],[Order Date]])</f>
        <v>6</v>
      </c>
      <c r="O781" t="str" cm="1">
        <f t="array" ref="O781">_xlfn.IFS(orders[[#This Row],[Customer Gender]]="M","Male", orders[[#This Row],[Customer Gender]]="F","Female", orders[[#This Row],[Customer Gender]]="O","Other", TRUE,"Unknown")</f>
        <v>Female</v>
      </c>
    </row>
    <row r="782" spans="1:15" x14ac:dyDescent="0.3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1">
        <v>45690</v>
      </c>
      <c r="G782" s="1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f>orders[[#This Row],[Ship Date]]-orders[[#This Row],[Order Date]]</f>
        <v>3</v>
      </c>
      <c r="N782">
        <f>WEEKNUM(orders[[#This Row],[Order Date]])</f>
        <v>6</v>
      </c>
      <c r="O782" t="str" cm="1">
        <f t="array" ref="O782">_xlfn.IFS(orders[[#This Row],[Customer Gender]]="M","Male", orders[[#This Row],[Customer Gender]]="F","Female", orders[[#This Row],[Customer Gender]]="O","Other", TRUE,"Unknown")</f>
        <v>Female</v>
      </c>
    </row>
    <row r="783" spans="1:15" x14ac:dyDescent="0.3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1">
        <v>45691</v>
      </c>
      <c r="G783" s="1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f>orders[[#This Row],[Ship Date]]-orders[[#This Row],[Order Date]]</f>
        <v>0</v>
      </c>
      <c r="N783">
        <f>WEEKNUM(orders[[#This Row],[Order Date]])</f>
        <v>6</v>
      </c>
      <c r="O783" t="str" cm="1">
        <f t="array" ref="O783">_xlfn.IFS(orders[[#This Row],[Customer Gender]]="M","Male", orders[[#This Row],[Customer Gender]]="F","Female", orders[[#This Row],[Customer Gender]]="O","Other", TRUE,"Unknown")</f>
        <v>Female</v>
      </c>
    </row>
    <row r="784" spans="1:15" x14ac:dyDescent="0.3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1">
        <v>45691</v>
      </c>
      <c r="G784" s="1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f>orders[[#This Row],[Ship Date]]-orders[[#This Row],[Order Date]]</f>
        <v>1</v>
      </c>
      <c r="N784">
        <f>WEEKNUM(orders[[#This Row],[Order Date]])</f>
        <v>6</v>
      </c>
      <c r="O784" t="str" cm="1">
        <f t="array" ref="O784">_xlfn.IFS(orders[[#This Row],[Customer Gender]]="M","Male", orders[[#This Row],[Customer Gender]]="F","Female", orders[[#This Row],[Customer Gender]]="O","Other", TRUE,"Unknown")</f>
        <v>Male</v>
      </c>
    </row>
    <row r="785" spans="1:15" x14ac:dyDescent="0.3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1">
        <v>45691</v>
      </c>
      <c r="G785" s="1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f>orders[[#This Row],[Ship Date]]-orders[[#This Row],[Order Date]]</f>
        <v>2</v>
      </c>
      <c r="N785">
        <f>WEEKNUM(orders[[#This Row],[Order Date]])</f>
        <v>6</v>
      </c>
      <c r="O785" t="str" cm="1">
        <f t="array" ref="O785">_xlfn.IFS(orders[[#This Row],[Customer Gender]]="M","Male", orders[[#This Row],[Customer Gender]]="F","Female", orders[[#This Row],[Customer Gender]]="O","Other", TRUE,"Unknown")</f>
        <v>Female</v>
      </c>
    </row>
    <row r="786" spans="1:15" x14ac:dyDescent="0.3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1">
        <v>45691</v>
      </c>
      <c r="G786" s="1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f>orders[[#This Row],[Ship Date]]-orders[[#This Row],[Order Date]]</f>
        <v>1</v>
      </c>
      <c r="N786">
        <f>WEEKNUM(orders[[#This Row],[Order Date]])</f>
        <v>6</v>
      </c>
      <c r="O786" t="str" cm="1">
        <f t="array" ref="O786">_xlfn.IFS(orders[[#This Row],[Customer Gender]]="M","Male", orders[[#This Row],[Customer Gender]]="F","Female", orders[[#This Row],[Customer Gender]]="O","Other", TRUE,"Unknown")</f>
        <v>Female</v>
      </c>
    </row>
    <row r="787" spans="1:15" x14ac:dyDescent="0.3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1">
        <v>45691</v>
      </c>
      <c r="G787" s="1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f>orders[[#This Row],[Ship Date]]-orders[[#This Row],[Order Date]]</f>
        <v>2</v>
      </c>
      <c r="N787">
        <f>WEEKNUM(orders[[#This Row],[Order Date]])</f>
        <v>6</v>
      </c>
      <c r="O787" t="str" cm="1">
        <f t="array" ref="O787">_xlfn.IFS(orders[[#This Row],[Customer Gender]]="M","Male", orders[[#This Row],[Customer Gender]]="F","Female", orders[[#This Row],[Customer Gender]]="O","Other", TRUE,"Unknown")</f>
        <v>Female</v>
      </c>
    </row>
    <row r="788" spans="1:15" x14ac:dyDescent="0.3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1">
        <v>45691</v>
      </c>
      <c r="G788" s="1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f>orders[[#This Row],[Ship Date]]-orders[[#This Row],[Order Date]]</f>
        <v>1</v>
      </c>
      <c r="N788">
        <f>WEEKNUM(orders[[#This Row],[Order Date]])</f>
        <v>6</v>
      </c>
      <c r="O788" t="str" cm="1">
        <f t="array" ref="O788">_xlfn.IFS(orders[[#This Row],[Customer Gender]]="M","Male", orders[[#This Row],[Customer Gender]]="F","Female", orders[[#This Row],[Customer Gender]]="O","Other", TRUE,"Unknown")</f>
        <v>Female</v>
      </c>
    </row>
    <row r="789" spans="1:15" x14ac:dyDescent="0.3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1">
        <v>45691</v>
      </c>
      <c r="G789" s="1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f>orders[[#This Row],[Ship Date]]-orders[[#This Row],[Order Date]]</f>
        <v>2</v>
      </c>
      <c r="N789">
        <f>WEEKNUM(orders[[#This Row],[Order Date]])</f>
        <v>6</v>
      </c>
      <c r="O789" t="str" cm="1">
        <f t="array" ref="O789">_xlfn.IFS(orders[[#This Row],[Customer Gender]]="M","Male", orders[[#This Row],[Customer Gender]]="F","Female", orders[[#This Row],[Customer Gender]]="O","Other", TRUE,"Unknown")</f>
        <v>Female</v>
      </c>
    </row>
    <row r="790" spans="1:15" x14ac:dyDescent="0.3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1">
        <v>45691</v>
      </c>
      <c r="G790" s="1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f>orders[[#This Row],[Ship Date]]-orders[[#This Row],[Order Date]]</f>
        <v>1</v>
      </c>
      <c r="N790">
        <f>WEEKNUM(orders[[#This Row],[Order Date]])</f>
        <v>6</v>
      </c>
      <c r="O790" t="str" cm="1">
        <f t="array" ref="O790">_xlfn.IFS(orders[[#This Row],[Customer Gender]]="M","Male", orders[[#This Row],[Customer Gender]]="F","Female", orders[[#This Row],[Customer Gender]]="O","Other", TRUE,"Unknown")</f>
        <v>Male</v>
      </c>
    </row>
    <row r="791" spans="1:15" x14ac:dyDescent="0.3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1">
        <v>45691</v>
      </c>
      <c r="G791" s="1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f>orders[[#This Row],[Ship Date]]-orders[[#This Row],[Order Date]]</f>
        <v>2</v>
      </c>
      <c r="N791">
        <f>WEEKNUM(orders[[#This Row],[Order Date]])</f>
        <v>6</v>
      </c>
      <c r="O791" t="str" cm="1">
        <f t="array" ref="O791">_xlfn.IFS(orders[[#This Row],[Customer Gender]]="M","Male", orders[[#This Row],[Customer Gender]]="F","Female", orders[[#This Row],[Customer Gender]]="O","Other", TRUE,"Unknown")</f>
        <v>Female</v>
      </c>
    </row>
    <row r="792" spans="1:15" x14ac:dyDescent="0.3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1">
        <v>45691</v>
      </c>
      <c r="G792" s="1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f>orders[[#This Row],[Ship Date]]-orders[[#This Row],[Order Date]]</f>
        <v>1</v>
      </c>
      <c r="N792">
        <f>WEEKNUM(orders[[#This Row],[Order Date]])</f>
        <v>6</v>
      </c>
      <c r="O792" t="str" cm="1">
        <f t="array" ref="O792">_xlfn.IFS(orders[[#This Row],[Customer Gender]]="M","Male", orders[[#This Row],[Customer Gender]]="F","Female", orders[[#This Row],[Customer Gender]]="O","Other", TRUE,"Unknown")</f>
        <v>Male</v>
      </c>
    </row>
    <row r="793" spans="1:15" x14ac:dyDescent="0.3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1">
        <v>45691</v>
      </c>
      <c r="G793" s="1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f>orders[[#This Row],[Ship Date]]-orders[[#This Row],[Order Date]]</f>
        <v>4</v>
      </c>
      <c r="N793">
        <f>WEEKNUM(orders[[#This Row],[Order Date]])</f>
        <v>6</v>
      </c>
      <c r="O793" t="str" cm="1">
        <f t="array" ref="O793">_xlfn.IFS(orders[[#This Row],[Customer Gender]]="M","Male", orders[[#This Row],[Customer Gender]]="F","Female", orders[[#This Row],[Customer Gender]]="O","Other", TRUE,"Unknown")</f>
        <v>Male</v>
      </c>
    </row>
    <row r="794" spans="1:15" x14ac:dyDescent="0.3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1">
        <v>45691</v>
      </c>
      <c r="G794" s="1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f>orders[[#This Row],[Ship Date]]-orders[[#This Row],[Order Date]]</f>
        <v>1</v>
      </c>
      <c r="N794">
        <f>WEEKNUM(orders[[#This Row],[Order Date]])</f>
        <v>6</v>
      </c>
      <c r="O794" t="str" cm="1">
        <f t="array" ref="O794">_xlfn.IFS(orders[[#This Row],[Customer Gender]]="M","Male", orders[[#This Row],[Customer Gender]]="F","Female", orders[[#This Row],[Customer Gender]]="O","Other", TRUE,"Unknown")</f>
        <v>Male</v>
      </c>
    </row>
    <row r="795" spans="1:15" x14ac:dyDescent="0.3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1">
        <v>45691</v>
      </c>
      <c r="G795" s="1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f>orders[[#This Row],[Ship Date]]-orders[[#This Row],[Order Date]]</f>
        <v>1</v>
      </c>
      <c r="N795">
        <f>WEEKNUM(orders[[#This Row],[Order Date]])</f>
        <v>6</v>
      </c>
      <c r="O795" t="str" cm="1">
        <f t="array" ref="O795">_xlfn.IFS(orders[[#This Row],[Customer Gender]]="M","Male", orders[[#This Row],[Customer Gender]]="F","Female", orders[[#This Row],[Customer Gender]]="O","Other", TRUE,"Unknown")</f>
        <v>Female</v>
      </c>
    </row>
    <row r="796" spans="1:15" x14ac:dyDescent="0.3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1">
        <v>45691</v>
      </c>
      <c r="G796" s="1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f>orders[[#This Row],[Ship Date]]-orders[[#This Row],[Order Date]]</f>
        <v>3</v>
      </c>
      <c r="N796">
        <f>WEEKNUM(orders[[#This Row],[Order Date]])</f>
        <v>6</v>
      </c>
      <c r="O796" t="str" cm="1">
        <f t="array" ref="O796">_xlfn.IFS(orders[[#This Row],[Customer Gender]]="M","Male", orders[[#This Row],[Customer Gender]]="F","Female", orders[[#This Row],[Customer Gender]]="O","Other", TRUE,"Unknown")</f>
        <v>Male</v>
      </c>
    </row>
    <row r="797" spans="1:15" x14ac:dyDescent="0.3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1">
        <v>45691</v>
      </c>
      <c r="G797" s="1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f>orders[[#This Row],[Ship Date]]-orders[[#This Row],[Order Date]]</f>
        <v>1</v>
      </c>
      <c r="N797">
        <f>WEEKNUM(orders[[#This Row],[Order Date]])</f>
        <v>6</v>
      </c>
      <c r="O797" t="str" cm="1">
        <f t="array" ref="O797">_xlfn.IFS(orders[[#This Row],[Customer Gender]]="M","Male", orders[[#This Row],[Customer Gender]]="F","Female", orders[[#This Row],[Customer Gender]]="O","Other", TRUE,"Unknown")</f>
        <v>Female</v>
      </c>
    </row>
    <row r="798" spans="1:15" x14ac:dyDescent="0.3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1">
        <v>45691</v>
      </c>
      <c r="G798" s="1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f>orders[[#This Row],[Ship Date]]-orders[[#This Row],[Order Date]]</f>
        <v>7</v>
      </c>
      <c r="N798">
        <f>WEEKNUM(orders[[#This Row],[Order Date]])</f>
        <v>6</v>
      </c>
      <c r="O798" t="str" cm="1">
        <f t="array" ref="O798">_xlfn.IFS(orders[[#This Row],[Customer Gender]]="M","Male", orders[[#This Row],[Customer Gender]]="F","Female", orders[[#This Row],[Customer Gender]]="O","Other", TRUE,"Unknown")</f>
        <v>Male</v>
      </c>
    </row>
    <row r="799" spans="1:15" x14ac:dyDescent="0.3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1">
        <v>45691</v>
      </c>
      <c r="G799" s="1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f>orders[[#This Row],[Ship Date]]-orders[[#This Row],[Order Date]]</f>
        <v>1</v>
      </c>
      <c r="N799">
        <f>WEEKNUM(orders[[#This Row],[Order Date]])</f>
        <v>6</v>
      </c>
      <c r="O799" t="str" cm="1">
        <f t="array" ref="O799">_xlfn.IFS(orders[[#This Row],[Customer Gender]]="M","Male", orders[[#This Row],[Customer Gender]]="F","Female", orders[[#This Row],[Customer Gender]]="O","Other", TRUE,"Unknown")</f>
        <v>Female</v>
      </c>
    </row>
    <row r="800" spans="1:15" x14ac:dyDescent="0.3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1">
        <v>45691</v>
      </c>
      <c r="G800" s="1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f>orders[[#This Row],[Ship Date]]-orders[[#This Row],[Order Date]]</f>
        <v>4</v>
      </c>
      <c r="N800">
        <f>WEEKNUM(orders[[#This Row],[Order Date]])</f>
        <v>6</v>
      </c>
      <c r="O800" t="str" cm="1">
        <f t="array" ref="O800">_xlfn.IFS(orders[[#This Row],[Customer Gender]]="M","Male", orders[[#This Row],[Customer Gender]]="F","Female", orders[[#This Row],[Customer Gender]]="O","Other", TRUE,"Unknown")</f>
        <v>Female</v>
      </c>
    </row>
    <row r="801" spans="1:15" x14ac:dyDescent="0.3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1">
        <v>45691</v>
      </c>
      <c r="G801" s="1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f>orders[[#This Row],[Ship Date]]-orders[[#This Row],[Order Date]]</f>
        <v>1</v>
      </c>
      <c r="N801">
        <f>WEEKNUM(orders[[#This Row],[Order Date]])</f>
        <v>6</v>
      </c>
      <c r="O801" t="str" cm="1">
        <f t="array" ref="O801">_xlfn.IFS(orders[[#This Row],[Customer Gender]]="M","Male", orders[[#This Row],[Customer Gender]]="F","Female", orders[[#This Row],[Customer Gender]]="O","Other", TRUE,"Unknown")</f>
        <v>Female</v>
      </c>
    </row>
    <row r="802" spans="1:15" x14ac:dyDescent="0.3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1">
        <v>45691</v>
      </c>
      <c r="G802" s="1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f>orders[[#This Row],[Ship Date]]-orders[[#This Row],[Order Date]]</f>
        <v>3</v>
      </c>
      <c r="N802">
        <f>WEEKNUM(orders[[#This Row],[Order Date]])</f>
        <v>6</v>
      </c>
      <c r="O802" t="str" cm="1">
        <f t="array" ref="O802">_xlfn.IFS(orders[[#This Row],[Customer Gender]]="M","Male", orders[[#This Row],[Customer Gender]]="F","Female", orders[[#This Row],[Customer Gender]]="O","Other", TRUE,"Unknown")</f>
        <v>Male</v>
      </c>
    </row>
    <row r="803" spans="1:15" x14ac:dyDescent="0.3">
      <c r="A803" t="s">
        <v>896</v>
      </c>
      <c r="B803" t="s">
        <v>67</v>
      </c>
      <c r="C803">
        <v>6</v>
      </c>
      <c r="D803">
        <v>39</v>
      </c>
      <c r="E803">
        <v>234</v>
      </c>
      <c r="F803" s="1">
        <v>45691</v>
      </c>
      <c r="G803" s="1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f>orders[[#This Row],[Ship Date]]-orders[[#This Row],[Order Date]]</f>
        <v>3</v>
      </c>
      <c r="N803">
        <f>WEEKNUM(orders[[#This Row],[Order Date]])</f>
        <v>6</v>
      </c>
      <c r="O803" t="str" cm="1">
        <f t="array" ref="O803">_xlfn.IFS(orders[[#This Row],[Customer Gender]]="M","Male", orders[[#This Row],[Customer Gender]]="F","Female", orders[[#This Row],[Customer Gender]]="O","Other", TRUE,"Unknown")</f>
        <v>Male</v>
      </c>
    </row>
    <row r="804" spans="1:15" x14ac:dyDescent="0.3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1">
        <v>45691</v>
      </c>
      <c r="G804" s="1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f>orders[[#This Row],[Ship Date]]-orders[[#This Row],[Order Date]]</f>
        <v>2</v>
      </c>
      <c r="N804">
        <f>WEEKNUM(orders[[#This Row],[Order Date]])</f>
        <v>6</v>
      </c>
      <c r="O804" t="str" cm="1">
        <f t="array" ref="O804">_xlfn.IFS(orders[[#This Row],[Customer Gender]]="M","Male", orders[[#This Row],[Customer Gender]]="F","Female", orders[[#This Row],[Customer Gender]]="O","Other", TRUE,"Unknown")</f>
        <v>Female</v>
      </c>
    </row>
    <row r="805" spans="1:15" x14ac:dyDescent="0.3">
      <c r="A805" t="s">
        <v>898</v>
      </c>
      <c r="B805" t="s">
        <v>44</v>
      </c>
      <c r="C805">
        <v>1</v>
      </c>
      <c r="D805">
        <v>20</v>
      </c>
      <c r="E805">
        <v>20</v>
      </c>
      <c r="F805" s="1">
        <v>45692</v>
      </c>
      <c r="G805" s="1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f>orders[[#This Row],[Ship Date]]-orders[[#This Row],[Order Date]]</f>
        <v>1</v>
      </c>
      <c r="N805">
        <f>WEEKNUM(orders[[#This Row],[Order Date]])</f>
        <v>6</v>
      </c>
      <c r="O805" t="str" cm="1">
        <f t="array" ref="O805">_xlfn.IFS(orders[[#This Row],[Customer Gender]]="M","Male", orders[[#This Row],[Customer Gender]]="F","Female", orders[[#This Row],[Customer Gender]]="O","Other", TRUE,"Unknown")</f>
        <v>Male</v>
      </c>
    </row>
    <row r="806" spans="1:15" x14ac:dyDescent="0.3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1">
        <v>45692</v>
      </c>
      <c r="G806" s="1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f>orders[[#This Row],[Ship Date]]-orders[[#This Row],[Order Date]]</f>
        <v>2</v>
      </c>
      <c r="N806">
        <f>WEEKNUM(orders[[#This Row],[Order Date]])</f>
        <v>6</v>
      </c>
      <c r="O806" t="str" cm="1">
        <f t="array" ref="O806">_xlfn.IFS(orders[[#This Row],[Customer Gender]]="M","Male", orders[[#This Row],[Customer Gender]]="F","Female", orders[[#This Row],[Customer Gender]]="O","Other", TRUE,"Unknown")</f>
        <v>Female</v>
      </c>
    </row>
    <row r="807" spans="1:15" x14ac:dyDescent="0.3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1">
        <v>45692</v>
      </c>
      <c r="G807" s="1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f>orders[[#This Row],[Ship Date]]-orders[[#This Row],[Order Date]]</f>
        <v>2</v>
      </c>
      <c r="N807">
        <f>WEEKNUM(orders[[#This Row],[Order Date]])</f>
        <v>6</v>
      </c>
      <c r="O807" t="str" cm="1">
        <f t="array" ref="O807">_xlfn.IFS(orders[[#This Row],[Customer Gender]]="M","Male", orders[[#This Row],[Customer Gender]]="F","Female", orders[[#This Row],[Customer Gender]]="O","Other", TRUE,"Unknown")</f>
        <v>Female</v>
      </c>
    </row>
    <row r="808" spans="1:15" x14ac:dyDescent="0.3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1">
        <v>45692</v>
      </c>
      <c r="G808" s="1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f>orders[[#This Row],[Ship Date]]-orders[[#This Row],[Order Date]]</f>
        <v>5</v>
      </c>
      <c r="N808">
        <f>WEEKNUM(orders[[#This Row],[Order Date]])</f>
        <v>6</v>
      </c>
      <c r="O808" t="str" cm="1">
        <f t="array" ref="O808">_xlfn.IFS(orders[[#This Row],[Customer Gender]]="M","Male", orders[[#This Row],[Customer Gender]]="F","Female", orders[[#This Row],[Customer Gender]]="O","Other", TRUE,"Unknown")</f>
        <v>Female</v>
      </c>
    </row>
    <row r="809" spans="1:15" x14ac:dyDescent="0.3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1">
        <v>45692</v>
      </c>
      <c r="G809" s="1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f>orders[[#This Row],[Ship Date]]-orders[[#This Row],[Order Date]]</f>
        <v>2</v>
      </c>
      <c r="N809">
        <f>WEEKNUM(orders[[#This Row],[Order Date]])</f>
        <v>6</v>
      </c>
      <c r="O809" t="str" cm="1">
        <f t="array" ref="O809">_xlfn.IFS(orders[[#This Row],[Customer Gender]]="M","Male", orders[[#This Row],[Customer Gender]]="F","Female", orders[[#This Row],[Customer Gender]]="O","Other", TRUE,"Unknown")</f>
        <v>Male</v>
      </c>
    </row>
    <row r="810" spans="1:15" x14ac:dyDescent="0.3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1">
        <v>45692</v>
      </c>
      <c r="G810" s="1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f>orders[[#This Row],[Ship Date]]-orders[[#This Row],[Order Date]]</f>
        <v>2</v>
      </c>
      <c r="N810">
        <f>WEEKNUM(orders[[#This Row],[Order Date]])</f>
        <v>6</v>
      </c>
      <c r="O810" t="str" cm="1">
        <f t="array" ref="O810">_xlfn.IFS(orders[[#This Row],[Customer Gender]]="M","Male", orders[[#This Row],[Customer Gender]]="F","Female", orders[[#This Row],[Customer Gender]]="O","Other", TRUE,"Unknown")</f>
        <v>Female</v>
      </c>
    </row>
    <row r="811" spans="1:15" x14ac:dyDescent="0.3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1">
        <v>45692</v>
      </c>
      <c r="G811" s="1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f>orders[[#This Row],[Ship Date]]-orders[[#This Row],[Order Date]]</f>
        <v>1</v>
      </c>
      <c r="N811">
        <f>WEEKNUM(orders[[#This Row],[Order Date]])</f>
        <v>6</v>
      </c>
      <c r="O811" t="str" cm="1">
        <f t="array" ref="O811">_xlfn.IFS(orders[[#This Row],[Customer Gender]]="M","Male", orders[[#This Row],[Customer Gender]]="F","Female", orders[[#This Row],[Customer Gender]]="O","Other", TRUE,"Unknown")</f>
        <v>Unknown</v>
      </c>
    </row>
    <row r="812" spans="1:15" x14ac:dyDescent="0.3">
      <c r="A812" t="s">
        <v>905</v>
      </c>
      <c r="B812" t="s">
        <v>32</v>
      </c>
      <c r="C812">
        <v>1</v>
      </c>
      <c r="D812">
        <v>46</v>
      </c>
      <c r="E812">
        <v>46</v>
      </c>
      <c r="F812" s="1">
        <v>45692</v>
      </c>
      <c r="G812" s="1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f>orders[[#This Row],[Ship Date]]-orders[[#This Row],[Order Date]]</f>
        <v>1</v>
      </c>
      <c r="N812">
        <f>WEEKNUM(orders[[#This Row],[Order Date]])</f>
        <v>6</v>
      </c>
      <c r="O812" t="str" cm="1">
        <f t="array" ref="O812">_xlfn.IFS(orders[[#This Row],[Customer Gender]]="M","Male", orders[[#This Row],[Customer Gender]]="F","Female", orders[[#This Row],[Customer Gender]]="O","Other", TRUE,"Unknown")</f>
        <v>Female</v>
      </c>
    </row>
    <row r="813" spans="1:15" x14ac:dyDescent="0.3">
      <c r="A813" t="s">
        <v>906</v>
      </c>
      <c r="B813" t="s">
        <v>67</v>
      </c>
      <c r="C813">
        <v>3</v>
      </c>
      <c r="D813">
        <v>38</v>
      </c>
      <c r="E813">
        <v>114</v>
      </c>
      <c r="F813" s="1">
        <v>45692</v>
      </c>
      <c r="G813" s="1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f>orders[[#This Row],[Ship Date]]-orders[[#This Row],[Order Date]]</f>
        <v>2</v>
      </c>
      <c r="N813">
        <f>WEEKNUM(orders[[#This Row],[Order Date]])</f>
        <v>6</v>
      </c>
      <c r="O813" t="str" cm="1">
        <f t="array" ref="O813">_xlfn.IFS(orders[[#This Row],[Customer Gender]]="M","Male", orders[[#This Row],[Customer Gender]]="F","Female", orders[[#This Row],[Customer Gender]]="O","Other", TRUE,"Unknown")</f>
        <v>Female</v>
      </c>
    </row>
    <row r="814" spans="1:15" x14ac:dyDescent="0.3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1">
        <v>45692</v>
      </c>
      <c r="G814" s="1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f>orders[[#This Row],[Ship Date]]-orders[[#This Row],[Order Date]]</f>
        <v>2</v>
      </c>
      <c r="N814">
        <f>WEEKNUM(orders[[#This Row],[Order Date]])</f>
        <v>6</v>
      </c>
      <c r="O814" t="str" cm="1">
        <f t="array" ref="O814">_xlfn.IFS(orders[[#This Row],[Customer Gender]]="M","Male", orders[[#This Row],[Customer Gender]]="F","Female", orders[[#This Row],[Customer Gender]]="O","Other", TRUE,"Unknown")</f>
        <v>Female</v>
      </c>
    </row>
    <row r="815" spans="1:15" x14ac:dyDescent="0.3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1">
        <v>45692</v>
      </c>
      <c r="G815" s="1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f>orders[[#This Row],[Ship Date]]-orders[[#This Row],[Order Date]]</f>
        <v>1</v>
      </c>
      <c r="N815">
        <f>WEEKNUM(orders[[#This Row],[Order Date]])</f>
        <v>6</v>
      </c>
      <c r="O815" t="str" cm="1">
        <f t="array" ref="O815">_xlfn.IFS(orders[[#This Row],[Customer Gender]]="M","Male", orders[[#This Row],[Customer Gender]]="F","Female", orders[[#This Row],[Customer Gender]]="O","Other", TRUE,"Unknown")</f>
        <v>Female</v>
      </c>
    </row>
    <row r="816" spans="1:15" x14ac:dyDescent="0.3">
      <c r="A816" t="s">
        <v>909</v>
      </c>
      <c r="B816" t="s">
        <v>44</v>
      </c>
      <c r="C816">
        <v>8</v>
      </c>
      <c r="D816">
        <v>30.5</v>
      </c>
      <c r="E816">
        <v>244</v>
      </c>
      <c r="F816" s="1">
        <v>45692</v>
      </c>
      <c r="G816" s="1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f>orders[[#This Row],[Ship Date]]-orders[[#This Row],[Order Date]]</f>
        <v>4</v>
      </c>
      <c r="N816">
        <f>WEEKNUM(orders[[#This Row],[Order Date]])</f>
        <v>6</v>
      </c>
      <c r="O816" t="str" cm="1">
        <f t="array" ref="O816">_xlfn.IFS(orders[[#This Row],[Customer Gender]]="M","Male", orders[[#This Row],[Customer Gender]]="F","Female", orders[[#This Row],[Customer Gender]]="O","Other", TRUE,"Unknown")</f>
        <v>Male</v>
      </c>
    </row>
    <row r="817" spans="1:15" x14ac:dyDescent="0.3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1">
        <v>45692</v>
      </c>
      <c r="G817" s="1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f>orders[[#This Row],[Ship Date]]-orders[[#This Row],[Order Date]]</f>
        <v>1</v>
      </c>
      <c r="N817">
        <f>WEEKNUM(orders[[#This Row],[Order Date]])</f>
        <v>6</v>
      </c>
      <c r="O817" t="str" cm="1">
        <f t="array" ref="O817">_xlfn.IFS(orders[[#This Row],[Customer Gender]]="M","Male", orders[[#This Row],[Customer Gender]]="F","Female", orders[[#This Row],[Customer Gender]]="O","Other", TRUE,"Unknown")</f>
        <v>Female</v>
      </c>
    </row>
    <row r="818" spans="1:15" x14ac:dyDescent="0.3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1">
        <v>45692</v>
      </c>
      <c r="G818" s="1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f>orders[[#This Row],[Ship Date]]-orders[[#This Row],[Order Date]]</f>
        <v>4</v>
      </c>
      <c r="N818">
        <f>WEEKNUM(orders[[#This Row],[Order Date]])</f>
        <v>6</v>
      </c>
      <c r="O818" t="str" cm="1">
        <f t="array" ref="O818">_xlfn.IFS(orders[[#This Row],[Customer Gender]]="M","Male", orders[[#This Row],[Customer Gender]]="F","Female", orders[[#This Row],[Customer Gender]]="O","Other", TRUE,"Unknown")</f>
        <v>Female</v>
      </c>
    </row>
    <row r="819" spans="1:15" x14ac:dyDescent="0.3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1">
        <v>45692</v>
      </c>
      <c r="G819" s="1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f>orders[[#This Row],[Ship Date]]-orders[[#This Row],[Order Date]]</f>
        <v>4</v>
      </c>
      <c r="N819">
        <f>WEEKNUM(orders[[#This Row],[Order Date]])</f>
        <v>6</v>
      </c>
      <c r="O819" t="str" cm="1">
        <f t="array" ref="O819">_xlfn.IFS(orders[[#This Row],[Customer Gender]]="M","Male", orders[[#This Row],[Customer Gender]]="F","Female", orders[[#This Row],[Customer Gender]]="O","Other", TRUE,"Unknown")</f>
        <v>Female</v>
      </c>
    </row>
    <row r="820" spans="1:15" x14ac:dyDescent="0.3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1">
        <v>45692</v>
      </c>
      <c r="G820" s="1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f>orders[[#This Row],[Ship Date]]-orders[[#This Row],[Order Date]]</f>
        <v>1</v>
      </c>
      <c r="N820">
        <f>WEEKNUM(orders[[#This Row],[Order Date]])</f>
        <v>6</v>
      </c>
      <c r="O820" t="str" cm="1">
        <f t="array" ref="O820">_xlfn.IFS(orders[[#This Row],[Customer Gender]]="M","Male", orders[[#This Row],[Customer Gender]]="F","Female", orders[[#This Row],[Customer Gender]]="O","Other", TRUE,"Unknown")</f>
        <v>Other</v>
      </c>
    </row>
    <row r="821" spans="1:15" x14ac:dyDescent="0.3">
      <c r="A821" t="s">
        <v>914</v>
      </c>
      <c r="B821" t="s">
        <v>32</v>
      </c>
      <c r="C821">
        <v>6</v>
      </c>
      <c r="D821">
        <v>44</v>
      </c>
      <c r="E821">
        <v>264</v>
      </c>
      <c r="F821" s="1">
        <v>45692</v>
      </c>
      <c r="G821" s="1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f>orders[[#This Row],[Ship Date]]-orders[[#This Row],[Order Date]]</f>
        <v>1</v>
      </c>
      <c r="N821">
        <f>WEEKNUM(orders[[#This Row],[Order Date]])</f>
        <v>6</v>
      </c>
      <c r="O821" t="str" cm="1">
        <f t="array" ref="O821">_xlfn.IFS(orders[[#This Row],[Customer Gender]]="M","Male", orders[[#This Row],[Customer Gender]]="F","Female", orders[[#This Row],[Customer Gender]]="O","Other", TRUE,"Unknown")</f>
        <v>Female</v>
      </c>
    </row>
    <row r="822" spans="1:15" x14ac:dyDescent="0.3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1">
        <v>45692</v>
      </c>
      <c r="G822" s="1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f>orders[[#This Row],[Ship Date]]-orders[[#This Row],[Order Date]]</f>
        <v>6</v>
      </c>
      <c r="N822">
        <f>WEEKNUM(orders[[#This Row],[Order Date]])</f>
        <v>6</v>
      </c>
      <c r="O822" t="str" cm="1">
        <f t="array" ref="O822">_xlfn.IFS(orders[[#This Row],[Customer Gender]]="M","Male", orders[[#This Row],[Customer Gender]]="F","Female", orders[[#This Row],[Customer Gender]]="O","Other", TRUE,"Unknown")</f>
        <v>Female</v>
      </c>
    </row>
    <row r="823" spans="1:15" x14ac:dyDescent="0.3">
      <c r="A823" t="s">
        <v>916</v>
      </c>
      <c r="B823" t="s">
        <v>42</v>
      </c>
      <c r="C823">
        <v>5</v>
      </c>
      <c r="D823">
        <v>46.4</v>
      </c>
      <c r="E823">
        <v>232</v>
      </c>
      <c r="F823" s="1">
        <v>45692</v>
      </c>
      <c r="G823" s="1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f>orders[[#This Row],[Ship Date]]-orders[[#This Row],[Order Date]]</f>
        <v>3</v>
      </c>
      <c r="N823">
        <f>WEEKNUM(orders[[#This Row],[Order Date]])</f>
        <v>6</v>
      </c>
      <c r="O823" t="str" cm="1">
        <f t="array" ref="O823">_xlfn.IFS(orders[[#This Row],[Customer Gender]]="M","Male", orders[[#This Row],[Customer Gender]]="F","Female", orders[[#This Row],[Customer Gender]]="O","Other", TRUE,"Unknown")</f>
        <v>Female</v>
      </c>
    </row>
    <row r="824" spans="1:15" x14ac:dyDescent="0.3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1">
        <v>45692</v>
      </c>
      <c r="G824" s="1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f>orders[[#This Row],[Ship Date]]-orders[[#This Row],[Order Date]]</f>
        <v>2</v>
      </c>
      <c r="N824">
        <f>WEEKNUM(orders[[#This Row],[Order Date]])</f>
        <v>6</v>
      </c>
      <c r="O824" t="str" cm="1">
        <f t="array" ref="O824">_xlfn.IFS(orders[[#This Row],[Customer Gender]]="M","Male", orders[[#This Row],[Customer Gender]]="F","Female", orders[[#This Row],[Customer Gender]]="O","Other", TRUE,"Unknown")</f>
        <v>Female</v>
      </c>
    </row>
    <row r="825" spans="1:15" x14ac:dyDescent="0.3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1">
        <v>45692</v>
      </c>
      <c r="G825" s="1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f>orders[[#This Row],[Ship Date]]-orders[[#This Row],[Order Date]]</f>
        <v>1</v>
      </c>
      <c r="N825">
        <f>WEEKNUM(orders[[#This Row],[Order Date]])</f>
        <v>6</v>
      </c>
      <c r="O825" t="str" cm="1">
        <f t="array" ref="O825">_xlfn.IFS(orders[[#This Row],[Customer Gender]]="M","Male", orders[[#This Row],[Customer Gender]]="F","Female", orders[[#This Row],[Customer Gender]]="O","Other", TRUE,"Unknown")</f>
        <v>Female</v>
      </c>
    </row>
    <row r="826" spans="1:15" x14ac:dyDescent="0.3">
      <c r="A826" t="s">
        <v>919</v>
      </c>
      <c r="B826" t="s">
        <v>32</v>
      </c>
      <c r="C826">
        <v>3</v>
      </c>
      <c r="D826">
        <v>57</v>
      </c>
      <c r="E826">
        <v>171</v>
      </c>
      <c r="F826" s="1">
        <v>45692</v>
      </c>
      <c r="G826" s="1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f>orders[[#This Row],[Ship Date]]-orders[[#This Row],[Order Date]]</f>
        <v>1</v>
      </c>
      <c r="N826">
        <f>WEEKNUM(orders[[#This Row],[Order Date]])</f>
        <v>6</v>
      </c>
      <c r="O826" t="str" cm="1">
        <f t="array" ref="O826">_xlfn.IFS(orders[[#This Row],[Customer Gender]]="M","Male", orders[[#This Row],[Customer Gender]]="F","Female", orders[[#This Row],[Customer Gender]]="O","Other", TRUE,"Unknown")</f>
        <v>Male</v>
      </c>
    </row>
    <row r="827" spans="1:15" x14ac:dyDescent="0.3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1">
        <v>45692</v>
      </c>
      <c r="G827" s="1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f>orders[[#This Row],[Ship Date]]-orders[[#This Row],[Order Date]]</f>
        <v>4</v>
      </c>
      <c r="N827">
        <f>WEEKNUM(orders[[#This Row],[Order Date]])</f>
        <v>6</v>
      </c>
      <c r="O827" t="str" cm="1">
        <f t="array" ref="O827">_xlfn.IFS(orders[[#This Row],[Customer Gender]]="M","Male", orders[[#This Row],[Customer Gender]]="F","Female", orders[[#This Row],[Customer Gender]]="O","Other", TRUE,"Unknown")</f>
        <v>Male</v>
      </c>
    </row>
    <row r="828" spans="1:15" x14ac:dyDescent="0.3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1">
        <v>45692</v>
      </c>
      <c r="G828" s="1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f>orders[[#This Row],[Ship Date]]-orders[[#This Row],[Order Date]]</f>
        <v>4</v>
      </c>
      <c r="N828">
        <f>WEEKNUM(orders[[#This Row],[Order Date]])</f>
        <v>6</v>
      </c>
      <c r="O828" t="str" cm="1">
        <f t="array" ref="O828">_xlfn.IFS(orders[[#This Row],[Customer Gender]]="M","Male", orders[[#This Row],[Customer Gender]]="F","Female", orders[[#This Row],[Customer Gender]]="O","Other", TRUE,"Unknown")</f>
        <v>Unknown</v>
      </c>
    </row>
    <row r="829" spans="1:15" x14ac:dyDescent="0.3">
      <c r="A829" t="s">
        <v>922</v>
      </c>
      <c r="B829" t="s">
        <v>39</v>
      </c>
      <c r="C829">
        <v>5</v>
      </c>
      <c r="D829">
        <v>60.8</v>
      </c>
      <c r="E829">
        <v>304</v>
      </c>
      <c r="F829" s="1">
        <v>45692</v>
      </c>
      <c r="G829" s="1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f>orders[[#This Row],[Ship Date]]-orders[[#This Row],[Order Date]]</f>
        <v>4</v>
      </c>
      <c r="N829">
        <f>WEEKNUM(orders[[#This Row],[Order Date]])</f>
        <v>6</v>
      </c>
      <c r="O829" t="str" cm="1">
        <f t="array" ref="O829">_xlfn.IFS(orders[[#This Row],[Customer Gender]]="M","Male", orders[[#This Row],[Customer Gender]]="F","Female", orders[[#This Row],[Customer Gender]]="O","Other", TRUE,"Unknown")</f>
        <v>Male</v>
      </c>
    </row>
    <row r="830" spans="1:15" x14ac:dyDescent="0.3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1">
        <v>45692</v>
      </c>
      <c r="G830" s="1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f>orders[[#This Row],[Ship Date]]-orders[[#This Row],[Order Date]]</f>
        <v>1</v>
      </c>
      <c r="N830">
        <f>WEEKNUM(orders[[#This Row],[Order Date]])</f>
        <v>6</v>
      </c>
      <c r="O830" t="str" cm="1">
        <f t="array" ref="O830">_xlfn.IFS(orders[[#This Row],[Customer Gender]]="M","Male", orders[[#This Row],[Customer Gender]]="F","Female", orders[[#This Row],[Customer Gender]]="O","Other", TRUE,"Unknown")</f>
        <v>Female</v>
      </c>
    </row>
    <row r="831" spans="1:15" x14ac:dyDescent="0.3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1">
        <v>45692</v>
      </c>
      <c r="G831" s="1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f>orders[[#This Row],[Ship Date]]-orders[[#This Row],[Order Date]]</f>
        <v>3</v>
      </c>
      <c r="N831">
        <f>WEEKNUM(orders[[#This Row],[Order Date]])</f>
        <v>6</v>
      </c>
      <c r="O831" t="str" cm="1">
        <f t="array" ref="O831">_xlfn.IFS(orders[[#This Row],[Customer Gender]]="M","Male", orders[[#This Row],[Customer Gender]]="F","Female", orders[[#This Row],[Customer Gender]]="O","Other", TRUE,"Unknown")</f>
        <v>Male</v>
      </c>
    </row>
    <row r="832" spans="1:15" x14ac:dyDescent="0.3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1">
        <v>45692</v>
      </c>
      <c r="G832" s="1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f>orders[[#This Row],[Ship Date]]-orders[[#This Row],[Order Date]]</f>
        <v>2</v>
      </c>
      <c r="N832">
        <f>WEEKNUM(orders[[#This Row],[Order Date]])</f>
        <v>6</v>
      </c>
      <c r="O832" t="str" cm="1">
        <f t="array" ref="O832">_xlfn.IFS(orders[[#This Row],[Customer Gender]]="M","Male", orders[[#This Row],[Customer Gender]]="F","Female", orders[[#This Row],[Customer Gender]]="O","Other", TRUE,"Unknown")</f>
        <v>Female</v>
      </c>
    </row>
    <row r="833" spans="1:15" x14ac:dyDescent="0.3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1">
        <v>45692</v>
      </c>
      <c r="G833" s="1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f>orders[[#This Row],[Ship Date]]-orders[[#This Row],[Order Date]]</f>
        <v>1</v>
      </c>
      <c r="N833">
        <f>WEEKNUM(orders[[#This Row],[Order Date]])</f>
        <v>6</v>
      </c>
      <c r="O833" t="str" cm="1">
        <f t="array" ref="O833">_xlfn.IFS(orders[[#This Row],[Customer Gender]]="M","Male", orders[[#This Row],[Customer Gender]]="F","Female", orders[[#This Row],[Customer Gender]]="O","Other", TRUE,"Unknown")</f>
        <v>Unknown</v>
      </c>
    </row>
    <row r="834" spans="1:15" x14ac:dyDescent="0.3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1">
        <v>45692</v>
      </c>
      <c r="G834" s="1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f>orders[[#This Row],[Ship Date]]-orders[[#This Row],[Order Date]]</f>
        <v>1</v>
      </c>
      <c r="N834">
        <f>WEEKNUM(orders[[#This Row],[Order Date]])</f>
        <v>6</v>
      </c>
      <c r="O834" t="str" cm="1">
        <f t="array" ref="O834">_xlfn.IFS(orders[[#This Row],[Customer Gender]]="M","Male", orders[[#This Row],[Customer Gender]]="F","Female", orders[[#This Row],[Customer Gender]]="O","Other", TRUE,"Unknown")</f>
        <v>Female</v>
      </c>
    </row>
    <row r="835" spans="1:15" x14ac:dyDescent="0.3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1">
        <v>45692</v>
      </c>
      <c r="G835" s="1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f>orders[[#This Row],[Ship Date]]-orders[[#This Row],[Order Date]]</f>
        <v>1</v>
      </c>
      <c r="N835">
        <f>WEEKNUM(orders[[#This Row],[Order Date]])</f>
        <v>6</v>
      </c>
      <c r="O835" t="str" cm="1">
        <f t="array" ref="O835">_xlfn.IFS(orders[[#This Row],[Customer Gender]]="M","Male", orders[[#This Row],[Customer Gender]]="F","Female", orders[[#This Row],[Customer Gender]]="O","Other", TRUE,"Unknown")</f>
        <v>Female</v>
      </c>
    </row>
    <row r="836" spans="1:15" x14ac:dyDescent="0.3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1">
        <v>45692</v>
      </c>
      <c r="G836" s="1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f>orders[[#This Row],[Ship Date]]-orders[[#This Row],[Order Date]]</f>
        <v>2</v>
      </c>
      <c r="N836">
        <f>WEEKNUM(orders[[#This Row],[Order Date]])</f>
        <v>6</v>
      </c>
      <c r="O836" t="str" cm="1">
        <f t="array" ref="O836">_xlfn.IFS(orders[[#This Row],[Customer Gender]]="M","Male", orders[[#This Row],[Customer Gender]]="F","Female", orders[[#This Row],[Customer Gender]]="O","Other", TRUE,"Unknown")</f>
        <v>Male</v>
      </c>
    </row>
    <row r="837" spans="1:15" x14ac:dyDescent="0.3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1">
        <v>45692</v>
      </c>
      <c r="G837" s="1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f>orders[[#This Row],[Ship Date]]-orders[[#This Row],[Order Date]]</f>
        <v>1</v>
      </c>
      <c r="N837">
        <f>WEEKNUM(orders[[#This Row],[Order Date]])</f>
        <v>6</v>
      </c>
      <c r="O837" t="str" cm="1">
        <f t="array" ref="O837">_xlfn.IFS(orders[[#This Row],[Customer Gender]]="M","Male", orders[[#This Row],[Customer Gender]]="F","Female", orders[[#This Row],[Customer Gender]]="O","Other", TRUE,"Unknown")</f>
        <v>Male</v>
      </c>
    </row>
    <row r="838" spans="1:15" x14ac:dyDescent="0.3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1">
        <v>45692</v>
      </c>
      <c r="G838" s="1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f>orders[[#This Row],[Ship Date]]-orders[[#This Row],[Order Date]]</f>
        <v>1</v>
      </c>
      <c r="N838">
        <f>WEEKNUM(orders[[#This Row],[Order Date]])</f>
        <v>6</v>
      </c>
      <c r="O838" t="str" cm="1">
        <f t="array" ref="O838">_xlfn.IFS(orders[[#This Row],[Customer Gender]]="M","Male", orders[[#This Row],[Customer Gender]]="F","Female", orders[[#This Row],[Customer Gender]]="O","Other", TRUE,"Unknown")</f>
        <v>Unknown</v>
      </c>
    </row>
    <row r="839" spans="1:15" x14ac:dyDescent="0.3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1">
        <v>45692</v>
      </c>
      <c r="G839" s="1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f>orders[[#This Row],[Ship Date]]-orders[[#This Row],[Order Date]]</f>
        <v>3</v>
      </c>
      <c r="N839">
        <f>WEEKNUM(orders[[#This Row],[Order Date]])</f>
        <v>6</v>
      </c>
      <c r="O839" t="str" cm="1">
        <f t="array" ref="O839">_xlfn.IFS(orders[[#This Row],[Customer Gender]]="M","Male", orders[[#This Row],[Customer Gender]]="F","Female", orders[[#This Row],[Customer Gender]]="O","Other", TRUE,"Unknown")</f>
        <v>Female</v>
      </c>
    </row>
    <row r="840" spans="1:15" x14ac:dyDescent="0.3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1">
        <v>45692</v>
      </c>
      <c r="G840" s="1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f>orders[[#This Row],[Ship Date]]-orders[[#This Row],[Order Date]]</f>
        <v>10</v>
      </c>
      <c r="N840">
        <f>WEEKNUM(orders[[#This Row],[Order Date]])</f>
        <v>6</v>
      </c>
      <c r="O840" t="str" cm="1">
        <f t="array" ref="O840">_xlfn.IFS(orders[[#This Row],[Customer Gender]]="M","Male", orders[[#This Row],[Customer Gender]]="F","Female", orders[[#This Row],[Customer Gender]]="O","Other", TRUE,"Unknown")</f>
        <v>Female</v>
      </c>
    </row>
    <row r="841" spans="1:15" x14ac:dyDescent="0.3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1">
        <v>45692</v>
      </c>
      <c r="G841" s="1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f>orders[[#This Row],[Ship Date]]-orders[[#This Row],[Order Date]]</f>
        <v>1</v>
      </c>
      <c r="N841">
        <f>WEEKNUM(orders[[#This Row],[Order Date]])</f>
        <v>6</v>
      </c>
      <c r="O841" t="str" cm="1">
        <f t="array" ref="O841">_xlfn.IFS(orders[[#This Row],[Customer Gender]]="M","Male", orders[[#This Row],[Customer Gender]]="F","Female", orders[[#This Row],[Customer Gender]]="O","Other", TRUE,"Unknown")</f>
        <v>Female</v>
      </c>
    </row>
    <row r="842" spans="1:15" x14ac:dyDescent="0.3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1">
        <v>45692</v>
      </c>
      <c r="G842" s="1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f>orders[[#This Row],[Ship Date]]-orders[[#This Row],[Order Date]]</f>
        <v>1</v>
      </c>
      <c r="N842">
        <f>WEEKNUM(orders[[#This Row],[Order Date]])</f>
        <v>6</v>
      </c>
      <c r="O842" t="str" cm="1">
        <f t="array" ref="O842">_xlfn.IFS(orders[[#This Row],[Customer Gender]]="M","Male", orders[[#This Row],[Customer Gender]]="F","Female", orders[[#This Row],[Customer Gender]]="O","Other", TRUE,"Unknown")</f>
        <v>Female</v>
      </c>
    </row>
    <row r="843" spans="1:15" x14ac:dyDescent="0.3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1">
        <v>45692</v>
      </c>
      <c r="G843" s="1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f>orders[[#This Row],[Ship Date]]-orders[[#This Row],[Order Date]]</f>
        <v>0</v>
      </c>
      <c r="N843">
        <f>WEEKNUM(orders[[#This Row],[Order Date]])</f>
        <v>6</v>
      </c>
      <c r="O843" t="str" cm="1">
        <f t="array" ref="O843">_xlfn.IFS(orders[[#This Row],[Customer Gender]]="M","Male", orders[[#This Row],[Customer Gender]]="F","Female", orders[[#This Row],[Customer Gender]]="O","Other", TRUE,"Unknown")</f>
        <v>Female</v>
      </c>
    </row>
    <row r="844" spans="1:15" x14ac:dyDescent="0.3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1">
        <v>45692</v>
      </c>
      <c r="G844" s="1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f>orders[[#This Row],[Ship Date]]-orders[[#This Row],[Order Date]]</f>
        <v>1</v>
      </c>
      <c r="N844">
        <f>WEEKNUM(orders[[#This Row],[Order Date]])</f>
        <v>6</v>
      </c>
      <c r="O844" t="str" cm="1">
        <f t="array" ref="O844">_xlfn.IFS(orders[[#This Row],[Customer Gender]]="M","Male", orders[[#This Row],[Customer Gender]]="F","Female", orders[[#This Row],[Customer Gender]]="O","Other", TRUE,"Unknown")</f>
        <v>Female</v>
      </c>
    </row>
    <row r="845" spans="1:15" x14ac:dyDescent="0.3">
      <c r="A845" t="s">
        <v>938</v>
      </c>
      <c r="B845" t="s">
        <v>39</v>
      </c>
      <c r="C845">
        <v>17</v>
      </c>
      <c r="D845">
        <v>96</v>
      </c>
      <c r="E845">
        <v>1632</v>
      </c>
      <c r="F845" s="1">
        <v>45692</v>
      </c>
      <c r="G845" s="1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f>orders[[#This Row],[Ship Date]]-orders[[#This Row],[Order Date]]</f>
        <v>3</v>
      </c>
      <c r="N845">
        <f>WEEKNUM(orders[[#This Row],[Order Date]])</f>
        <v>6</v>
      </c>
      <c r="O845" t="str" cm="1">
        <f t="array" ref="O845">_xlfn.IFS(orders[[#This Row],[Customer Gender]]="M","Male", orders[[#This Row],[Customer Gender]]="F","Female", orders[[#This Row],[Customer Gender]]="O","Other", TRUE,"Unknown")</f>
        <v>Female</v>
      </c>
    </row>
    <row r="846" spans="1:15" x14ac:dyDescent="0.3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1">
        <v>45692</v>
      </c>
      <c r="G846" s="1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f>orders[[#This Row],[Ship Date]]-orders[[#This Row],[Order Date]]</f>
        <v>3</v>
      </c>
      <c r="N846">
        <f>WEEKNUM(orders[[#This Row],[Order Date]])</f>
        <v>6</v>
      </c>
      <c r="O846" t="str" cm="1">
        <f t="array" ref="O846">_xlfn.IFS(orders[[#This Row],[Customer Gender]]="M","Male", orders[[#This Row],[Customer Gender]]="F","Female", orders[[#This Row],[Customer Gender]]="O","Other", TRUE,"Unknown")</f>
        <v>Female</v>
      </c>
    </row>
    <row r="847" spans="1:15" x14ac:dyDescent="0.3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1">
        <v>45692</v>
      </c>
      <c r="G847" s="1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f>orders[[#This Row],[Ship Date]]-orders[[#This Row],[Order Date]]</f>
        <v>1</v>
      </c>
      <c r="N847">
        <f>WEEKNUM(orders[[#This Row],[Order Date]])</f>
        <v>6</v>
      </c>
      <c r="O847" t="str" cm="1">
        <f t="array" ref="O847">_xlfn.IFS(orders[[#This Row],[Customer Gender]]="M","Male", orders[[#This Row],[Customer Gender]]="F","Female", orders[[#This Row],[Customer Gender]]="O","Other", TRUE,"Unknown")</f>
        <v>Female</v>
      </c>
    </row>
    <row r="848" spans="1:15" x14ac:dyDescent="0.3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1">
        <v>45693</v>
      </c>
      <c r="G848" s="1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f>orders[[#This Row],[Ship Date]]-orders[[#This Row],[Order Date]]</f>
        <v>6</v>
      </c>
      <c r="N848">
        <f>WEEKNUM(orders[[#This Row],[Order Date]])</f>
        <v>6</v>
      </c>
      <c r="O848" t="str" cm="1">
        <f t="array" ref="O848">_xlfn.IFS(orders[[#This Row],[Customer Gender]]="M","Male", orders[[#This Row],[Customer Gender]]="F","Female", orders[[#This Row],[Customer Gender]]="O","Other", TRUE,"Unknown")</f>
        <v>Male</v>
      </c>
    </row>
    <row r="849" spans="1:15" x14ac:dyDescent="0.3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1">
        <v>45693</v>
      </c>
      <c r="G849" s="1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f>orders[[#This Row],[Ship Date]]-orders[[#This Row],[Order Date]]</f>
        <v>2</v>
      </c>
      <c r="N849">
        <f>WEEKNUM(orders[[#This Row],[Order Date]])</f>
        <v>6</v>
      </c>
      <c r="O849" t="str" cm="1">
        <f t="array" ref="O849">_xlfn.IFS(orders[[#This Row],[Customer Gender]]="M","Male", orders[[#This Row],[Customer Gender]]="F","Female", orders[[#This Row],[Customer Gender]]="O","Other", TRUE,"Unknown")</f>
        <v>Female</v>
      </c>
    </row>
    <row r="850" spans="1:15" x14ac:dyDescent="0.3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1">
        <v>45693</v>
      </c>
      <c r="G850" s="1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f>orders[[#This Row],[Ship Date]]-orders[[#This Row],[Order Date]]</f>
        <v>4</v>
      </c>
      <c r="N850">
        <f>WEEKNUM(orders[[#This Row],[Order Date]])</f>
        <v>6</v>
      </c>
      <c r="O850" t="str" cm="1">
        <f t="array" ref="O850">_xlfn.IFS(orders[[#This Row],[Customer Gender]]="M","Male", orders[[#This Row],[Customer Gender]]="F","Female", orders[[#This Row],[Customer Gender]]="O","Other", TRUE,"Unknown")</f>
        <v>Male</v>
      </c>
    </row>
    <row r="851" spans="1:15" x14ac:dyDescent="0.3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1">
        <v>45693</v>
      </c>
      <c r="G851" s="1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f>orders[[#This Row],[Ship Date]]-orders[[#This Row],[Order Date]]</f>
        <v>1</v>
      </c>
      <c r="N851">
        <f>WEEKNUM(orders[[#This Row],[Order Date]])</f>
        <v>6</v>
      </c>
      <c r="O851" t="str" cm="1">
        <f t="array" ref="O851">_xlfn.IFS(orders[[#This Row],[Customer Gender]]="M","Male", orders[[#This Row],[Customer Gender]]="F","Female", orders[[#This Row],[Customer Gender]]="O","Other", TRUE,"Unknown")</f>
        <v>Female</v>
      </c>
    </row>
    <row r="852" spans="1:15" x14ac:dyDescent="0.3">
      <c r="A852" t="s">
        <v>945</v>
      </c>
      <c r="B852" t="s">
        <v>146</v>
      </c>
      <c r="C852">
        <v>4</v>
      </c>
      <c r="D852">
        <v>79</v>
      </c>
      <c r="E852">
        <v>316</v>
      </c>
      <c r="F852" s="1">
        <v>45693</v>
      </c>
      <c r="G852" s="1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f>orders[[#This Row],[Ship Date]]-orders[[#This Row],[Order Date]]</f>
        <v>2</v>
      </c>
      <c r="N852">
        <f>WEEKNUM(orders[[#This Row],[Order Date]])</f>
        <v>6</v>
      </c>
      <c r="O852" t="str" cm="1">
        <f t="array" ref="O852">_xlfn.IFS(orders[[#This Row],[Customer Gender]]="M","Male", orders[[#This Row],[Customer Gender]]="F","Female", orders[[#This Row],[Customer Gender]]="O","Other", TRUE,"Unknown")</f>
        <v>Male</v>
      </c>
    </row>
    <row r="853" spans="1:15" x14ac:dyDescent="0.3">
      <c r="A853" t="s">
        <v>946</v>
      </c>
      <c r="B853" t="s">
        <v>39</v>
      </c>
      <c r="C853">
        <v>5</v>
      </c>
      <c r="D853">
        <v>52.8</v>
      </c>
      <c r="E853">
        <v>264</v>
      </c>
      <c r="F853" s="1">
        <v>45693</v>
      </c>
      <c r="G853" s="1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f>orders[[#This Row],[Ship Date]]-orders[[#This Row],[Order Date]]</f>
        <v>1</v>
      </c>
      <c r="N853">
        <f>WEEKNUM(orders[[#This Row],[Order Date]])</f>
        <v>6</v>
      </c>
      <c r="O853" t="str" cm="1">
        <f t="array" ref="O853">_xlfn.IFS(orders[[#This Row],[Customer Gender]]="M","Male", orders[[#This Row],[Customer Gender]]="F","Female", orders[[#This Row],[Customer Gender]]="O","Other", TRUE,"Unknown")</f>
        <v>Female</v>
      </c>
    </row>
    <row r="854" spans="1:15" x14ac:dyDescent="0.3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1">
        <v>45693</v>
      </c>
      <c r="G854" s="1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f>orders[[#This Row],[Ship Date]]-orders[[#This Row],[Order Date]]</f>
        <v>1</v>
      </c>
      <c r="N854">
        <f>WEEKNUM(orders[[#This Row],[Order Date]])</f>
        <v>6</v>
      </c>
      <c r="O854" t="str" cm="1">
        <f t="array" ref="O854">_xlfn.IFS(orders[[#This Row],[Customer Gender]]="M","Male", orders[[#This Row],[Customer Gender]]="F","Female", orders[[#This Row],[Customer Gender]]="O","Other", TRUE,"Unknown")</f>
        <v>Male</v>
      </c>
    </row>
    <row r="855" spans="1:15" x14ac:dyDescent="0.3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1">
        <v>45693</v>
      </c>
      <c r="G855" s="1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f>orders[[#This Row],[Ship Date]]-orders[[#This Row],[Order Date]]</f>
        <v>0</v>
      </c>
      <c r="N855">
        <f>WEEKNUM(orders[[#This Row],[Order Date]])</f>
        <v>6</v>
      </c>
      <c r="O855" t="str" cm="1">
        <f t="array" ref="O855">_xlfn.IFS(orders[[#This Row],[Customer Gender]]="M","Male", orders[[#This Row],[Customer Gender]]="F","Female", orders[[#This Row],[Customer Gender]]="O","Other", TRUE,"Unknown")</f>
        <v>Female</v>
      </c>
    </row>
    <row r="856" spans="1:15" x14ac:dyDescent="0.3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1">
        <v>45693</v>
      </c>
      <c r="G856" s="1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f>orders[[#This Row],[Ship Date]]-orders[[#This Row],[Order Date]]</f>
        <v>0</v>
      </c>
      <c r="N856">
        <f>WEEKNUM(orders[[#This Row],[Order Date]])</f>
        <v>6</v>
      </c>
      <c r="O856" t="str" cm="1">
        <f t="array" ref="O856">_xlfn.IFS(orders[[#This Row],[Customer Gender]]="M","Male", orders[[#This Row],[Customer Gender]]="F","Female", orders[[#This Row],[Customer Gender]]="O","Other", TRUE,"Unknown")</f>
        <v>Male</v>
      </c>
    </row>
    <row r="857" spans="1:15" x14ac:dyDescent="0.3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1">
        <v>45693</v>
      </c>
      <c r="G857" s="1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f>orders[[#This Row],[Ship Date]]-orders[[#This Row],[Order Date]]</f>
        <v>1</v>
      </c>
      <c r="N857">
        <f>WEEKNUM(orders[[#This Row],[Order Date]])</f>
        <v>6</v>
      </c>
      <c r="O857" t="str" cm="1">
        <f t="array" ref="O857">_xlfn.IFS(orders[[#This Row],[Customer Gender]]="M","Male", orders[[#This Row],[Customer Gender]]="F","Female", orders[[#This Row],[Customer Gender]]="O","Other", TRUE,"Unknown")</f>
        <v>Unknown</v>
      </c>
    </row>
    <row r="858" spans="1:15" x14ac:dyDescent="0.3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1">
        <v>45693</v>
      </c>
      <c r="G858" s="1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f>orders[[#This Row],[Ship Date]]-orders[[#This Row],[Order Date]]</f>
        <v>2</v>
      </c>
      <c r="N858">
        <f>WEEKNUM(orders[[#This Row],[Order Date]])</f>
        <v>6</v>
      </c>
      <c r="O858" t="str" cm="1">
        <f t="array" ref="O858">_xlfn.IFS(orders[[#This Row],[Customer Gender]]="M","Male", orders[[#This Row],[Customer Gender]]="F","Female", orders[[#This Row],[Customer Gender]]="O","Other", TRUE,"Unknown")</f>
        <v>Female</v>
      </c>
    </row>
    <row r="859" spans="1:15" x14ac:dyDescent="0.3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1">
        <v>45693</v>
      </c>
      <c r="G859" s="1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f>orders[[#This Row],[Ship Date]]-orders[[#This Row],[Order Date]]</f>
        <v>3</v>
      </c>
      <c r="N859">
        <f>WEEKNUM(orders[[#This Row],[Order Date]])</f>
        <v>6</v>
      </c>
      <c r="O859" t="str" cm="1">
        <f t="array" ref="O859">_xlfn.IFS(orders[[#This Row],[Customer Gender]]="M","Male", orders[[#This Row],[Customer Gender]]="F","Female", orders[[#This Row],[Customer Gender]]="O","Other", TRUE,"Unknown")</f>
        <v>Female</v>
      </c>
    </row>
    <row r="860" spans="1:15" x14ac:dyDescent="0.3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1">
        <v>45693</v>
      </c>
      <c r="G860" s="1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f>orders[[#This Row],[Ship Date]]-orders[[#This Row],[Order Date]]</f>
        <v>6</v>
      </c>
      <c r="N860">
        <f>WEEKNUM(orders[[#This Row],[Order Date]])</f>
        <v>6</v>
      </c>
      <c r="O860" t="str" cm="1">
        <f t="array" ref="O860">_xlfn.IFS(orders[[#This Row],[Customer Gender]]="M","Male", orders[[#This Row],[Customer Gender]]="F","Female", orders[[#This Row],[Customer Gender]]="O","Other", TRUE,"Unknown")</f>
        <v>Male</v>
      </c>
    </row>
    <row r="861" spans="1:15" x14ac:dyDescent="0.3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1">
        <v>45693</v>
      </c>
      <c r="G861" s="1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f>orders[[#This Row],[Ship Date]]-orders[[#This Row],[Order Date]]</f>
        <v>2</v>
      </c>
      <c r="N861">
        <f>WEEKNUM(orders[[#This Row],[Order Date]])</f>
        <v>6</v>
      </c>
      <c r="O861" t="str" cm="1">
        <f t="array" ref="O861">_xlfn.IFS(orders[[#This Row],[Customer Gender]]="M","Male", orders[[#This Row],[Customer Gender]]="F","Female", orders[[#This Row],[Customer Gender]]="O","Other", TRUE,"Unknown")</f>
        <v>Female</v>
      </c>
    </row>
    <row r="862" spans="1:15" x14ac:dyDescent="0.3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1">
        <v>45693</v>
      </c>
      <c r="G862" s="1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f>orders[[#This Row],[Ship Date]]-orders[[#This Row],[Order Date]]</f>
        <v>2</v>
      </c>
      <c r="N862">
        <f>WEEKNUM(orders[[#This Row],[Order Date]])</f>
        <v>6</v>
      </c>
      <c r="O862" t="str" cm="1">
        <f t="array" ref="O862">_xlfn.IFS(orders[[#This Row],[Customer Gender]]="M","Male", orders[[#This Row],[Customer Gender]]="F","Female", orders[[#This Row],[Customer Gender]]="O","Other", TRUE,"Unknown")</f>
        <v>Unknown</v>
      </c>
    </row>
    <row r="863" spans="1:15" x14ac:dyDescent="0.3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1">
        <v>45693</v>
      </c>
      <c r="G863" s="1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f>orders[[#This Row],[Ship Date]]-orders[[#This Row],[Order Date]]</f>
        <v>2</v>
      </c>
      <c r="N863">
        <f>WEEKNUM(orders[[#This Row],[Order Date]])</f>
        <v>6</v>
      </c>
      <c r="O863" t="str" cm="1">
        <f t="array" ref="O863">_xlfn.IFS(orders[[#This Row],[Customer Gender]]="M","Male", orders[[#This Row],[Customer Gender]]="F","Female", orders[[#This Row],[Customer Gender]]="O","Other", TRUE,"Unknown")</f>
        <v>Male</v>
      </c>
    </row>
    <row r="864" spans="1:15" x14ac:dyDescent="0.3">
      <c r="A864" t="s">
        <v>958</v>
      </c>
      <c r="B864" t="s">
        <v>44</v>
      </c>
      <c r="C864">
        <v>2</v>
      </c>
      <c r="D864">
        <v>19</v>
      </c>
      <c r="E864">
        <v>38</v>
      </c>
      <c r="F864" s="1">
        <v>45693</v>
      </c>
      <c r="G864" s="1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f>orders[[#This Row],[Ship Date]]-orders[[#This Row],[Order Date]]</f>
        <v>1</v>
      </c>
      <c r="N864">
        <f>WEEKNUM(orders[[#This Row],[Order Date]])</f>
        <v>6</v>
      </c>
      <c r="O864" t="str" cm="1">
        <f t="array" ref="O864">_xlfn.IFS(orders[[#This Row],[Customer Gender]]="M","Male", orders[[#This Row],[Customer Gender]]="F","Female", orders[[#This Row],[Customer Gender]]="O","Other", TRUE,"Unknown")</f>
        <v>Male</v>
      </c>
    </row>
    <row r="865" spans="1:15" x14ac:dyDescent="0.3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1">
        <v>45693</v>
      </c>
      <c r="G865" s="1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f>orders[[#This Row],[Ship Date]]-orders[[#This Row],[Order Date]]</f>
        <v>2</v>
      </c>
      <c r="N865">
        <f>WEEKNUM(orders[[#This Row],[Order Date]])</f>
        <v>6</v>
      </c>
      <c r="O865" t="str" cm="1">
        <f t="array" ref="O865">_xlfn.IFS(orders[[#This Row],[Customer Gender]]="M","Male", orders[[#This Row],[Customer Gender]]="F","Female", orders[[#This Row],[Customer Gender]]="O","Other", TRUE,"Unknown")</f>
        <v>Female</v>
      </c>
    </row>
    <row r="866" spans="1:15" x14ac:dyDescent="0.3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1">
        <v>45693</v>
      </c>
      <c r="G866" s="1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f>orders[[#This Row],[Ship Date]]-orders[[#This Row],[Order Date]]</f>
        <v>3</v>
      </c>
      <c r="N866">
        <f>WEEKNUM(orders[[#This Row],[Order Date]])</f>
        <v>6</v>
      </c>
      <c r="O866" t="str" cm="1">
        <f t="array" ref="O866">_xlfn.IFS(orders[[#This Row],[Customer Gender]]="M","Male", orders[[#This Row],[Customer Gender]]="F","Female", orders[[#This Row],[Customer Gender]]="O","Other", TRUE,"Unknown")</f>
        <v>Female</v>
      </c>
    </row>
    <row r="867" spans="1:15" x14ac:dyDescent="0.3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1">
        <v>45693</v>
      </c>
      <c r="G867" s="1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f>orders[[#This Row],[Ship Date]]-orders[[#This Row],[Order Date]]</f>
        <v>0</v>
      </c>
      <c r="N867">
        <f>WEEKNUM(orders[[#This Row],[Order Date]])</f>
        <v>6</v>
      </c>
      <c r="O867" t="str" cm="1">
        <f t="array" ref="O867">_xlfn.IFS(orders[[#This Row],[Customer Gender]]="M","Male", orders[[#This Row],[Customer Gender]]="F","Female", orders[[#This Row],[Customer Gender]]="O","Other", TRUE,"Unknown")</f>
        <v>Female</v>
      </c>
    </row>
    <row r="868" spans="1:15" x14ac:dyDescent="0.3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1">
        <v>45693</v>
      </c>
      <c r="G868" s="1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f>orders[[#This Row],[Ship Date]]-orders[[#This Row],[Order Date]]</f>
        <v>6</v>
      </c>
      <c r="N868">
        <f>WEEKNUM(orders[[#This Row],[Order Date]])</f>
        <v>6</v>
      </c>
      <c r="O868" t="str" cm="1">
        <f t="array" ref="O868">_xlfn.IFS(orders[[#This Row],[Customer Gender]]="M","Male", orders[[#This Row],[Customer Gender]]="F","Female", orders[[#This Row],[Customer Gender]]="O","Other", TRUE,"Unknown")</f>
        <v>Male</v>
      </c>
    </row>
    <row r="869" spans="1:15" x14ac:dyDescent="0.3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1">
        <v>45693</v>
      </c>
      <c r="G869" s="1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f>orders[[#This Row],[Ship Date]]-orders[[#This Row],[Order Date]]</f>
        <v>2</v>
      </c>
      <c r="N869">
        <f>WEEKNUM(orders[[#This Row],[Order Date]])</f>
        <v>6</v>
      </c>
      <c r="O869" t="str" cm="1">
        <f t="array" ref="O869">_xlfn.IFS(orders[[#This Row],[Customer Gender]]="M","Male", orders[[#This Row],[Customer Gender]]="F","Female", orders[[#This Row],[Customer Gender]]="O","Other", TRUE,"Unknown")</f>
        <v>Female</v>
      </c>
    </row>
    <row r="870" spans="1:15" x14ac:dyDescent="0.3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1">
        <v>45693</v>
      </c>
      <c r="G870" s="1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f>orders[[#This Row],[Ship Date]]-orders[[#This Row],[Order Date]]</f>
        <v>1</v>
      </c>
      <c r="N870">
        <f>WEEKNUM(orders[[#This Row],[Order Date]])</f>
        <v>6</v>
      </c>
      <c r="O870" t="str" cm="1">
        <f t="array" ref="O870">_xlfn.IFS(orders[[#This Row],[Customer Gender]]="M","Male", orders[[#This Row],[Customer Gender]]="F","Female", orders[[#This Row],[Customer Gender]]="O","Other", TRUE,"Unknown")</f>
        <v>Male</v>
      </c>
    </row>
    <row r="871" spans="1:15" x14ac:dyDescent="0.3">
      <c r="A871" t="s">
        <v>965</v>
      </c>
      <c r="B871" t="s">
        <v>39</v>
      </c>
      <c r="C871">
        <v>5</v>
      </c>
      <c r="D871">
        <v>43.2</v>
      </c>
      <c r="E871">
        <v>216</v>
      </c>
      <c r="F871" s="1">
        <v>45693</v>
      </c>
      <c r="G871" s="1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f>orders[[#This Row],[Ship Date]]-orders[[#This Row],[Order Date]]</f>
        <v>2</v>
      </c>
      <c r="N871">
        <f>WEEKNUM(orders[[#This Row],[Order Date]])</f>
        <v>6</v>
      </c>
      <c r="O871" t="str" cm="1">
        <f t="array" ref="O871">_xlfn.IFS(orders[[#This Row],[Customer Gender]]="M","Male", orders[[#This Row],[Customer Gender]]="F","Female", orders[[#This Row],[Customer Gender]]="O","Other", TRUE,"Unknown")</f>
        <v>Female</v>
      </c>
    </row>
    <row r="872" spans="1:15" x14ac:dyDescent="0.3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1">
        <v>45693</v>
      </c>
      <c r="G872" s="1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f>orders[[#This Row],[Ship Date]]-orders[[#This Row],[Order Date]]</f>
        <v>2</v>
      </c>
      <c r="N872">
        <f>WEEKNUM(orders[[#This Row],[Order Date]])</f>
        <v>6</v>
      </c>
      <c r="O872" t="str" cm="1">
        <f t="array" ref="O872">_xlfn.IFS(orders[[#This Row],[Customer Gender]]="M","Male", orders[[#This Row],[Customer Gender]]="F","Female", orders[[#This Row],[Customer Gender]]="O","Other", TRUE,"Unknown")</f>
        <v>Male</v>
      </c>
    </row>
    <row r="873" spans="1:15" x14ac:dyDescent="0.3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1">
        <v>45693</v>
      </c>
      <c r="G873" s="1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f>orders[[#This Row],[Ship Date]]-orders[[#This Row],[Order Date]]</f>
        <v>1</v>
      </c>
      <c r="N873">
        <f>WEEKNUM(orders[[#This Row],[Order Date]])</f>
        <v>6</v>
      </c>
      <c r="O873" t="str" cm="1">
        <f t="array" ref="O873">_xlfn.IFS(orders[[#This Row],[Customer Gender]]="M","Male", orders[[#This Row],[Customer Gender]]="F","Female", orders[[#This Row],[Customer Gender]]="O","Other", TRUE,"Unknown")</f>
        <v>Female</v>
      </c>
    </row>
    <row r="874" spans="1:15" x14ac:dyDescent="0.3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1">
        <v>45693</v>
      </c>
      <c r="G874" s="1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f>orders[[#This Row],[Ship Date]]-orders[[#This Row],[Order Date]]</f>
        <v>3</v>
      </c>
      <c r="N874">
        <f>WEEKNUM(orders[[#This Row],[Order Date]])</f>
        <v>6</v>
      </c>
      <c r="O874" t="str" cm="1">
        <f t="array" ref="O874">_xlfn.IFS(orders[[#This Row],[Customer Gender]]="M","Male", orders[[#This Row],[Customer Gender]]="F","Female", orders[[#This Row],[Customer Gender]]="O","Other", TRUE,"Unknown")</f>
        <v>Female</v>
      </c>
    </row>
    <row r="875" spans="1:15" x14ac:dyDescent="0.3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1">
        <v>45693</v>
      </c>
      <c r="G875" s="1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f>orders[[#This Row],[Ship Date]]-orders[[#This Row],[Order Date]]</f>
        <v>12</v>
      </c>
      <c r="N875">
        <f>WEEKNUM(orders[[#This Row],[Order Date]])</f>
        <v>6</v>
      </c>
      <c r="O875" t="str" cm="1">
        <f t="array" ref="O875">_xlfn.IFS(orders[[#This Row],[Customer Gender]]="M","Male", orders[[#This Row],[Customer Gender]]="F","Female", orders[[#This Row],[Customer Gender]]="O","Other", TRUE,"Unknown")</f>
        <v>Female</v>
      </c>
    </row>
    <row r="876" spans="1:15" x14ac:dyDescent="0.3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1">
        <v>45693</v>
      </c>
      <c r="G876" s="1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f>orders[[#This Row],[Ship Date]]-orders[[#This Row],[Order Date]]</f>
        <v>6</v>
      </c>
      <c r="N876">
        <f>WEEKNUM(orders[[#This Row],[Order Date]])</f>
        <v>6</v>
      </c>
      <c r="O876" t="str" cm="1">
        <f t="array" ref="O876">_xlfn.IFS(orders[[#This Row],[Customer Gender]]="M","Male", orders[[#This Row],[Customer Gender]]="F","Female", orders[[#This Row],[Customer Gender]]="O","Other", TRUE,"Unknown")</f>
        <v>Female</v>
      </c>
    </row>
    <row r="877" spans="1:15" x14ac:dyDescent="0.3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1">
        <v>45694</v>
      </c>
      <c r="G877" s="1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f>orders[[#This Row],[Ship Date]]-orders[[#This Row],[Order Date]]</f>
        <v>1</v>
      </c>
      <c r="N877">
        <f>WEEKNUM(orders[[#This Row],[Order Date]])</f>
        <v>6</v>
      </c>
      <c r="O877" t="str" cm="1">
        <f t="array" ref="O877">_xlfn.IFS(orders[[#This Row],[Customer Gender]]="M","Male", orders[[#This Row],[Customer Gender]]="F","Female", orders[[#This Row],[Customer Gender]]="O","Other", TRUE,"Unknown")</f>
        <v>Female</v>
      </c>
    </row>
    <row r="878" spans="1:15" x14ac:dyDescent="0.3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1">
        <v>45694</v>
      </c>
      <c r="G878" s="1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f>orders[[#This Row],[Ship Date]]-orders[[#This Row],[Order Date]]</f>
        <v>2</v>
      </c>
      <c r="N878">
        <f>WEEKNUM(orders[[#This Row],[Order Date]])</f>
        <v>6</v>
      </c>
      <c r="O878" t="str" cm="1">
        <f t="array" ref="O878">_xlfn.IFS(orders[[#This Row],[Customer Gender]]="M","Male", orders[[#This Row],[Customer Gender]]="F","Female", orders[[#This Row],[Customer Gender]]="O","Other", TRUE,"Unknown")</f>
        <v>Male</v>
      </c>
    </row>
    <row r="879" spans="1:15" x14ac:dyDescent="0.3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1">
        <v>45694</v>
      </c>
      <c r="G879" s="1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f>orders[[#This Row],[Ship Date]]-orders[[#This Row],[Order Date]]</f>
        <v>6</v>
      </c>
      <c r="N879">
        <f>WEEKNUM(orders[[#This Row],[Order Date]])</f>
        <v>6</v>
      </c>
      <c r="O879" t="str" cm="1">
        <f t="array" ref="O879">_xlfn.IFS(orders[[#This Row],[Customer Gender]]="M","Male", orders[[#This Row],[Customer Gender]]="F","Female", orders[[#This Row],[Customer Gender]]="O","Other", TRUE,"Unknown")</f>
        <v>Female</v>
      </c>
    </row>
    <row r="880" spans="1:15" x14ac:dyDescent="0.3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1">
        <v>45694</v>
      </c>
      <c r="G880" s="1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f>orders[[#This Row],[Ship Date]]-orders[[#This Row],[Order Date]]</f>
        <v>0</v>
      </c>
      <c r="N880">
        <f>WEEKNUM(orders[[#This Row],[Order Date]])</f>
        <v>6</v>
      </c>
      <c r="O880" t="str" cm="1">
        <f t="array" ref="O880">_xlfn.IFS(orders[[#This Row],[Customer Gender]]="M","Male", orders[[#This Row],[Customer Gender]]="F","Female", orders[[#This Row],[Customer Gender]]="O","Other", TRUE,"Unknown")</f>
        <v>Male</v>
      </c>
    </row>
    <row r="881" spans="1:15" x14ac:dyDescent="0.3">
      <c r="A881" t="s">
        <v>976</v>
      </c>
      <c r="B881" t="s">
        <v>54</v>
      </c>
      <c r="C881">
        <v>6</v>
      </c>
      <c r="D881">
        <v>37</v>
      </c>
      <c r="E881">
        <v>222</v>
      </c>
      <c r="F881" s="1">
        <v>45694</v>
      </c>
      <c r="G881" s="1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f>orders[[#This Row],[Ship Date]]-orders[[#This Row],[Order Date]]</f>
        <v>3</v>
      </c>
      <c r="N881">
        <f>WEEKNUM(orders[[#This Row],[Order Date]])</f>
        <v>6</v>
      </c>
      <c r="O881" t="str" cm="1">
        <f t="array" ref="O881">_xlfn.IFS(orders[[#This Row],[Customer Gender]]="M","Male", orders[[#This Row],[Customer Gender]]="F","Female", orders[[#This Row],[Customer Gender]]="O","Other", TRUE,"Unknown")</f>
        <v>Female</v>
      </c>
    </row>
    <row r="882" spans="1:15" x14ac:dyDescent="0.3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1">
        <v>45694</v>
      </c>
      <c r="G882" s="1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f>orders[[#This Row],[Ship Date]]-orders[[#This Row],[Order Date]]</f>
        <v>2</v>
      </c>
      <c r="N882">
        <f>WEEKNUM(orders[[#This Row],[Order Date]])</f>
        <v>6</v>
      </c>
      <c r="O882" t="str" cm="1">
        <f t="array" ref="O882">_xlfn.IFS(orders[[#This Row],[Customer Gender]]="M","Male", orders[[#This Row],[Customer Gender]]="F","Female", orders[[#This Row],[Customer Gender]]="O","Other", TRUE,"Unknown")</f>
        <v>Female</v>
      </c>
    </row>
    <row r="883" spans="1:15" x14ac:dyDescent="0.3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1">
        <v>45694</v>
      </c>
      <c r="G883" s="1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f>orders[[#This Row],[Ship Date]]-orders[[#This Row],[Order Date]]</f>
        <v>1</v>
      </c>
      <c r="N883">
        <f>WEEKNUM(orders[[#This Row],[Order Date]])</f>
        <v>6</v>
      </c>
      <c r="O883" t="str" cm="1">
        <f t="array" ref="O883">_xlfn.IFS(orders[[#This Row],[Customer Gender]]="M","Male", orders[[#This Row],[Customer Gender]]="F","Female", orders[[#This Row],[Customer Gender]]="O","Other", TRUE,"Unknown")</f>
        <v>Female</v>
      </c>
    </row>
    <row r="884" spans="1:15" x14ac:dyDescent="0.3">
      <c r="A884" t="s">
        <v>979</v>
      </c>
      <c r="B884" t="s">
        <v>128</v>
      </c>
      <c r="C884">
        <v>8</v>
      </c>
      <c r="D884">
        <v>74</v>
      </c>
      <c r="E884">
        <v>592</v>
      </c>
      <c r="F884" s="1">
        <v>45694</v>
      </c>
      <c r="G884" s="1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f>orders[[#This Row],[Ship Date]]-orders[[#This Row],[Order Date]]</f>
        <v>1</v>
      </c>
      <c r="N884">
        <f>WEEKNUM(orders[[#This Row],[Order Date]])</f>
        <v>6</v>
      </c>
      <c r="O884" t="str" cm="1">
        <f t="array" ref="O884">_xlfn.IFS(orders[[#This Row],[Customer Gender]]="M","Male", orders[[#This Row],[Customer Gender]]="F","Female", orders[[#This Row],[Customer Gender]]="O","Other", TRUE,"Unknown")</f>
        <v>Female</v>
      </c>
    </row>
    <row r="885" spans="1:15" x14ac:dyDescent="0.3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1">
        <v>45694</v>
      </c>
      <c r="G885" s="1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f>orders[[#This Row],[Ship Date]]-orders[[#This Row],[Order Date]]</f>
        <v>3</v>
      </c>
      <c r="N885">
        <f>WEEKNUM(orders[[#This Row],[Order Date]])</f>
        <v>6</v>
      </c>
      <c r="O885" t="str" cm="1">
        <f t="array" ref="O885">_xlfn.IFS(orders[[#This Row],[Customer Gender]]="M","Male", orders[[#This Row],[Customer Gender]]="F","Female", orders[[#This Row],[Customer Gender]]="O","Other", TRUE,"Unknown")</f>
        <v>Male</v>
      </c>
    </row>
    <row r="886" spans="1:15" x14ac:dyDescent="0.3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1">
        <v>45694</v>
      </c>
      <c r="G886" s="1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f>orders[[#This Row],[Ship Date]]-orders[[#This Row],[Order Date]]</f>
        <v>2</v>
      </c>
      <c r="N886">
        <f>WEEKNUM(orders[[#This Row],[Order Date]])</f>
        <v>6</v>
      </c>
      <c r="O886" t="str" cm="1">
        <f t="array" ref="O886">_xlfn.IFS(orders[[#This Row],[Customer Gender]]="M","Male", orders[[#This Row],[Customer Gender]]="F","Female", orders[[#This Row],[Customer Gender]]="O","Other", TRUE,"Unknown")</f>
        <v>Female</v>
      </c>
    </row>
    <row r="887" spans="1:15" x14ac:dyDescent="0.3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1">
        <v>45694</v>
      </c>
      <c r="G887" s="1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f>orders[[#This Row],[Ship Date]]-orders[[#This Row],[Order Date]]</f>
        <v>7</v>
      </c>
      <c r="N887">
        <f>WEEKNUM(orders[[#This Row],[Order Date]])</f>
        <v>6</v>
      </c>
      <c r="O887" t="str" cm="1">
        <f t="array" ref="O887">_xlfn.IFS(orders[[#This Row],[Customer Gender]]="M","Male", orders[[#This Row],[Customer Gender]]="F","Female", orders[[#This Row],[Customer Gender]]="O","Other", TRUE,"Unknown")</f>
        <v>Male</v>
      </c>
    </row>
    <row r="888" spans="1:15" x14ac:dyDescent="0.3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1">
        <v>45694</v>
      </c>
      <c r="G888" s="1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f>orders[[#This Row],[Ship Date]]-orders[[#This Row],[Order Date]]</f>
        <v>1</v>
      </c>
      <c r="N888">
        <f>WEEKNUM(orders[[#This Row],[Order Date]])</f>
        <v>6</v>
      </c>
      <c r="O888" t="str" cm="1">
        <f t="array" ref="O888">_xlfn.IFS(orders[[#This Row],[Customer Gender]]="M","Male", orders[[#This Row],[Customer Gender]]="F","Female", orders[[#This Row],[Customer Gender]]="O","Other", TRUE,"Unknown")</f>
        <v>Male</v>
      </c>
    </row>
    <row r="889" spans="1:15" x14ac:dyDescent="0.3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1">
        <v>45694</v>
      </c>
      <c r="G889" s="1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f>orders[[#This Row],[Ship Date]]-orders[[#This Row],[Order Date]]</f>
        <v>1</v>
      </c>
      <c r="N889">
        <f>WEEKNUM(orders[[#This Row],[Order Date]])</f>
        <v>6</v>
      </c>
      <c r="O889" t="str" cm="1">
        <f t="array" ref="O889">_xlfn.IFS(orders[[#This Row],[Customer Gender]]="M","Male", orders[[#This Row],[Customer Gender]]="F","Female", orders[[#This Row],[Customer Gender]]="O","Other", TRUE,"Unknown")</f>
        <v>Female</v>
      </c>
    </row>
    <row r="890" spans="1:15" x14ac:dyDescent="0.3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1">
        <v>45694</v>
      </c>
      <c r="G890" s="1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f>orders[[#This Row],[Ship Date]]-orders[[#This Row],[Order Date]]</f>
        <v>4</v>
      </c>
      <c r="N890">
        <f>WEEKNUM(orders[[#This Row],[Order Date]])</f>
        <v>6</v>
      </c>
      <c r="O890" t="str" cm="1">
        <f t="array" ref="O890">_xlfn.IFS(orders[[#This Row],[Customer Gender]]="M","Male", orders[[#This Row],[Customer Gender]]="F","Female", orders[[#This Row],[Customer Gender]]="O","Other", TRUE,"Unknown")</f>
        <v>Female</v>
      </c>
    </row>
    <row r="891" spans="1:15" x14ac:dyDescent="0.3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1">
        <v>45694</v>
      </c>
      <c r="G891" s="1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f>orders[[#This Row],[Ship Date]]-orders[[#This Row],[Order Date]]</f>
        <v>1</v>
      </c>
      <c r="N891">
        <f>WEEKNUM(orders[[#This Row],[Order Date]])</f>
        <v>6</v>
      </c>
      <c r="O891" t="str" cm="1">
        <f t="array" ref="O891">_xlfn.IFS(orders[[#This Row],[Customer Gender]]="M","Male", orders[[#This Row],[Customer Gender]]="F","Female", orders[[#This Row],[Customer Gender]]="O","Other", TRUE,"Unknown")</f>
        <v>Female</v>
      </c>
    </row>
    <row r="892" spans="1:15" x14ac:dyDescent="0.3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1">
        <v>45694</v>
      </c>
      <c r="G892" s="1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f>orders[[#This Row],[Ship Date]]-orders[[#This Row],[Order Date]]</f>
        <v>1</v>
      </c>
      <c r="N892">
        <f>WEEKNUM(orders[[#This Row],[Order Date]])</f>
        <v>6</v>
      </c>
      <c r="O892" t="str" cm="1">
        <f t="array" ref="O892">_xlfn.IFS(orders[[#This Row],[Customer Gender]]="M","Male", orders[[#This Row],[Customer Gender]]="F","Female", orders[[#This Row],[Customer Gender]]="O","Other", TRUE,"Unknown")</f>
        <v>Female</v>
      </c>
    </row>
    <row r="893" spans="1:15" x14ac:dyDescent="0.3">
      <c r="A893" t="s">
        <v>988</v>
      </c>
      <c r="B893" t="s">
        <v>32</v>
      </c>
      <c r="C893">
        <v>5</v>
      </c>
      <c r="D893">
        <v>34.6</v>
      </c>
      <c r="E893">
        <v>173</v>
      </c>
      <c r="F893" s="1">
        <v>45694</v>
      </c>
      <c r="G893" s="1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f>orders[[#This Row],[Ship Date]]-orders[[#This Row],[Order Date]]</f>
        <v>2</v>
      </c>
      <c r="N893">
        <f>WEEKNUM(orders[[#This Row],[Order Date]])</f>
        <v>6</v>
      </c>
      <c r="O893" t="str" cm="1">
        <f t="array" ref="O893">_xlfn.IFS(orders[[#This Row],[Customer Gender]]="M","Male", orders[[#This Row],[Customer Gender]]="F","Female", orders[[#This Row],[Customer Gender]]="O","Other", TRUE,"Unknown")</f>
        <v>Male</v>
      </c>
    </row>
    <row r="894" spans="1:15" x14ac:dyDescent="0.3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1">
        <v>45694</v>
      </c>
      <c r="G894" s="1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f>orders[[#This Row],[Ship Date]]-orders[[#This Row],[Order Date]]</f>
        <v>6</v>
      </c>
      <c r="N894">
        <f>WEEKNUM(orders[[#This Row],[Order Date]])</f>
        <v>6</v>
      </c>
      <c r="O894" t="str" cm="1">
        <f t="array" ref="O894">_xlfn.IFS(orders[[#This Row],[Customer Gender]]="M","Male", orders[[#This Row],[Customer Gender]]="F","Female", orders[[#This Row],[Customer Gender]]="O","Other", TRUE,"Unknown")</f>
        <v>Male</v>
      </c>
    </row>
    <row r="895" spans="1:15" x14ac:dyDescent="0.3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1">
        <v>45694</v>
      </c>
      <c r="G895" s="1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f>orders[[#This Row],[Ship Date]]-orders[[#This Row],[Order Date]]</f>
        <v>2</v>
      </c>
      <c r="N895">
        <f>WEEKNUM(orders[[#This Row],[Order Date]])</f>
        <v>6</v>
      </c>
      <c r="O895" t="str" cm="1">
        <f t="array" ref="O895">_xlfn.IFS(orders[[#This Row],[Customer Gender]]="M","Male", orders[[#This Row],[Customer Gender]]="F","Female", orders[[#This Row],[Customer Gender]]="O","Other", TRUE,"Unknown")</f>
        <v>Female</v>
      </c>
    </row>
    <row r="896" spans="1:15" x14ac:dyDescent="0.3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1">
        <v>45694</v>
      </c>
      <c r="G896" s="1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f>orders[[#This Row],[Ship Date]]-orders[[#This Row],[Order Date]]</f>
        <v>2</v>
      </c>
      <c r="N896">
        <f>WEEKNUM(orders[[#This Row],[Order Date]])</f>
        <v>6</v>
      </c>
      <c r="O896" t="str" cm="1">
        <f t="array" ref="O896">_xlfn.IFS(orders[[#This Row],[Customer Gender]]="M","Male", orders[[#This Row],[Customer Gender]]="F","Female", orders[[#This Row],[Customer Gender]]="O","Other", TRUE,"Unknown")</f>
        <v>Female</v>
      </c>
    </row>
    <row r="897" spans="1:15" x14ac:dyDescent="0.3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1">
        <v>45694</v>
      </c>
      <c r="G897" s="1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f>orders[[#This Row],[Ship Date]]-orders[[#This Row],[Order Date]]</f>
        <v>1</v>
      </c>
      <c r="N897">
        <f>WEEKNUM(orders[[#This Row],[Order Date]])</f>
        <v>6</v>
      </c>
      <c r="O897" t="str" cm="1">
        <f t="array" ref="O897">_xlfn.IFS(orders[[#This Row],[Customer Gender]]="M","Male", orders[[#This Row],[Customer Gender]]="F","Female", orders[[#This Row],[Customer Gender]]="O","Other", TRUE,"Unknown")</f>
        <v>Female</v>
      </c>
    </row>
    <row r="898" spans="1:15" x14ac:dyDescent="0.3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1">
        <v>45694</v>
      </c>
      <c r="G898" s="1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f>orders[[#This Row],[Ship Date]]-orders[[#This Row],[Order Date]]</f>
        <v>5</v>
      </c>
      <c r="N898">
        <f>WEEKNUM(orders[[#This Row],[Order Date]])</f>
        <v>6</v>
      </c>
      <c r="O898" t="str" cm="1">
        <f t="array" ref="O898">_xlfn.IFS(orders[[#This Row],[Customer Gender]]="M","Male", orders[[#This Row],[Customer Gender]]="F","Female", orders[[#This Row],[Customer Gender]]="O","Other", TRUE,"Unknown")</f>
        <v>Female</v>
      </c>
    </row>
    <row r="899" spans="1:15" x14ac:dyDescent="0.3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1">
        <v>45694</v>
      </c>
      <c r="G899" s="1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f>orders[[#This Row],[Ship Date]]-orders[[#This Row],[Order Date]]</f>
        <v>2</v>
      </c>
      <c r="N899">
        <f>WEEKNUM(orders[[#This Row],[Order Date]])</f>
        <v>6</v>
      </c>
      <c r="O899" t="str" cm="1">
        <f t="array" ref="O899">_xlfn.IFS(orders[[#This Row],[Customer Gender]]="M","Male", orders[[#This Row],[Customer Gender]]="F","Female", orders[[#This Row],[Customer Gender]]="O","Other", TRUE,"Unknown")</f>
        <v>Female</v>
      </c>
    </row>
    <row r="900" spans="1:15" x14ac:dyDescent="0.3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1">
        <v>45694</v>
      </c>
      <c r="G900" s="1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f>orders[[#This Row],[Ship Date]]-orders[[#This Row],[Order Date]]</f>
        <v>1</v>
      </c>
      <c r="N900">
        <f>WEEKNUM(orders[[#This Row],[Order Date]])</f>
        <v>6</v>
      </c>
      <c r="O900" t="str" cm="1">
        <f t="array" ref="O900">_xlfn.IFS(orders[[#This Row],[Customer Gender]]="M","Male", orders[[#This Row],[Customer Gender]]="F","Female", orders[[#This Row],[Customer Gender]]="O","Other", TRUE,"Unknown")</f>
        <v>Female</v>
      </c>
    </row>
    <row r="901" spans="1:15" x14ac:dyDescent="0.3">
      <c r="A901" t="s">
        <v>996</v>
      </c>
      <c r="B901" t="s">
        <v>46</v>
      </c>
      <c r="C901">
        <v>9</v>
      </c>
      <c r="D901">
        <v>70</v>
      </c>
      <c r="E901">
        <v>630</v>
      </c>
      <c r="F901" s="1">
        <v>45694</v>
      </c>
      <c r="G901" s="1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f>orders[[#This Row],[Ship Date]]-orders[[#This Row],[Order Date]]</f>
        <v>1</v>
      </c>
      <c r="N901">
        <f>WEEKNUM(orders[[#This Row],[Order Date]])</f>
        <v>6</v>
      </c>
      <c r="O901" t="str" cm="1">
        <f t="array" ref="O901">_xlfn.IFS(orders[[#This Row],[Customer Gender]]="M","Male", orders[[#This Row],[Customer Gender]]="F","Female", orders[[#This Row],[Customer Gender]]="O","Other", TRUE,"Unknown")</f>
        <v>Unknown</v>
      </c>
    </row>
    <row r="902" spans="1:15" x14ac:dyDescent="0.3">
      <c r="A902" t="s">
        <v>998</v>
      </c>
      <c r="B902" t="s">
        <v>16</v>
      </c>
      <c r="C902">
        <v>2</v>
      </c>
      <c r="D902">
        <v>20.5</v>
      </c>
      <c r="E902">
        <v>41</v>
      </c>
      <c r="F902" s="1">
        <v>45694</v>
      </c>
      <c r="G902" s="1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f>orders[[#This Row],[Ship Date]]-orders[[#This Row],[Order Date]]</f>
        <v>2</v>
      </c>
      <c r="N902">
        <f>WEEKNUM(orders[[#This Row],[Order Date]])</f>
        <v>6</v>
      </c>
      <c r="O902" t="str" cm="1">
        <f t="array" ref="O902">_xlfn.IFS(orders[[#This Row],[Customer Gender]]="M","Male", orders[[#This Row],[Customer Gender]]="F","Female", orders[[#This Row],[Customer Gender]]="O","Other", TRUE,"Unknown")</f>
        <v>Female</v>
      </c>
    </row>
    <row r="903" spans="1:15" x14ac:dyDescent="0.3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1">
        <v>45694</v>
      </c>
      <c r="G903" s="1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f>orders[[#This Row],[Ship Date]]-orders[[#This Row],[Order Date]]</f>
        <v>1</v>
      </c>
      <c r="N903">
        <f>WEEKNUM(orders[[#This Row],[Order Date]])</f>
        <v>6</v>
      </c>
      <c r="O903" t="str" cm="1">
        <f t="array" ref="O903">_xlfn.IFS(orders[[#This Row],[Customer Gender]]="M","Male", orders[[#This Row],[Customer Gender]]="F","Female", orders[[#This Row],[Customer Gender]]="O","Other", TRUE,"Unknown")</f>
        <v>Female</v>
      </c>
    </row>
    <row r="904" spans="1:15" x14ac:dyDescent="0.3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1">
        <v>45694</v>
      </c>
      <c r="G904" s="1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f>orders[[#This Row],[Ship Date]]-orders[[#This Row],[Order Date]]</f>
        <v>1</v>
      </c>
      <c r="N904">
        <f>WEEKNUM(orders[[#This Row],[Order Date]])</f>
        <v>6</v>
      </c>
      <c r="O904" t="str" cm="1">
        <f t="array" ref="O904">_xlfn.IFS(orders[[#This Row],[Customer Gender]]="M","Male", orders[[#This Row],[Customer Gender]]="F","Female", orders[[#This Row],[Customer Gender]]="O","Other", TRUE,"Unknown")</f>
        <v>Male</v>
      </c>
    </row>
    <row r="905" spans="1:15" x14ac:dyDescent="0.3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1">
        <v>45694</v>
      </c>
      <c r="G905" s="1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f>orders[[#This Row],[Ship Date]]-orders[[#This Row],[Order Date]]</f>
        <v>2</v>
      </c>
      <c r="N905">
        <f>WEEKNUM(orders[[#This Row],[Order Date]])</f>
        <v>6</v>
      </c>
      <c r="O905" t="str" cm="1">
        <f t="array" ref="O905">_xlfn.IFS(orders[[#This Row],[Customer Gender]]="M","Male", orders[[#This Row],[Customer Gender]]="F","Female", orders[[#This Row],[Customer Gender]]="O","Other", TRUE,"Unknown")</f>
        <v>Female</v>
      </c>
    </row>
    <row r="906" spans="1:15" x14ac:dyDescent="0.3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1">
        <v>45694</v>
      </c>
      <c r="G906" s="1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f>orders[[#This Row],[Ship Date]]-orders[[#This Row],[Order Date]]</f>
        <v>3</v>
      </c>
      <c r="N906">
        <f>WEEKNUM(orders[[#This Row],[Order Date]])</f>
        <v>6</v>
      </c>
      <c r="O906" t="str" cm="1">
        <f t="array" ref="O906">_xlfn.IFS(orders[[#This Row],[Customer Gender]]="M","Male", orders[[#This Row],[Customer Gender]]="F","Female", orders[[#This Row],[Customer Gender]]="O","Other", TRUE,"Unknown")</f>
        <v>Other</v>
      </c>
    </row>
    <row r="907" spans="1:15" x14ac:dyDescent="0.3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1">
        <v>45694</v>
      </c>
      <c r="G907" s="1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f>orders[[#This Row],[Ship Date]]-orders[[#This Row],[Order Date]]</f>
        <v>4</v>
      </c>
      <c r="N907">
        <f>WEEKNUM(orders[[#This Row],[Order Date]])</f>
        <v>6</v>
      </c>
      <c r="O907" t="str" cm="1">
        <f t="array" ref="O907">_xlfn.IFS(orders[[#This Row],[Customer Gender]]="M","Male", orders[[#This Row],[Customer Gender]]="F","Female", orders[[#This Row],[Customer Gender]]="O","Other", TRUE,"Unknown")</f>
        <v>Unknown</v>
      </c>
    </row>
    <row r="908" spans="1:15" x14ac:dyDescent="0.3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1">
        <v>45694</v>
      </c>
      <c r="G908" s="1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f>orders[[#This Row],[Ship Date]]-orders[[#This Row],[Order Date]]</f>
        <v>13</v>
      </c>
      <c r="N908">
        <f>WEEKNUM(orders[[#This Row],[Order Date]])</f>
        <v>6</v>
      </c>
      <c r="O908" t="str" cm="1">
        <f t="array" ref="O908">_xlfn.IFS(orders[[#This Row],[Customer Gender]]="M","Male", orders[[#This Row],[Customer Gender]]="F","Female", orders[[#This Row],[Customer Gender]]="O","Other", TRUE,"Unknown")</f>
        <v>Female</v>
      </c>
    </row>
    <row r="909" spans="1:15" x14ac:dyDescent="0.3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1">
        <v>45694</v>
      </c>
      <c r="G909" s="1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f>orders[[#This Row],[Ship Date]]-orders[[#This Row],[Order Date]]</f>
        <v>2</v>
      </c>
      <c r="N909">
        <f>WEEKNUM(orders[[#This Row],[Order Date]])</f>
        <v>6</v>
      </c>
      <c r="O909" t="str" cm="1">
        <f t="array" ref="O909">_xlfn.IFS(orders[[#This Row],[Customer Gender]]="M","Male", orders[[#This Row],[Customer Gender]]="F","Female", orders[[#This Row],[Customer Gender]]="O","Other", TRUE,"Unknown")</f>
        <v>Male</v>
      </c>
    </row>
    <row r="910" spans="1:15" x14ac:dyDescent="0.3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1">
        <v>45694</v>
      </c>
      <c r="G910" s="1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f>orders[[#This Row],[Ship Date]]-orders[[#This Row],[Order Date]]</f>
        <v>1</v>
      </c>
      <c r="N910">
        <f>WEEKNUM(orders[[#This Row],[Order Date]])</f>
        <v>6</v>
      </c>
      <c r="O910" t="str" cm="1">
        <f t="array" ref="O910">_xlfn.IFS(orders[[#This Row],[Customer Gender]]="M","Male", orders[[#This Row],[Customer Gender]]="F","Female", orders[[#This Row],[Customer Gender]]="O","Other", TRUE,"Unknown")</f>
        <v>Male</v>
      </c>
    </row>
    <row r="911" spans="1:15" x14ac:dyDescent="0.3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1">
        <v>45694</v>
      </c>
      <c r="G911" s="1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f>orders[[#This Row],[Ship Date]]-orders[[#This Row],[Order Date]]</f>
        <v>0</v>
      </c>
      <c r="N911">
        <f>WEEKNUM(orders[[#This Row],[Order Date]])</f>
        <v>6</v>
      </c>
      <c r="O911" t="str" cm="1">
        <f t="array" ref="O911">_xlfn.IFS(orders[[#This Row],[Customer Gender]]="M","Male", orders[[#This Row],[Customer Gender]]="F","Female", orders[[#This Row],[Customer Gender]]="O","Other", TRUE,"Unknown")</f>
        <v>Unknown</v>
      </c>
    </row>
    <row r="912" spans="1:15" x14ac:dyDescent="0.3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1">
        <v>45694</v>
      </c>
      <c r="G912" s="1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f>orders[[#This Row],[Ship Date]]-orders[[#This Row],[Order Date]]</f>
        <v>1</v>
      </c>
      <c r="N912">
        <f>WEEKNUM(orders[[#This Row],[Order Date]])</f>
        <v>6</v>
      </c>
      <c r="O912" t="str" cm="1">
        <f t="array" ref="O912">_xlfn.IFS(orders[[#This Row],[Customer Gender]]="M","Male", orders[[#This Row],[Customer Gender]]="F","Female", orders[[#This Row],[Customer Gender]]="O","Other", TRUE,"Unknown")</f>
        <v>Male</v>
      </c>
    </row>
    <row r="913" spans="1:15" x14ac:dyDescent="0.3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1">
        <v>45694</v>
      </c>
      <c r="G913" s="1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f>orders[[#This Row],[Ship Date]]-orders[[#This Row],[Order Date]]</f>
        <v>2</v>
      </c>
      <c r="N913">
        <f>WEEKNUM(orders[[#This Row],[Order Date]])</f>
        <v>6</v>
      </c>
      <c r="O913" t="str" cm="1">
        <f t="array" ref="O913">_xlfn.IFS(orders[[#This Row],[Customer Gender]]="M","Male", orders[[#This Row],[Customer Gender]]="F","Female", orders[[#This Row],[Customer Gender]]="O","Other", TRUE,"Unknown")</f>
        <v>Male</v>
      </c>
    </row>
    <row r="914" spans="1:15" x14ac:dyDescent="0.3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1">
        <v>45694</v>
      </c>
      <c r="G914" s="1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f>orders[[#This Row],[Ship Date]]-orders[[#This Row],[Order Date]]</f>
        <v>2</v>
      </c>
      <c r="N914">
        <f>WEEKNUM(orders[[#This Row],[Order Date]])</f>
        <v>6</v>
      </c>
      <c r="O914" t="str" cm="1">
        <f t="array" ref="O914">_xlfn.IFS(orders[[#This Row],[Customer Gender]]="M","Male", orders[[#This Row],[Customer Gender]]="F","Female", orders[[#This Row],[Customer Gender]]="O","Other", TRUE,"Unknown")</f>
        <v>Male</v>
      </c>
    </row>
    <row r="915" spans="1:15" x14ac:dyDescent="0.3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1">
        <v>45694</v>
      </c>
      <c r="G915" s="1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f>orders[[#This Row],[Ship Date]]-orders[[#This Row],[Order Date]]</f>
        <v>2</v>
      </c>
      <c r="N915">
        <f>WEEKNUM(orders[[#This Row],[Order Date]])</f>
        <v>6</v>
      </c>
      <c r="O915" t="str" cm="1">
        <f t="array" ref="O915">_xlfn.IFS(orders[[#This Row],[Customer Gender]]="M","Male", orders[[#This Row],[Customer Gender]]="F","Female", orders[[#This Row],[Customer Gender]]="O","Other", TRUE,"Unknown")</f>
        <v>Unknown</v>
      </c>
    </row>
    <row r="916" spans="1:15" x14ac:dyDescent="0.3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1">
        <v>45694</v>
      </c>
      <c r="G916" s="1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f>orders[[#This Row],[Ship Date]]-orders[[#This Row],[Order Date]]</f>
        <v>1</v>
      </c>
      <c r="N916">
        <f>WEEKNUM(orders[[#This Row],[Order Date]])</f>
        <v>6</v>
      </c>
      <c r="O916" t="str" cm="1">
        <f t="array" ref="O916">_xlfn.IFS(orders[[#This Row],[Customer Gender]]="M","Male", orders[[#This Row],[Customer Gender]]="F","Female", orders[[#This Row],[Customer Gender]]="O","Other", TRUE,"Unknown")</f>
        <v>Female</v>
      </c>
    </row>
    <row r="917" spans="1:15" x14ac:dyDescent="0.3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1">
        <v>45694</v>
      </c>
      <c r="G917" s="1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f>orders[[#This Row],[Ship Date]]-orders[[#This Row],[Order Date]]</f>
        <v>4</v>
      </c>
      <c r="N917">
        <f>WEEKNUM(orders[[#This Row],[Order Date]])</f>
        <v>6</v>
      </c>
      <c r="O917" t="str" cm="1">
        <f t="array" ref="O917">_xlfn.IFS(orders[[#This Row],[Customer Gender]]="M","Male", orders[[#This Row],[Customer Gender]]="F","Female", orders[[#This Row],[Customer Gender]]="O","Other", TRUE,"Unknown")</f>
        <v>Female</v>
      </c>
    </row>
    <row r="918" spans="1:15" x14ac:dyDescent="0.3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1">
        <v>45694</v>
      </c>
      <c r="G918" s="1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f>orders[[#This Row],[Ship Date]]-orders[[#This Row],[Order Date]]</f>
        <v>2</v>
      </c>
      <c r="N918">
        <f>WEEKNUM(orders[[#This Row],[Order Date]])</f>
        <v>6</v>
      </c>
      <c r="O918" t="str" cm="1">
        <f t="array" ref="O918">_xlfn.IFS(orders[[#This Row],[Customer Gender]]="M","Male", orders[[#This Row],[Customer Gender]]="F","Female", orders[[#This Row],[Customer Gender]]="O","Other", TRUE,"Unknown")</f>
        <v>Male</v>
      </c>
    </row>
    <row r="919" spans="1:15" x14ac:dyDescent="0.3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1">
        <v>45694</v>
      </c>
      <c r="G919" s="1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f>orders[[#This Row],[Ship Date]]-orders[[#This Row],[Order Date]]</f>
        <v>4</v>
      </c>
      <c r="N919">
        <f>WEEKNUM(orders[[#This Row],[Order Date]])</f>
        <v>6</v>
      </c>
      <c r="O919" t="str" cm="1">
        <f t="array" ref="O919">_xlfn.IFS(orders[[#This Row],[Customer Gender]]="M","Male", orders[[#This Row],[Customer Gender]]="F","Female", orders[[#This Row],[Customer Gender]]="O","Other", TRUE,"Unknown")</f>
        <v>Female</v>
      </c>
    </row>
    <row r="920" spans="1:15" x14ac:dyDescent="0.3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1">
        <v>45694</v>
      </c>
      <c r="G920" s="1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f>orders[[#This Row],[Ship Date]]-orders[[#This Row],[Order Date]]</f>
        <v>4</v>
      </c>
      <c r="N920">
        <f>WEEKNUM(orders[[#This Row],[Order Date]])</f>
        <v>6</v>
      </c>
      <c r="O920" t="str" cm="1">
        <f t="array" ref="O920">_xlfn.IFS(orders[[#This Row],[Customer Gender]]="M","Male", orders[[#This Row],[Customer Gender]]="F","Female", orders[[#This Row],[Customer Gender]]="O","Other", TRUE,"Unknown")</f>
        <v>Male</v>
      </c>
    </row>
    <row r="921" spans="1:15" x14ac:dyDescent="0.3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1">
        <v>45694</v>
      </c>
      <c r="G921" s="1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f>orders[[#This Row],[Ship Date]]-orders[[#This Row],[Order Date]]</f>
        <v>3</v>
      </c>
      <c r="N921">
        <f>WEEKNUM(orders[[#This Row],[Order Date]])</f>
        <v>6</v>
      </c>
      <c r="O921" t="str" cm="1">
        <f t="array" ref="O921">_xlfn.IFS(orders[[#This Row],[Customer Gender]]="M","Male", orders[[#This Row],[Customer Gender]]="F","Female", orders[[#This Row],[Customer Gender]]="O","Other", TRUE,"Unknown")</f>
        <v>Female</v>
      </c>
    </row>
    <row r="922" spans="1:15" x14ac:dyDescent="0.3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1">
        <v>45694</v>
      </c>
      <c r="G922" s="1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f>orders[[#This Row],[Ship Date]]-orders[[#This Row],[Order Date]]</f>
        <v>1</v>
      </c>
      <c r="N922">
        <f>WEEKNUM(orders[[#This Row],[Order Date]])</f>
        <v>6</v>
      </c>
      <c r="O922" t="str" cm="1">
        <f t="array" ref="O922">_xlfn.IFS(orders[[#This Row],[Customer Gender]]="M","Male", orders[[#This Row],[Customer Gender]]="F","Female", orders[[#This Row],[Customer Gender]]="O","Other", TRUE,"Unknown")</f>
        <v>Unknown</v>
      </c>
    </row>
    <row r="923" spans="1:15" x14ac:dyDescent="0.3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1">
        <v>45694</v>
      </c>
      <c r="G923" s="1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f>orders[[#This Row],[Ship Date]]-orders[[#This Row],[Order Date]]</f>
        <v>2</v>
      </c>
      <c r="N923">
        <f>WEEKNUM(orders[[#This Row],[Order Date]])</f>
        <v>6</v>
      </c>
      <c r="O923" t="str" cm="1">
        <f t="array" ref="O923">_xlfn.IFS(orders[[#This Row],[Customer Gender]]="M","Male", orders[[#This Row],[Customer Gender]]="F","Female", orders[[#This Row],[Customer Gender]]="O","Other", TRUE,"Unknown")</f>
        <v>Other</v>
      </c>
    </row>
    <row r="924" spans="1:15" x14ac:dyDescent="0.3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1">
        <v>45694</v>
      </c>
      <c r="G924" s="1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f>orders[[#This Row],[Ship Date]]-orders[[#This Row],[Order Date]]</f>
        <v>5</v>
      </c>
      <c r="N924">
        <f>WEEKNUM(orders[[#This Row],[Order Date]])</f>
        <v>6</v>
      </c>
      <c r="O924" t="str" cm="1">
        <f t="array" ref="O924">_xlfn.IFS(orders[[#This Row],[Customer Gender]]="M","Male", orders[[#This Row],[Customer Gender]]="F","Female", orders[[#This Row],[Customer Gender]]="O","Other", TRUE,"Unknown")</f>
        <v>Female</v>
      </c>
    </row>
    <row r="925" spans="1:15" x14ac:dyDescent="0.3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1">
        <v>45694</v>
      </c>
      <c r="G925" s="1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f>orders[[#This Row],[Ship Date]]-orders[[#This Row],[Order Date]]</f>
        <v>2</v>
      </c>
      <c r="N925">
        <f>WEEKNUM(orders[[#This Row],[Order Date]])</f>
        <v>6</v>
      </c>
      <c r="O925" t="str" cm="1">
        <f t="array" ref="O925">_xlfn.IFS(orders[[#This Row],[Customer Gender]]="M","Male", orders[[#This Row],[Customer Gender]]="F","Female", orders[[#This Row],[Customer Gender]]="O","Other", TRUE,"Unknown")</f>
        <v>Female</v>
      </c>
    </row>
    <row r="926" spans="1:15" x14ac:dyDescent="0.3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1">
        <v>45694</v>
      </c>
      <c r="G926" s="1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f>orders[[#This Row],[Ship Date]]-orders[[#This Row],[Order Date]]</f>
        <v>4</v>
      </c>
      <c r="N926">
        <f>WEEKNUM(orders[[#This Row],[Order Date]])</f>
        <v>6</v>
      </c>
      <c r="O926" t="str" cm="1">
        <f t="array" ref="O926">_xlfn.IFS(orders[[#This Row],[Customer Gender]]="M","Male", orders[[#This Row],[Customer Gender]]="F","Female", orders[[#This Row],[Customer Gender]]="O","Other", TRUE,"Unknown")</f>
        <v>Male</v>
      </c>
    </row>
    <row r="927" spans="1:15" x14ac:dyDescent="0.3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1">
        <v>45694</v>
      </c>
      <c r="G927" s="1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f>orders[[#This Row],[Ship Date]]-orders[[#This Row],[Order Date]]</f>
        <v>2</v>
      </c>
      <c r="N927">
        <f>WEEKNUM(orders[[#This Row],[Order Date]])</f>
        <v>6</v>
      </c>
      <c r="O927" t="str" cm="1">
        <f t="array" ref="O927">_xlfn.IFS(orders[[#This Row],[Customer Gender]]="M","Male", orders[[#This Row],[Customer Gender]]="F","Female", orders[[#This Row],[Customer Gender]]="O","Other", TRUE,"Unknown")</f>
        <v>Unknown</v>
      </c>
    </row>
    <row r="928" spans="1:15" x14ac:dyDescent="0.3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1">
        <v>45694</v>
      </c>
      <c r="G928" s="1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f>orders[[#This Row],[Ship Date]]-orders[[#This Row],[Order Date]]</f>
        <v>2</v>
      </c>
      <c r="N928">
        <f>WEEKNUM(orders[[#This Row],[Order Date]])</f>
        <v>6</v>
      </c>
      <c r="O928" t="str" cm="1">
        <f t="array" ref="O928">_xlfn.IFS(orders[[#This Row],[Customer Gender]]="M","Male", orders[[#This Row],[Customer Gender]]="F","Female", orders[[#This Row],[Customer Gender]]="O","Other", TRUE,"Unknown")</f>
        <v>Female</v>
      </c>
    </row>
    <row r="929" spans="1:15" x14ac:dyDescent="0.3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1">
        <v>45694</v>
      </c>
      <c r="G929" s="1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f>orders[[#This Row],[Ship Date]]-orders[[#This Row],[Order Date]]</f>
        <v>2</v>
      </c>
      <c r="N929">
        <f>WEEKNUM(orders[[#This Row],[Order Date]])</f>
        <v>6</v>
      </c>
      <c r="O929" t="str" cm="1">
        <f t="array" ref="O929">_xlfn.IFS(orders[[#This Row],[Customer Gender]]="M","Male", orders[[#This Row],[Customer Gender]]="F","Female", orders[[#This Row],[Customer Gender]]="O","Other", TRUE,"Unknown")</f>
        <v>Female</v>
      </c>
    </row>
    <row r="930" spans="1:15" x14ac:dyDescent="0.3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1">
        <v>45694</v>
      </c>
      <c r="G930" s="1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f>orders[[#This Row],[Ship Date]]-orders[[#This Row],[Order Date]]</f>
        <v>2</v>
      </c>
      <c r="N930">
        <f>WEEKNUM(orders[[#This Row],[Order Date]])</f>
        <v>6</v>
      </c>
      <c r="O930" t="str" cm="1">
        <f t="array" ref="O930">_xlfn.IFS(orders[[#This Row],[Customer Gender]]="M","Male", orders[[#This Row],[Customer Gender]]="F","Female", orders[[#This Row],[Customer Gender]]="O","Other", TRUE,"Unknown")</f>
        <v>Female</v>
      </c>
    </row>
    <row r="931" spans="1:15" x14ac:dyDescent="0.3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1">
        <v>45694</v>
      </c>
      <c r="G931" s="1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f>orders[[#This Row],[Ship Date]]-orders[[#This Row],[Order Date]]</f>
        <v>8</v>
      </c>
      <c r="N931">
        <f>WEEKNUM(orders[[#This Row],[Order Date]])</f>
        <v>6</v>
      </c>
      <c r="O931" t="str" cm="1">
        <f t="array" ref="O931">_xlfn.IFS(orders[[#This Row],[Customer Gender]]="M","Male", orders[[#This Row],[Customer Gender]]="F","Female", orders[[#This Row],[Customer Gender]]="O","Other", TRUE,"Unknown")</f>
        <v>Female</v>
      </c>
    </row>
    <row r="932" spans="1:15" x14ac:dyDescent="0.3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1">
        <v>45694</v>
      </c>
      <c r="G932" s="1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f>orders[[#This Row],[Ship Date]]-orders[[#This Row],[Order Date]]</f>
        <v>0</v>
      </c>
      <c r="N932">
        <f>WEEKNUM(orders[[#This Row],[Order Date]])</f>
        <v>6</v>
      </c>
      <c r="O932" t="str" cm="1">
        <f t="array" ref="O932">_xlfn.IFS(orders[[#This Row],[Customer Gender]]="M","Male", orders[[#This Row],[Customer Gender]]="F","Female", orders[[#This Row],[Customer Gender]]="O","Other", TRUE,"Unknown")</f>
        <v>Female</v>
      </c>
    </row>
    <row r="933" spans="1:15" x14ac:dyDescent="0.3">
      <c r="A933" t="s">
        <v>1029</v>
      </c>
      <c r="B933" t="s">
        <v>39</v>
      </c>
      <c r="C933">
        <v>7</v>
      </c>
      <c r="D933">
        <v>103</v>
      </c>
      <c r="E933">
        <v>721</v>
      </c>
      <c r="F933" s="1">
        <v>45695</v>
      </c>
      <c r="G933" s="1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f>orders[[#This Row],[Ship Date]]-orders[[#This Row],[Order Date]]</f>
        <v>1</v>
      </c>
      <c r="N933">
        <f>WEEKNUM(orders[[#This Row],[Order Date]])</f>
        <v>6</v>
      </c>
      <c r="O933" t="str" cm="1">
        <f t="array" ref="O933">_xlfn.IFS(orders[[#This Row],[Customer Gender]]="M","Male", orders[[#This Row],[Customer Gender]]="F","Female", orders[[#This Row],[Customer Gender]]="O","Other", TRUE,"Unknown")</f>
        <v>Male</v>
      </c>
    </row>
    <row r="934" spans="1:15" x14ac:dyDescent="0.3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1">
        <v>45695</v>
      </c>
      <c r="G934" s="1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f>orders[[#This Row],[Ship Date]]-orders[[#This Row],[Order Date]]</f>
        <v>1</v>
      </c>
      <c r="N934">
        <f>WEEKNUM(orders[[#This Row],[Order Date]])</f>
        <v>6</v>
      </c>
      <c r="O934" t="str" cm="1">
        <f t="array" ref="O934">_xlfn.IFS(orders[[#This Row],[Customer Gender]]="M","Male", orders[[#This Row],[Customer Gender]]="F","Female", orders[[#This Row],[Customer Gender]]="O","Other", TRUE,"Unknown")</f>
        <v>Female</v>
      </c>
    </row>
    <row r="935" spans="1:15" x14ac:dyDescent="0.3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1">
        <v>45695</v>
      </c>
      <c r="G935" s="1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f>orders[[#This Row],[Ship Date]]-orders[[#This Row],[Order Date]]</f>
        <v>3</v>
      </c>
      <c r="N935">
        <f>WEEKNUM(orders[[#This Row],[Order Date]])</f>
        <v>6</v>
      </c>
      <c r="O935" t="str" cm="1">
        <f t="array" ref="O935">_xlfn.IFS(orders[[#This Row],[Customer Gender]]="M","Male", orders[[#This Row],[Customer Gender]]="F","Female", orders[[#This Row],[Customer Gender]]="O","Other", TRUE,"Unknown")</f>
        <v>Female</v>
      </c>
    </row>
    <row r="936" spans="1:15" x14ac:dyDescent="0.3">
      <c r="A936" t="s">
        <v>1032</v>
      </c>
      <c r="B936" t="s">
        <v>44</v>
      </c>
      <c r="C936">
        <v>3</v>
      </c>
      <c r="D936">
        <v>22</v>
      </c>
      <c r="E936">
        <v>66</v>
      </c>
      <c r="F936" s="1">
        <v>45695</v>
      </c>
      <c r="G936" s="1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f>orders[[#This Row],[Ship Date]]-orders[[#This Row],[Order Date]]</f>
        <v>7</v>
      </c>
      <c r="N936">
        <f>WEEKNUM(orders[[#This Row],[Order Date]])</f>
        <v>6</v>
      </c>
      <c r="O936" t="str" cm="1">
        <f t="array" ref="O936">_xlfn.IFS(orders[[#This Row],[Customer Gender]]="M","Male", orders[[#This Row],[Customer Gender]]="F","Female", orders[[#This Row],[Customer Gender]]="O","Other", TRUE,"Unknown")</f>
        <v>Male</v>
      </c>
    </row>
    <row r="937" spans="1:15" x14ac:dyDescent="0.3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1">
        <v>45695</v>
      </c>
      <c r="G937" s="1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f>orders[[#This Row],[Ship Date]]-orders[[#This Row],[Order Date]]</f>
        <v>4</v>
      </c>
      <c r="N937">
        <f>WEEKNUM(orders[[#This Row],[Order Date]])</f>
        <v>6</v>
      </c>
      <c r="O937" t="str" cm="1">
        <f t="array" ref="O937">_xlfn.IFS(orders[[#This Row],[Customer Gender]]="M","Male", orders[[#This Row],[Customer Gender]]="F","Female", orders[[#This Row],[Customer Gender]]="O","Other", TRUE,"Unknown")</f>
        <v>Female</v>
      </c>
    </row>
    <row r="938" spans="1:15" x14ac:dyDescent="0.3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1">
        <v>45695</v>
      </c>
      <c r="G938" s="1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f>orders[[#This Row],[Ship Date]]-orders[[#This Row],[Order Date]]</f>
        <v>2</v>
      </c>
      <c r="N938">
        <f>WEEKNUM(orders[[#This Row],[Order Date]])</f>
        <v>6</v>
      </c>
      <c r="O938" t="str" cm="1">
        <f t="array" ref="O938">_xlfn.IFS(orders[[#This Row],[Customer Gender]]="M","Male", orders[[#This Row],[Customer Gender]]="F","Female", orders[[#This Row],[Customer Gender]]="O","Other", TRUE,"Unknown")</f>
        <v>Male</v>
      </c>
    </row>
    <row r="939" spans="1:15" x14ac:dyDescent="0.3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1">
        <v>45695</v>
      </c>
      <c r="G939" s="1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f>orders[[#This Row],[Ship Date]]-orders[[#This Row],[Order Date]]</f>
        <v>3</v>
      </c>
      <c r="N939">
        <f>WEEKNUM(orders[[#This Row],[Order Date]])</f>
        <v>6</v>
      </c>
      <c r="O939" t="str" cm="1">
        <f t="array" ref="O939">_xlfn.IFS(orders[[#This Row],[Customer Gender]]="M","Male", orders[[#This Row],[Customer Gender]]="F","Female", orders[[#This Row],[Customer Gender]]="O","Other", TRUE,"Unknown")</f>
        <v>Male</v>
      </c>
    </row>
    <row r="940" spans="1:15" x14ac:dyDescent="0.3">
      <c r="A940" t="s">
        <v>1036</v>
      </c>
      <c r="B940" t="s">
        <v>22</v>
      </c>
      <c r="C940">
        <v>7</v>
      </c>
      <c r="D940">
        <v>36</v>
      </c>
      <c r="E940">
        <v>252</v>
      </c>
      <c r="F940" s="1">
        <v>45695</v>
      </c>
      <c r="G940" s="1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f>orders[[#This Row],[Ship Date]]-orders[[#This Row],[Order Date]]</f>
        <v>1</v>
      </c>
      <c r="N940">
        <f>WEEKNUM(orders[[#This Row],[Order Date]])</f>
        <v>6</v>
      </c>
      <c r="O940" t="str" cm="1">
        <f t="array" ref="O940">_xlfn.IFS(orders[[#This Row],[Customer Gender]]="M","Male", orders[[#This Row],[Customer Gender]]="F","Female", orders[[#This Row],[Customer Gender]]="O","Other", TRUE,"Unknown")</f>
        <v>Female</v>
      </c>
    </row>
    <row r="941" spans="1:15" x14ac:dyDescent="0.3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1">
        <v>45695</v>
      </c>
      <c r="G941" s="1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f>orders[[#This Row],[Ship Date]]-orders[[#This Row],[Order Date]]</f>
        <v>2</v>
      </c>
      <c r="N941">
        <f>WEEKNUM(orders[[#This Row],[Order Date]])</f>
        <v>6</v>
      </c>
      <c r="O941" t="str" cm="1">
        <f t="array" ref="O941">_xlfn.IFS(orders[[#This Row],[Customer Gender]]="M","Male", orders[[#This Row],[Customer Gender]]="F","Female", orders[[#This Row],[Customer Gender]]="O","Other", TRUE,"Unknown")</f>
        <v>Female</v>
      </c>
    </row>
    <row r="942" spans="1:15" x14ac:dyDescent="0.3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1">
        <v>45695</v>
      </c>
      <c r="G942" s="1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f>orders[[#This Row],[Ship Date]]-orders[[#This Row],[Order Date]]</f>
        <v>2</v>
      </c>
      <c r="N942">
        <f>WEEKNUM(orders[[#This Row],[Order Date]])</f>
        <v>6</v>
      </c>
      <c r="O942" t="str" cm="1">
        <f t="array" ref="O942">_xlfn.IFS(orders[[#This Row],[Customer Gender]]="M","Male", orders[[#This Row],[Customer Gender]]="F","Female", orders[[#This Row],[Customer Gender]]="O","Other", TRUE,"Unknown")</f>
        <v>Male</v>
      </c>
    </row>
    <row r="943" spans="1:15" x14ac:dyDescent="0.3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1">
        <v>45695</v>
      </c>
      <c r="G943" s="1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f>orders[[#This Row],[Ship Date]]-orders[[#This Row],[Order Date]]</f>
        <v>4</v>
      </c>
      <c r="N943">
        <f>WEEKNUM(orders[[#This Row],[Order Date]])</f>
        <v>6</v>
      </c>
      <c r="O943" t="str" cm="1">
        <f t="array" ref="O943">_xlfn.IFS(orders[[#This Row],[Customer Gender]]="M","Male", orders[[#This Row],[Customer Gender]]="F","Female", orders[[#This Row],[Customer Gender]]="O","Other", TRUE,"Unknown")</f>
        <v>Male</v>
      </c>
    </row>
    <row r="944" spans="1:15" x14ac:dyDescent="0.3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1">
        <v>45695</v>
      </c>
      <c r="G944" s="1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f>orders[[#This Row],[Ship Date]]-orders[[#This Row],[Order Date]]</f>
        <v>2</v>
      </c>
      <c r="N944">
        <f>WEEKNUM(orders[[#This Row],[Order Date]])</f>
        <v>6</v>
      </c>
      <c r="O944" t="str" cm="1">
        <f t="array" ref="O944">_xlfn.IFS(orders[[#This Row],[Customer Gender]]="M","Male", orders[[#This Row],[Customer Gender]]="F","Female", orders[[#This Row],[Customer Gender]]="O","Other", TRUE,"Unknown")</f>
        <v>Unknown</v>
      </c>
    </row>
    <row r="945" spans="1:15" x14ac:dyDescent="0.3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1">
        <v>45695</v>
      </c>
      <c r="G945" s="1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f>orders[[#This Row],[Ship Date]]-orders[[#This Row],[Order Date]]</f>
        <v>1</v>
      </c>
      <c r="N945">
        <f>WEEKNUM(orders[[#This Row],[Order Date]])</f>
        <v>6</v>
      </c>
      <c r="O945" t="str" cm="1">
        <f t="array" ref="O945">_xlfn.IFS(orders[[#This Row],[Customer Gender]]="M","Male", orders[[#This Row],[Customer Gender]]="F","Female", orders[[#This Row],[Customer Gender]]="O","Other", TRUE,"Unknown")</f>
        <v>Male</v>
      </c>
    </row>
    <row r="946" spans="1:15" x14ac:dyDescent="0.3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1">
        <v>45695</v>
      </c>
      <c r="G946" s="1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f>orders[[#This Row],[Ship Date]]-orders[[#This Row],[Order Date]]</f>
        <v>14</v>
      </c>
      <c r="N946">
        <f>WEEKNUM(orders[[#This Row],[Order Date]])</f>
        <v>6</v>
      </c>
      <c r="O946" t="str" cm="1">
        <f t="array" ref="O946">_xlfn.IFS(orders[[#This Row],[Customer Gender]]="M","Male", orders[[#This Row],[Customer Gender]]="F","Female", orders[[#This Row],[Customer Gender]]="O","Other", TRUE,"Unknown")</f>
        <v>Male</v>
      </c>
    </row>
    <row r="947" spans="1:15" x14ac:dyDescent="0.3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1">
        <v>45695</v>
      </c>
      <c r="G947" s="1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f>orders[[#This Row],[Ship Date]]-orders[[#This Row],[Order Date]]</f>
        <v>1</v>
      </c>
      <c r="N947">
        <f>WEEKNUM(orders[[#This Row],[Order Date]])</f>
        <v>6</v>
      </c>
      <c r="O947" t="str" cm="1">
        <f t="array" ref="O947">_xlfn.IFS(orders[[#This Row],[Customer Gender]]="M","Male", orders[[#This Row],[Customer Gender]]="F","Female", orders[[#This Row],[Customer Gender]]="O","Other", TRUE,"Unknown")</f>
        <v>Female</v>
      </c>
    </row>
    <row r="948" spans="1:15" x14ac:dyDescent="0.3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1">
        <v>45695</v>
      </c>
      <c r="G948" s="1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f>orders[[#This Row],[Ship Date]]-orders[[#This Row],[Order Date]]</f>
        <v>6</v>
      </c>
      <c r="N948">
        <f>WEEKNUM(orders[[#This Row],[Order Date]])</f>
        <v>6</v>
      </c>
      <c r="O948" t="str" cm="1">
        <f t="array" ref="O948">_xlfn.IFS(orders[[#This Row],[Customer Gender]]="M","Male", orders[[#This Row],[Customer Gender]]="F","Female", orders[[#This Row],[Customer Gender]]="O","Other", TRUE,"Unknown")</f>
        <v>Female</v>
      </c>
    </row>
    <row r="949" spans="1:15" x14ac:dyDescent="0.3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1">
        <v>45695</v>
      </c>
      <c r="G949" s="1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f>orders[[#This Row],[Ship Date]]-orders[[#This Row],[Order Date]]</f>
        <v>1</v>
      </c>
      <c r="N949">
        <f>WEEKNUM(orders[[#This Row],[Order Date]])</f>
        <v>6</v>
      </c>
      <c r="O949" t="str" cm="1">
        <f t="array" ref="O949">_xlfn.IFS(orders[[#This Row],[Customer Gender]]="M","Male", orders[[#This Row],[Customer Gender]]="F","Female", orders[[#This Row],[Customer Gender]]="O","Other", TRUE,"Unknown")</f>
        <v>Female</v>
      </c>
    </row>
    <row r="950" spans="1:15" x14ac:dyDescent="0.3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1">
        <v>45695</v>
      </c>
      <c r="G950" s="1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f>orders[[#This Row],[Ship Date]]-orders[[#This Row],[Order Date]]</f>
        <v>6</v>
      </c>
      <c r="N950">
        <f>WEEKNUM(orders[[#This Row],[Order Date]])</f>
        <v>6</v>
      </c>
      <c r="O950" t="str" cm="1">
        <f t="array" ref="O950">_xlfn.IFS(orders[[#This Row],[Customer Gender]]="M","Male", orders[[#This Row],[Customer Gender]]="F","Female", orders[[#This Row],[Customer Gender]]="O","Other", TRUE,"Unknown")</f>
        <v>Female</v>
      </c>
    </row>
    <row r="951" spans="1:15" x14ac:dyDescent="0.3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1">
        <v>45695</v>
      </c>
      <c r="G951" s="1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f>orders[[#This Row],[Ship Date]]-orders[[#This Row],[Order Date]]</f>
        <v>2</v>
      </c>
      <c r="N951">
        <f>WEEKNUM(orders[[#This Row],[Order Date]])</f>
        <v>6</v>
      </c>
      <c r="O951" t="str" cm="1">
        <f t="array" ref="O951">_xlfn.IFS(orders[[#This Row],[Customer Gender]]="M","Male", orders[[#This Row],[Customer Gender]]="F","Female", orders[[#This Row],[Customer Gender]]="O","Other", TRUE,"Unknown")</f>
        <v>Female</v>
      </c>
    </row>
    <row r="952" spans="1:15" x14ac:dyDescent="0.3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1">
        <v>45695</v>
      </c>
      <c r="G952" s="1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f>orders[[#This Row],[Ship Date]]-orders[[#This Row],[Order Date]]</f>
        <v>4</v>
      </c>
      <c r="N952">
        <f>WEEKNUM(orders[[#This Row],[Order Date]])</f>
        <v>6</v>
      </c>
      <c r="O952" t="str" cm="1">
        <f t="array" ref="O952">_xlfn.IFS(orders[[#This Row],[Customer Gender]]="M","Male", orders[[#This Row],[Customer Gender]]="F","Female", orders[[#This Row],[Customer Gender]]="O","Other", TRUE,"Unknown")</f>
        <v>Male</v>
      </c>
    </row>
    <row r="953" spans="1:15" x14ac:dyDescent="0.3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1">
        <v>45695</v>
      </c>
      <c r="G953" s="1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f>orders[[#This Row],[Ship Date]]-orders[[#This Row],[Order Date]]</f>
        <v>4</v>
      </c>
      <c r="N953">
        <f>WEEKNUM(orders[[#This Row],[Order Date]])</f>
        <v>6</v>
      </c>
      <c r="O953" t="str" cm="1">
        <f t="array" ref="O953">_xlfn.IFS(orders[[#This Row],[Customer Gender]]="M","Male", orders[[#This Row],[Customer Gender]]="F","Female", orders[[#This Row],[Customer Gender]]="O","Other", TRUE,"Unknown")</f>
        <v>Female</v>
      </c>
    </row>
    <row r="954" spans="1:15" x14ac:dyDescent="0.3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1">
        <v>45695</v>
      </c>
      <c r="G954" s="1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f>orders[[#This Row],[Ship Date]]-orders[[#This Row],[Order Date]]</f>
        <v>4</v>
      </c>
      <c r="N954">
        <f>WEEKNUM(orders[[#This Row],[Order Date]])</f>
        <v>6</v>
      </c>
      <c r="O954" t="str" cm="1">
        <f t="array" ref="O954">_xlfn.IFS(orders[[#This Row],[Customer Gender]]="M","Male", orders[[#This Row],[Customer Gender]]="F","Female", orders[[#This Row],[Customer Gender]]="O","Other", TRUE,"Unknown")</f>
        <v>Male</v>
      </c>
    </row>
    <row r="955" spans="1:15" x14ac:dyDescent="0.3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1">
        <v>45696</v>
      </c>
      <c r="G955" s="1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f>orders[[#This Row],[Ship Date]]-orders[[#This Row],[Order Date]]</f>
        <v>3</v>
      </c>
      <c r="N955">
        <f>WEEKNUM(orders[[#This Row],[Order Date]])</f>
        <v>6</v>
      </c>
      <c r="O955" t="str" cm="1">
        <f t="array" ref="O955">_xlfn.IFS(orders[[#This Row],[Customer Gender]]="M","Male", orders[[#This Row],[Customer Gender]]="F","Female", orders[[#This Row],[Customer Gender]]="O","Other", TRUE,"Unknown")</f>
        <v>Male</v>
      </c>
    </row>
    <row r="956" spans="1:15" x14ac:dyDescent="0.3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1">
        <v>45696</v>
      </c>
      <c r="G956" s="1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f>orders[[#This Row],[Ship Date]]-orders[[#This Row],[Order Date]]</f>
        <v>1</v>
      </c>
      <c r="N956">
        <f>WEEKNUM(orders[[#This Row],[Order Date]])</f>
        <v>6</v>
      </c>
      <c r="O956" t="str" cm="1">
        <f t="array" ref="O956">_xlfn.IFS(orders[[#This Row],[Customer Gender]]="M","Male", orders[[#This Row],[Customer Gender]]="F","Female", orders[[#This Row],[Customer Gender]]="O","Other", TRUE,"Unknown")</f>
        <v>Male</v>
      </c>
    </row>
    <row r="957" spans="1:15" x14ac:dyDescent="0.3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1">
        <v>45696</v>
      </c>
      <c r="G957" s="1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f>orders[[#This Row],[Ship Date]]-orders[[#This Row],[Order Date]]</f>
        <v>2</v>
      </c>
      <c r="N957">
        <f>WEEKNUM(orders[[#This Row],[Order Date]])</f>
        <v>6</v>
      </c>
      <c r="O957" t="str" cm="1">
        <f t="array" ref="O957">_xlfn.IFS(orders[[#This Row],[Customer Gender]]="M","Male", orders[[#This Row],[Customer Gender]]="F","Female", orders[[#This Row],[Customer Gender]]="O","Other", TRUE,"Unknown")</f>
        <v>Male</v>
      </c>
    </row>
    <row r="958" spans="1:15" x14ac:dyDescent="0.3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1">
        <v>45696</v>
      </c>
      <c r="G958" s="1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f>orders[[#This Row],[Ship Date]]-orders[[#This Row],[Order Date]]</f>
        <v>1</v>
      </c>
      <c r="N958">
        <f>WEEKNUM(orders[[#This Row],[Order Date]])</f>
        <v>6</v>
      </c>
      <c r="O958" t="str" cm="1">
        <f t="array" ref="O958">_xlfn.IFS(orders[[#This Row],[Customer Gender]]="M","Male", orders[[#This Row],[Customer Gender]]="F","Female", orders[[#This Row],[Customer Gender]]="O","Other", TRUE,"Unknown")</f>
        <v>Male</v>
      </c>
    </row>
    <row r="959" spans="1:15" x14ac:dyDescent="0.3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1">
        <v>45696</v>
      </c>
      <c r="G959" s="1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f>orders[[#This Row],[Ship Date]]-orders[[#This Row],[Order Date]]</f>
        <v>0</v>
      </c>
      <c r="N959">
        <f>WEEKNUM(orders[[#This Row],[Order Date]])</f>
        <v>6</v>
      </c>
      <c r="O959" t="str" cm="1">
        <f t="array" ref="O959">_xlfn.IFS(orders[[#This Row],[Customer Gender]]="M","Male", orders[[#This Row],[Customer Gender]]="F","Female", orders[[#This Row],[Customer Gender]]="O","Other", TRUE,"Unknown")</f>
        <v>Male</v>
      </c>
    </row>
    <row r="960" spans="1:15" x14ac:dyDescent="0.3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1">
        <v>45696</v>
      </c>
      <c r="G960" s="1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f>orders[[#This Row],[Ship Date]]-orders[[#This Row],[Order Date]]</f>
        <v>1</v>
      </c>
      <c r="N960">
        <f>WEEKNUM(orders[[#This Row],[Order Date]])</f>
        <v>6</v>
      </c>
      <c r="O960" t="str" cm="1">
        <f t="array" ref="O960">_xlfn.IFS(orders[[#This Row],[Customer Gender]]="M","Male", orders[[#This Row],[Customer Gender]]="F","Female", orders[[#This Row],[Customer Gender]]="O","Other", TRUE,"Unknown")</f>
        <v>Female</v>
      </c>
    </row>
    <row r="961" spans="1:15" x14ac:dyDescent="0.3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1">
        <v>45696</v>
      </c>
      <c r="G961" s="1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f>orders[[#This Row],[Ship Date]]-orders[[#This Row],[Order Date]]</f>
        <v>2</v>
      </c>
      <c r="N961">
        <f>WEEKNUM(orders[[#This Row],[Order Date]])</f>
        <v>6</v>
      </c>
      <c r="O961" t="str" cm="1">
        <f t="array" ref="O961">_xlfn.IFS(orders[[#This Row],[Customer Gender]]="M","Male", orders[[#This Row],[Customer Gender]]="F","Female", orders[[#This Row],[Customer Gender]]="O","Other", TRUE,"Unknown")</f>
        <v>Female</v>
      </c>
    </row>
    <row r="962" spans="1:15" x14ac:dyDescent="0.3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1">
        <v>45696</v>
      </c>
      <c r="G962" s="1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f>orders[[#This Row],[Ship Date]]-orders[[#This Row],[Order Date]]</f>
        <v>0</v>
      </c>
      <c r="N962">
        <f>WEEKNUM(orders[[#This Row],[Order Date]])</f>
        <v>6</v>
      </c>
      <c r="O962" t="str" cm="1">
        <f t="array" ref="O962">_xlfn.IFS(orders[[#This Row],[Customer Gender]]="M","Male", orders[[#This Row],[Customer Gender]]="F","Female", orders[[#This Row],[Customer Gender]]="O","Other", TRUE,"Unknown")</f>
        <v>Female</v>
      </c>
    </row>
    <row r="963" spans="1:15" x14ac:dyDescent="0.3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1">
        <v>45696</v>
      </c>
      <c r="G963" s="1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f>orders[[#This Row],[Ship Date]]-orders[[#This Row],[Order Date]]</f>
        <v>4</v>
      </c>
      <c r="N963">
        <f>WEEKNUM(orders[[#This Row],[Order Date]])</f>
        <v>6</v>
      </c>
      <c r="O963" t="str" cm="1">
        <f t="array" ref="O963">_xlfn.IFS(orders[[#This Row],[Customer Gender]]="M","Male", orders[[#This Row],[Customer Gender]]="F","Female", orders[[#This Row],[Customer Gender]]="O","Other", TRUE,"Unknown")</f>
        <v>Male</v>
      </c>
    </row>
    <row r="964" spans="1:15" x14ac:dyDescent="0.3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1">
        <v>45696</v>
      </c>
      <c r="G964" s="1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f>orders[[#This Row],[Ship Date]]-orders[[#This Row],[Order Date]]</f>
        <v>3</v>
      </c>
      <c r="N964">
        <f>WEEKNUM(orders[[#This Row],[Order Date]])</f>
        <v>6</v>
      </c>
      <c r="O964" t="str" cm="1">
        <f t="array" ref="O964">_xlfn.IFS(orders[[#This Row],[Customer Gender]]="M","Male", orders[[#This Row],[Customer Gender]]="F","Female", orders[[#This Row],[Customer Gender]]="O","Other", TRUE,"Unknown")</f>
        <v>Female</v>
      </c>
    </row>
    <row r="965" spans="1:15" x14ac:dyDescent="0.3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1">
        <v>45696</v>
      </c>
      <c r="G965" s="1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f>orders[[#This Row],[Ship Date]]-orders[[#This Row],[Order Date]]</f>
        <v>1</v>
      </c>
      <c r="N965">
        <f>WEEKNUM(orders[[#This Row],[Order Date]])</f>
        <v>6</v>
      </c>
      <c r="O965" t="str" cm="1">
        <f t="array" ref="O965">_xlfn.IFS(orders[[#This Row],[Customer Gender]]="M","Male", orders[[#This Row],[Customer Gender]]="F","Female", orders[[#This Row],[Customer Gender]]="O","Other", TRUE,"Unknown")</f>
        <v>Female</v>
      </c>
    </row>
    <row r="966" spans="1:15" x14ac:dyDescent="0.3">
      <c r="A966" t="s">
        <v>1062</v>
      </c>
      <c r="B966" t="s">
        <v>16</v>
      </c>
      <c r="C966">
        <v>2</v>
      </c>
      <c r="D966">
        <v>12</v>
      </c>
      <c r="E966">
        <v>24</v>
      </c>
      <c r="F966" s="1">
        <v>45696</v>
      </c>
      <c r="G966" s="1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f>orders[[#This Row],[Ship Date]]-orders[[#This Row],[Order Date]]</f>
        <v>4</v>
      </c>
      <c r="N966">
        <f>WEEKNUM(orders[[#This Row],[Order Date]])</f>
        <v>6</v>
      </c>
      <c r="O966" t="str" cm="1">
        <f t="array" ref="O966">_xlfn.IFS(orders[[#This Row],[Customer Gender]]="M","Male", orders[[#This Row],[Customer Gender]]="F","Female", orders[[#This Row],[Customer Gender]]="O","Other", TRUE,"Unknown")</f>
        <v>Female</v>
      </c>
    </row>
    <row r="967" spans="1:15" x14ac:dyDescent="0.3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1">
        <v>45696</v>
      </c>
      <c r="G967" s="1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f>orders[[#This Row],[Ship Date]]-orders[[#This Row],[Order Date]]</f>
        <v>3</v>
      </c>
      <c r="N967">
        <f>WEEKNUM(orders[[#This Row],[Order Date]])</f>
        <v>6</v>
      </c>
      <c r="O967" t="str" cm="1">
        <f t="array" ref="O967">_xlfn.IFS(orders[[#This Row],[Customer Gender]]="M","Male", orders[[#This Row],[Customer Gender]]="F","Female", orders[[#This Row],[Customer Gender]]="O","Other", TRUE,"Unknown")</f>
        <v>Male</v>
      </c>
    </row>
    <row r="968" spans="1:15" x14ac:dyDescent="0.3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1">
        <v>45696</v>
      </c>
      <c r="G968" s="1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f>orders[[#This Row],[Ship Date]]-orders[[#This Row],[Order Date]]</f>
        <v>1</v>
      </c>
      <c r="N968">
        <f>WEEKNUM(orders[[#This Row],[Order Date]])</f>
        <v>6</v>
      </c>
      <c r="O968" t="str" cm="1">
        <f t="array" ref="O968">_xlfn.IFS(orders[[#This Row],[Customer Gender]]="M","Male", orders[[#This Row],[Customer Gender]]="F","Female", orders[[#This Row],[Customer Gender]]="O","Other", TRUE,"Unknown")</f>
        <v>Male</v>
      </c>
    </row>
    <row r="969" spans="1:15" x14ac:dyDescent="0.3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1">
        <v>45696</v>
      </c>
      <c r="G969" s="1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f>orders[[#This Row],[Ship Date]]-orders[[#This Row],[Order Date]]</f>
        <v>4</v>
      </c>
      <c r="N969">
        <f>WEEKNUM(orders[[#This Row],[Order Date]])</f>
        <v>6</v>
      </c>
      <c r="O969" t="str" cm="1">
        <f t="array" ref="O969">_xlfn.IFS(orders[[#This Row],[Customer Gender]]="M","Male", orders[[#This Row],[Customer Gender]]="F","Female", orders[[#This Row],[Customer Gender]]="O","Other", TRUE,"Unknown")</f>
        <v>Female</v>
      </c>
    </row>
    <row r="970" spans="1:15" x14ac:dyDescent="0.3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1">
        <v>45696</v>
      </c>
      <c r="G970" s="1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f>orders[[#This Row],[Ship Date]]-orders[[#This Row],[Order Date]]</f>
        <v>1</v>
      </c>
      <c r="N970">
        <f>WEEKNUM(orders[[#This Row],[Order Date]])</f>
        <v>6</v>
      </c>
      <c r="O970" t="str" cm="1">
        <f t="array" ref="O970">_xlfn.IFS(orders[[#This Row],[Customer Gender]]="M","Male", orders[[#This Row],[Customer Gender]]="F","Female", orders[[#This Row],[Customer Gender]]="O","Other", TRUE,"Unknown")</f>
        <v>Male</v>
      </c>
    </row>
    <row r="971" spans="1:15" x14ac:dyDescent="0.3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1">
        <v>45696</v>
      </c>
      <c r="G971" s="1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f>orders[[#This Row],[Ship Date]]-orders[[#This Row],[Order Date]]</f>
        <v>1</v>
      </c>
      <c r="N971">
        <f>WEEKNUM(orders[[#This Row],[Order Date]])</f>
        <v>6</v>
      </c>
      <c r="O971" t="str" cm="1">
        <f t="array" ref="O971">_xlfn.IFS(orders[[#This Row],[Customer Gender]]="M","Male", orders[[#This Row],[Customer Gender]]="F","Female", orders[[#This Row],[Customer Gender]]="O","Other", TRUE,"Unknown")</f>
        <v>Female</v>
      </c>
    </row>
    <row r="972" spans="1:15" x14ac:dyDescent="0.3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1">
        <v>45696</v>
      </c>
      <c r="G972" s="1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f>orders[[#This Row],[Ship Date]]-orders[[#This Row],[Order Date]]</f>
        <v>2</v>
      </c>
      <c r="N972">
        <f>WEEKNUM(orders[[#This Row],[Order Date]])</f>
        <v>6</v>
      </c>
      <c r="O972" t="str" cm="1">
        <f t="array" ref="O972">_xlfn.IFS(orders[[#This Row],[Customer Gender]]="M","Male", orders[[#This Row],[Customer Gender]]="F","Female", orders[[#This Row],[Customer Gender]]="O","Other", TRUE,"Unknown")</f>
        <v>Female</v>
      </c>
    </row>
    <row r="973" spans="1:15" x14ac:dyDescent="0.3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1">
        <v>45696</v>
      </c>
      <c r="G973" s="1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f>orders[[#This Row],[Ship Date]]-orders[[#This Row],[Order Date]]</f>
        <v>1</v>
      </c>
      <c r="N973">
        <f>WEEKNUM(orders[[#This Row],[Order Date]])</f>
        <v>6</v>
      </c>
      <c r="O973" t="str" cm="1">
        <f t="array" ref="O973">_xlfn.IFS(orders[[#This Row],[Customer Gender]]="M","Male", orders[[#This Row],[Customer Gender]]="F","Female", orders[[#This Row],[Customer Gender]]="O","Other", TRUE,"Unknown")</f>
        <v>Male</v>
      </c>
    </row>
    <row r="974" spans="1:15" x14ac:dyDescent="0.3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1">
        <v>45696</v>
      </c>
      <c r="G974" s="1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f>orders[[#This Row],[Ship Date]]-orders[[#This Row],[Order Date]]</f>
        <v>2</v>
      </c>
      <c r="N974">
        <f>WEEKNUM(orders[[#This Row],[Order Date]])</f>
        <v>6</v>
      </c>
      <c r="O974" t="str" cm="1">
        <f t="array" ref="O974">_xlfn.IFS(orders[[#This Row],[Customer Gender]]="M","Male", orders[[#This Row],[Customer Gender]]="F","Female", orders[[#This Row],[Customer Gender]]="O","Other", TRUE,"Unknown")</f>
        <v>Female</v>
      </c>
    </row>
    <row r="975" spans="1:15" x14ac:dyDescent="0.3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1">
        <v>45696</v>
      </c>
      <c r="G975" s="1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f>orders[[#This Row],[Ship Date]]-orders[[#This Row],[Order Date]]</f>
        <v>1</v>
      </c>
      <c r="N975">
        <f>WEEKNUM(orders[[#This Row],[Order Date]])</f>
        <v>6</v>
      </c>
      <c r="O975" t="str" cm="1">
        <f t="array" ref="O975">_xlfn.IFS(orders[[#This Row],[Customer Gender]]="M","Male", orders[[#This Row],[Customer Gender]]="F","Female", orders[[#This Row],[Customer Gender]]="O","Other", TRUE,"Unknown")</f>
        <v>Male</v>
      </c>
    </row>
    <row r="976" spans="1:15" x14ac:dyDescent="0.3">
      <c r="A976" t="s">
        <v>1072</v>
      </c>
      <c r="B976" t="s">
        <v>67</v>
      </c>
      <c r="C976">
        <v>6</v>
      </c>
      <c r="D976">
        <v>45</v>
      </c>
      <c r="E976">
        <v>270</v>
      </c>
      <c r="F976" s="1">
        <v>45696</v>
      </c>
      <c r="G976" s="1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f>orders[[#This Row],[Ship Date]]-orders[[#This Row],[Order Date]]</f>
        <v>6</v>
      </c>
      <c r="N976">
        <f>WEEKNUM(orders[[#This Row],[Order Date]])</f>
        <v>6</v>
      </c>
      <c r="O976" t="str" cm="1">
        <f t="array" ref="O976">_xlfn.IFS(orders[[#This Row],[Customer Gender]]="M","Male", orders[[#This Row],[Customer Gender]]="F","Female", orders[[#This Row],[Customer Gender]]="O","Other", TRUE,"Unknown")</f>
        <v>Female</v>
      </c>
    </row>
    <row r="977" spans="1:15" x14ac:dyDescent="0.3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1">
        <v>45696</v>
      </c>
      <c r="G977" s="1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f>orders[[#This Row],[Ship Date]]-orders[[#This Row],[Order Date]]</f>
        <v>2</v>
      </c>
      <c r="N977">
        <f>WEEKNUM(orders[[#This Row],[Order Date]])</f>
        <v>6</v>
      </c>
      <c r="O977" t="str" cm="1">
        <f t="array" ref="O977">_xlfn.IFS(orders[[#This Row],[Customer Gender]]="M","Male", orders[[#This Row],[Customer Gender]]="F","Female", orders[[#This Row],[Customer Gender]]="O","Other", TRUE,"Unknown")</f>
        <v>Female</v>
      </c>
    </row>
    <row r="978" spans="1:15" x14ac:dyDescent="0.3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1">
        <v>45696</v>
      </c>
      <c r="G978" s="1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f>orders[[#This Row],[Ship Date]]-orders[[#This Row],[Order Date]]</f>
        <v>1</v>
      </c>
      <c r="N978">
        <f>WEEKNUM(orders[[#This Row],[Order Date]])</f>
        <v>6</v>
      </c>
      <c r="O978" t="str" cm="1">
        <f t="array" ref="O978">_xlfn.IFS(orders[[#This Row],[Customer Gender]]="M","Male", orders[[#This Row],[Customer Gender]]="F","Female", orders[[#This Row],[Customer Gender]]="O","Other", TRUE,"Unknown")</f>
        <v>Female</v>
      </c>
    </row>
    <row r="979" spans="1:15" x14ac:dyDescent="0.3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1">
        <v>45696</v>
      </c>
      <c r="G979" s="1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f>orders[[#This Row],[Ship Date]]-orders[[#This Row],[Order Date]]</f>
        <v>3</v>
      </c>
      <c r="N979">
        <f>WEEKNUM(orders[[#This Row],[Order Date]])</f>
        <v>6</v>
      </c>
      <c r="O979" t="str" cm="1">
        <f t="array" ref="O979">_xlfn.IFS(orders[[#This Row],[Customer Gender]]="M","Male", orders[[#This Row],[Customer Gender]]="F","Female", orders[[#This Row],[Customer Gender]]="O","Other", TRUE,"Unknown")</f>
        <v>Female</v>
      </c>
    </row>
    <row r="980" spans="1:15" x14ac:dyDescent="0.3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1">
        <v>45696</v>
      </c>
      <c r="G980" s="1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f>orders[[#This Row],[Ship Date]]-orders[[#This Row],[Order Date]]</f>
        <v>4</v>
      </c>
      <c r="N980">
        <f>WEEKNUM(orders[[#This Row],[Order Date]])</f>
        <v>6</v>
      </c>
      <c r="O980" t="str" cm="1">
        <f t="array" ref="O980">_xlfn.IFS(orders[[#This Row],[Customer Gender]]="M","Male", orders[[#This Row],[Customer Gender]]="F","Female", orders[[#This Row],[Customer Gender]]="O","Other", TRUE,"Unknown")</f>
        <v>Female</v>
      </c>
    </row>
    <row r="981" spans="1:15" x14ac:dyDescent="0.3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1">
        <v>45696</v>
      </c>
      <c r="G981" s="1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f>orders[[#This Row],[Ship Date]]-orders[[#This Row],[Order Date]]</f>
        <v>5</v>
      </c>
      <c r="N981">
        <f>WEEKNUM(orders[[#This Row],[Order Date]])</f>
        <v>6</v>
      </c>
      <c r="O981" t="str" cm="1">
        <f t="array" ref="O981">_xlfn.IFS(orders[[#This Row],[Customer Gender]]="M","Male", orders[[#This Row],[Customer Gender]]="F","Female", orders[[#This Row],[Customer Gender]]="O","Other", TRUE,"Unknown")</f>
        <v>Female</v>
      </c>
    </row>
    <row r="982" spans="1:15" x14ac:dyDescent="0.3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1">
        <v>45696</v>
      </c>
      <c r="G982" s="1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f>orders[[#This Row],[Ship Date]]-orders[[#This Row],[Order Date]]</f>
        <v>5</v>
      </c>
      <c r="N982">
        <f>WEEKNUM(orders[[#This Row],[Order Date]])</f>
        <v>6</v>
      </c>
      <c r="O982" t="str" cm="1">
        <f t="array" ref="O982">_xlfn.IFS(orders[[#This Row],[Customer Gender]]="M","Male", orders[[#This Row],[Customer Gender]]="F","Female", orders[[#This Row],[Customer Gender]]="O","Other", TRUE,"Unknown")</f>
        <v>Male</v>
      </c>
    </row>
    <row r="983" spans="1:15" x14ac:dyDescent="0.3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1">
        <v>45696</v>
      </c>
      <c r="G983" s="1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f>orders[[#This Row],[Ship Date]]-orders[[#This Row],[Order Date]]</f>
        <v>3</v>
      </c>
      <c r="N983">
        <f>WEEKNUM(orders[[#This Row],[Order Date]])</f>
        <v>6</v>
      </c>
      <c r="O983" t="str" cm="1">
        <f t="array" ref="O983">_xlfn.IFS(orders[[#This Row],[Customer Gender]]="M","Male", orders[[#This Row],[Customer Gender]]="F","Female", orders[[#This Row],[Customer Gender]]="O","Other", TRUE,"Unknown")</f>
        <v>Female</v>
      </c>
    </row>
    <row r="984" spans="1:15" x14ac:dyDescent="0.3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1">
        <v>45696</v>
      </c>
      <c r="G984" s="1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f>orders[[#This Row],[Ship Date]]-orders[[#This Row],[Order Date]]</f>
        <v>1</v>
      </c>
      <c r="N984">
        <f>WEEKNUM(orders[[#This Row],[Order Date]])</f>
        <v>6</v>
      </c>
      <c r="O984" t="str" cm="1">
        <f t="array" ref="O984">_xlfn.IFS(orders[[#This Row],[Customer Gender]]="M","Male", orders[[#This Row],[Customer Gender]]="F","Female", orders[[#This Row],[Customer Gender]]="O","Other", TRUE,"Unknown")</f>
        <v>Female</v>
      </c>
    </row>
    <row r="985" spans="1:15" x14ac:dyDescent="0.3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1">
        <v>45696</v>
      </c>
      <c r="G985" s="1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f>orders[[#This Row],[Ship Date]]-orders[[#This Row],[Order Date]]</f>
        <v>1</v>
      </c>
      <c r="N985">
        <f>WEEKNUM(orders[[#This Row],[Order Date]])</f>
        <v>6</v>
      </c>
      <c r="O985" t="str" cm="1">
        <f t="array" ref="O985">_xlfn.IFS(orders[[#This Row],[Customer Gender]]="M","Male", orders[[#This Row],[Customer Gender]]="F","Female", orders[[#This Row],[Customer Gender]]="O","Other", TRUE,"Unknown")</f>
        <v>Female</v>
      </c>
    </row>
    <row r="986" spans="1:15" x14ac:dyDescent="0.3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1">
        <v>45697</v>
      </c>
      <c r="G986" s="1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f>orders[[#This Row],[Ship Date]]-orders[[#This Row],[Order Date]]</f>
        <v>4</v>
      </c>
      <c r="N986">
        <f>WEEKNUM(orders[[#This Row],[Order Date]])</f>
        <v>7</v>
      </c>
      <c r="O986" t="str" cm="1">
        <f t="array" ref="O986">_xlfn.IFS(orders[[#This Row],[Customer Gender]]="M","Male", orders[[#This Row],[Customer Gender]]="F","Female", orders[[#This Row],[Customer Gender]]="O","Other", TRUE,"Unknown")</f>
        <v>Male</v>
      </c>
    </row>
    <row r="987" spans="1:15" x14ac:dyDescent="0.3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1">
        <v>45697</v>
      </c>
      <c r="G987" s="1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f>orders[[#This Row],[Ship Date]]-orders[[#This Row],[Order Date]]</f>
        <v>1</v>
      </c>
      <c r="N987">
        <f>WEEKNUM(orders[[#This Row],[Order Date]])</f>
        <v>7</v>
      </c>
      <c r="O987" t="str" cm="1">
        <f t="array" ref="O987">_xlfn.IFS(orders[[#This Row],[Customer Gender]]="M","Male", orders[[#This Row],[Customer Gender]]="F","Female", orders[[#This Row],[Customer Gender]]="O","Other", TRUE,"Unknown")</f>
        <v>Male</v>
      </c>
    </row>
    <row r="988" spans="1:15" x14ac:dyDescent="0.3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1">
        <v>45697</v>
      </c>
      <c r="G988" s="1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f>orders[[#This Row],[Ship Date]]-orders[[#This Row],[Order Date]]</f>
        <v>2</v>
      </c>
      <c r="N988">
        <f>WEEKNUM(orders[[#This Row],[Order Date]])</f>
        <v>7</v>
      </c>
      <c r="O988" t="str" cm="1">
        <f t="array" ref="O988">_xlfn.IFS(orders[[#This Row],[Customer Gender]]="M","Male", orders[[#This Row],[Customer Gender]]="F","Female", orders[[#This Row],[Customer Gender]]="O","Other", TRUE,"Unknown")</f>
        <v>Unknown</v>
      </c>
    </row>
    <row r="989" spans="1:15" x14ac:dyDescent="0.3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1">
        <v>45697</v>
      </c>
      <c r="G989" s="1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f>orders[[#This Row],[Ship Date]]-orders[[#This Row],[Order Date]]</f>
        <v>3</v>
      </c>
      <c r="N989">
        <f>WEEKNUM(orders[[#This Row],[Order Date]])</f>
        <v>7</v>
      </c>
      <c r="O989" t="str" cm="1">
        <f t="array" ref="O989">_xlfn.IFS(orders[[#This Row],[Customer Gender]]="M","Male", orders[[#This Row],[Customer Gender]]="F","Female", orders[[#This Row],[Customer Gender]]="O","Other", TRUE,"Unknown")</f>
        <v>Male</v>
      </c>
    </row>
    <row r="990" spans="1:15" x14ac:dyDescent="0.3">
      <c r="A990" t="s">
        <v>1086</v>
      </c>
      <c r="B990" t="s">
        <v>16</v>
      </c>
      <c r="C990">
        <v>3</v>
      </c>
      <c r="D990">
        <v>32</v>
      </c>
      <c r="E990">
        <v>96</v>
      </c>
      <c r="F990" s="1">
        <v>45697</v>
      </c>
      <c r="G990" s="1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f>orders[[#This Row],[Ship Date]]-orders[[#This Row],[Order Date]]</f>
        <v>4</v>
      </c>
      <c r="N990">
        <f>WEEKNUM(orders[[#This Row],[Order Date]])</f>
        <v>7</v>
      </c>
      <c r="O990" t="str" cm="1">
        <f t="array" ref="O990">_xlfn.IFS(orders[[#This Row],[Customer Gender]]="M","Male", orders[[#This Row],[Customer Gender]]="F","Female", orders[[#This Row],[Customer Gender]]="O","Other", TRUE,"Unknown")</f>
        <v>Female</v>
      </c>
    </row>
    <row r="991" spans="1:15" x14ac:dyDescent="0.3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1">
        <v>45697</v>
      </c>
      <c r="G991" s="1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f>orders[[#This Row],[Ship Date]]-orders[[#This Row],[Order Date]]</f>
        <v>1</v>
      </c>
      <c r="N991">
        <f>WEEKNUM(orders[[#This Row],[Order Date]])</f>
        <v>7</v>
      </c>
      <c r="O991" t="str" cm="1">
        <f t="array" ref="O991">_xlfn.IFS(orders[[#This Row],[Customer Gender]]="M","Male", orders[[#This Row],[Customer Gender]]="F","Female", orders[[#This Row],[Customer Gender]]="O","Other", TRUE,"Unknown")</f>
        <v>Female</v>
      </c>
    </row>
    <row r="992" spans="1:15" x14ac:dyDescent="0.3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1">
        <v>45697</v>
      </c>
      <c r="G992" s="1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f>orders[[#This Row],[Ship Date]]-orders[[#This Row],[Order Date]]</f>
        <v>6</v>
      </c>
      <c r="N992">
        <f>WEEKNUM(orders[[#This Row],[Order Date]])</f>
        <v>7</v>
      </c>
      <c r="O992" t="str" cm="1">
        <f t="array" ref="O992">_xlfn.IFS(orders[[#This Row],[Customer Gender]]="M","Male", orders[[#This Row],[Customer Gender]]="F","Female", orders[[#This Row],[Customer Gender]]="O","Other", TRUE,"Unknown")</f>
        <v>Unknown</v>
      </c>
    </row>
    <row r="993" spans="1:15" x14ac:dyDescent="0.3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1">
        <v>45697</v>
      </c>
      <c r="G993" s="1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f>orders[[#This Row],[Ship Date]]-orders[[#This Row],[Order Date]]</f>
        <v>1</v>
      </c>
      <c r="N993">
        <f>WEEKNUM(orders[[#This Row],[Order Date]])</f>
        <v>7</v>
      </c>
      <c r="O993" t="str" cm="1">
        <f t="array" ref="O993">_xlfn.IFS(orders[[#This Row],[Customer Gender]]="M","Male", orders[[#This Row],[Customer Gender]]="F","Female", orders[[#This Row],[Customer Gender]]="O","Other", TRUE,"Unknown")</f>
        <v>Female</v>
      </c>
    </row>
    <row r="994" spans="1:15" x14ac:dyDescent="0.3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1">
        <v>45697</v>
      </c>
      <c r="G994" s="1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f>orders[[#This Row],[Ship Date]]-orders[[#This Row],[Order Date]]</f>
        <v>1</v>
      </c>
      <c r="N994">
        <f>WEEKNUM(orders[[#This Row],[Order Date]])</f>
        <v>7</v>
      </c>
      <c r="O994" t="str" cm="1">
        <f t="array" ref="O994">_xlfn.IFS(orders[[#This Row],[Customer Gender]]="M","Male", orders[[#This Row],[Customer Gender]]="F","Female", orders[[#This Row],[Customer Gender]]="O","Other", TRUE,"Unknown")</f>
        <v>Other</v>
      </c>
    </row>
    <row r="995" spans="1:15" x14ac:dyDescent="0.3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1">
        <v>45697</v>
      </c>
      <c r="G995" s="1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f>orders[[#This Row],[Ship Date]]-orders[[#This Row],[Order Date]]</f>
        <v>4</v>
      </c>
      <c r="N995">
        <f>WEEKNUM(orders[[#This Row],[Order Date]])</f>
        <v>7</v>
      </c>
      <c r="O995" t="str" cm="1">
        <f t="array" ref="O995">_xlfn.IFS(orders[[#This Row],[Customer Gender]]="M","Male", orders[[#This Row],[Customer Gender]]="F","Female", orders[[#This Row],[Customer Gender]]="O","Other", TRUE,"Unknown")</f>
        <v>Female</v>
      </c>
    </row>
    <row r="996" spans="1:15" x14ac:dyDescent="0.3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1">
        <v>45697</v>
      </c>
      <c r="G996" s="1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f>orders[[#This Row],[Ship Date]]-orders[[#This Row],[Order Date]]</f>
        <v>3</v>
      </c>
      <c r="N996">
        <f>WEEKNUM(orders[[#This Row],[Order Date]])</f>
        <v>7</v>
      </c>
      <c r="O996" t="str" cm="1">
        <f t="array" ref="O996">_xlfn.IFS(orders[[#This Row],[Customer Gender]]="M","Male", orders[[#This Row],[Customer Gender]]="F","Female", orders[[#This Row],[Customer Gender]]="O","Other", TRUE,"Unknown")</f>
        <v>Female</v>
      </c>
    </row>
    <row r="997" spans="1:15" x14ac:dyDescent="0.3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1">
        <v>45697</v>
      </c>
      <c r="G997" s="1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f>orders[[#This Row],[Ship Date]]-orders[[#This Row],[Order Date]]</f>
        <v>1</v>
      </c>
      <c r="N997">
        <f>WEEKNUM(orders[[#This Row],[Order Date]])</f>
        <v>7</v>
      </c>
      <c r="O997" t="str" cm="1">
        <f t="array" ref="O997">_xlfn.IFS(orders[[#This Row],[Customer Gender]]="M","Male", orders[[#This Row],[Customer Gender]]="F","Female", orders[[#This Row],[Customer Gender]]="O","Other", TRUE,"Unknown")</f>
        <v>Female</v>
      </c>
    </row>
    <row r="998" spans="1:15" x14ac:dyDescent="0.3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1">
        <v>45697</v>
      </c>
      <c r="G998" s="1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f>orders[[#This Row],[Ship Date]]-orders[[#This Row],[Order Date]]</f>
        <v>3</v>
      </c>
      <c r="N998">
        <f>WEEKNUM(orders[[#This Row],[Order Date]])</f>
        <v>7</v>
      </c>
      <c r="O998" t="str" cm="1">
        <f t="array" ref="O998">_xlfn.IFS(orders[[#This Row],[Customer Gender]]="M","Male", orders[[#This Row],[Customer Gender]]="F","Female", orders[[#This Row],[Customer Gender]]="O","Other", TRUE,"Unknown")</f>
        <v>Female</v>
      </c>
    </row>
    <row r="999" spans="1:15" x14ac:dyDescent="0.3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1">
        <v>45697</v>
      </c>
      <c r="G999" s="1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f>orders[[#This Row],[Ship Date]]-orders[[#This Row],[Order Date]]</f>
        <v>3</v>
      </c>
      <c r="N999">
        <f>WEEKNUM(orders[[#This Row],[Order Date]])</f>
        <v>7</v>
      </c>
      <c r="O999" t="str" cm="1">
        <f t="array" ref="O999">_xlfn.IFS(orders[[#This Row],[Customer Gender]]="M","Male", orders[[#This Row],[Customer Gender]]="F","Female", orders[[#This Row],[Customer Gender]]="O","Other", TRUE,"Unknown")</f>
        <v>Female</v>
      </c>
    </row>
    <row r="1000" spans="1:15" x14ac:dyDescent="0.3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1">
        <v>45697</v>
      </c>
      <c r="G1000" s="1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f>orders[[#This Row],[Ship Date]]-orders[[#This Row],[Order Date]]</f>
        <v>2</v>
      </c>
      <c r="N1000">
        <f>WEEKNUM(orders[[#This Row],[Order Date]])</f>
        <v>7</v>
      </c>
      <c r="O1000" t="str" cm="1">
        <f t="array" ref="O1000">_xlfn.IFS(orders[[#This Row],[Customer Gender]]="M","Male", orders[[#This Row],[Customer Gender]]="F","Female", orders[[#This Row],[Customer Gender]]="O","Other", TRUE,"Unknown")</f>
        <v>Female</v>
      </c>
    </row>
    <row r="1001" spans="1:15" x14ac:dyDescent="0.3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1">
        <v>45697</v>
      </c>
      <c r="G1001" s="1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f>orders[[#This Row],[Ship Date]]-orders[[#This Row],[Order Date]]</f>
        <v>1</v>
      </c>
      <c r="N1001">
        <f>WEEKNUM(orders[[#This Row],[Order Date]])</f>
        <v>7</v>
      </c>
      <c r="O1001" t="str" cm="1">
        <f t="array" ref="O1001">_xlfn.IFS(orders[[#This Row],[Customer Gender]]="M","Male", orders[[#This Row],[Customer Gender]]="F","Female", orders[[#This Row],[Customer Gender]]="O","Other", TRUE,"Unknown")</f>
        <v>Female</v>
      </c>
    </row>
    <row r="1002" spans="1:15" x14ac:dyDescent="0.3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1">
        <v>45697</v>
      </c>
      <c r="G1002" s="1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f>orders[[#This Row],[Ship Date]]-orders[[#This Row],[Order Date]]</f>
        <v>4</v>
      </c>
      <c r="N1002">
        <f>WEEKNUM(orders[[#This Row],[Order Date]])</f>
        <v>7</v>
      </c>
      <c r="O1002" t="str" cm="1">
        <f t="array" ref="O1002">_xlfn.IFS(orders[[#This Row],[Customer Gender]]="M","Male", orders[[#This Row],[Customer Gender]]="F","Female", orders[[#This Row],[Customer Gender]]="O","Other", TRUE,"Unknown")</f>
        <v>Female</v>
      </c>
    </row>
    <row r="1003" spans="1:15" x14ac:dyDescent="0.3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1">
        <v>45697</v>
      </c>
      <c r="G1003" s="1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f>orders[[#This Row],[Ship Date]]-orders[[#This Row],[Order Date]]</f>
        <v>11</v>
      </c>
      <c r="N1003">
        <f>WEEKNUM(orders[[#This Row],[Order Date]])</f>
        <v>7</v>
      </c>
      <c r="O1003" t="str" cm="1">
        <f t="array" ref="O1003">_xlfn.IFS(orders[[#This Row],[Customer Gender]]="M","Male", orders[[#This Row],[Customer Gender]]="F","Female", orders[[#This Row],[Customer Gender]]="O","Other", TRUE,"Unknown")</f>
        <v>Female</v>
      </c>
    </row>
    <row r="1004" spans="1:15" x14ac:dyDescent="0.3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1">
        <v>45697</v>
      </c>
      <c r="G1004" s="1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f>orders[[#This Row],[Ship Date]]-orders[[#This Row],[Order Date]]</f>
        <v>2</v>
      </c>
      <c r="N1004">
        <f>WEEKNUM(orders[[#This Row],[Order Date]])</f>
        <v>7</v>
      </c>
      <c r="O1004" t="str" cm="1">
        <f t="array" ref="O1004">_xlfn.IFS(orders[[#This Row],[Customer Gender]]="M","Male", orders[[#This Row],[Customer Gender]]="F","Female", orders[[#This Row],[Customer Gender]]="O","Other", TRUE,"Unknown")</f>
        <v>Female</v>
      </c>
    </row>
    <row r="1005" spans="1:15" x14ac:dyDescent="0.3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1">
        <v>45697</v>
      </c>
      <c r="G1005" s="1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f>orders[[#This Row],[Ship Date]]-orders[[#This Row],[Order Date]]</f>
        <v>2</v>
      </c>
      <c r="N1005">
        <f>WEEKNUM(orders[[#This Row],[Order Date]])</f>
        <v>7</v>
      </c>
      <c r="O1005" t="str" cm="1">
        <f t="array" ref="O1005">_xlfn.IFS(orders[[#This Row],[Customer Gender]]="M","Male", orders[[#This Row],[Customer Gender]]="F","Female", orders[[#This Row],[Customer Gender]]="O","Other", TRUE,"Unknown")</f>
        <v>Male</v>
      </c>
    </row>
    <row r="1006" spans="1:15" x14ac:dyDescent="0.3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1">
        <v>45697</v>
      </c>
      <c r="G1006" s="1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f>orders[[#This Row],[Ship Date]]-orders[[#This Row],[Order Date]]</f>
        <v>1</v>
      </c>
      <c r="N1006">
        <f>WEEKNUM(orders[[#This Row],[Order Date]])</f>
        <v>7</v>
      </c>
      <c r="O1006" t="str" cm="1">
        <f t="array" ref="O1006">_xlfn.IFS(orders[[#This Row],[Customer Gender]]="M","Male", orders[[#This Row],[Customer Gender]]="F","Female", orders[[#This Row],[Customer Gender]]="O","Other", TRUE,"Unknown")</f>
        <v>Male</v>
      </c>
    </row>
    <row r="1007" spans="1:15" x14ac:dyDescent="0.3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1">
        <v>45697</v>
      </c>
      <c r="G1007" s="1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f>orders[[#This Row],[Ship Date]]-orders[[#This Row],[Order Date]]</f>
        <v>1</v>
      </c>
      <c r="N1007">
        <f>WEEKNUM(orders[[#This Row],[Order Date]])</f>
        <v>7</v>
      </c>
      <c r="O1007" t="str" cm="1">
        <f t="array" ref="O1007">_xlfn.IFS(orders[[#This Row],[Customer Gender]]="M","Male", orders[[#This Row],[Customer Gender]]="F","Female", orders[[#This Row],[Customer Gender]]="O","Other", TRUE,"Unknown")</f>
        <v>Female</v>
      </c>
    </row>
    <row r="1008" spans="1:15" x14ac:dyDescent="0.3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1">
        <v>45697</v>
      </c>
      <c r="G1008" s="1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f>orders[[#This Row],[Ship Date]]-orders[[#This Row],[Order Date]]</f>
        <v>2</v>
      </c>
      <c r="N1008">
        <f>WEEKNUM(orders[[#This Row],[Order Date]])</f>
        <v>7</v>
      </c>
      <c r="O1008" t="str" cm="1">
        <f t="array" ref="O1008">_xlfn.IFS(orders[[#This Row],[Customer Gender]]="M","Male", orders[[#This Row],[Customer Gender]]="F","Female", orders[[#This Row],[Customer Gender]]="O","Other", TRUE,"Unknown")</f>
        <v>Female</v>
      </c>
    </row>
    <row r="1009" spans="1:15" x14ac:dyDescent="0.3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1">
        <v>45697</v>
      </c>
      <c r="G1009" s="1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f>orders[[#This Row],[Ship Date]]-orders[[#This Row],[Order Date]]</f>
        <v>2</v>
      </c>
      <c r="N1009">
        <f>WEEKNUM(orders[[#This Row],[Order Date]])</f>
        <v>7</v>
      </c>
      <c r="O1009" t="str" cm="1">
        <f t="array" ref="O1009">_xlfn.IFS(orders[[#This Row],[Customer Gender]]="M","Male", orders[[#This Row],[Customer Gender]]="F","Female", orders[[#This Row],[Customer Gender]]="O","Other", TRUE,"Unknown")</f>
        <v>Unknown</v>
      </c>
    </row>
    <row r="1010" spans="1:15" x14ac:dyDescent="0.3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1">
        <v>45697</v>
      </c>
      <c r="G1010" s="1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f>orders[[#This Row],[Ship Date]]-orders[[#This Row],[Order Date]]</f>
        <v>1</v>
      </c>
      <c r="N1010">
        <f>WEEKNUM(orders[[#This Row],[Order Date]])</f>
        <v>7</v>
      </c>
      <c r="O1010" t="str" cm="1">
        <f t="array" ref="O1010">_xlfn.IFS(orders[[#This Row],[Customer Gender]]="M","Male", orders[[#This Row],[Customer Gender]]="F","Female", orders[[#This Row],[Customer Gender]]="O","Other", TRUE,"Unknown")</f>
        <v>Female</v>
      </c>
    </row>
    <row r="1011" spans="1:15" x14ac:dyDescent="0.3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1">
        <v>45697</v>
      </c>
      <c r="G1011" s="1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f>orders[[#This Row],[Ship Date]]-orders[[#This Row],[Order Date]]</f>
        <v>2</v>
      </c>
      <c r="N1011">
        <f>WEEKNUM(orders[[#This Row],[Order Date]])</f>
        <v>7</v>
      </c>
      <c r="O1011" t="str" cm="1">
        <f t="array" ref="O1011">_xlfn.IFS(orders[[#This Row],[Customer Gender]]="M","Male", orders[[#This Row],[Customer Gender]]="F","Female", orders[[#This Row],[Customer Gender]]="O","Other", TRUE,"Unknown")</f>
        <v>Other</v>
      </c>
    </row>
    <row r="1012" spans="1:15" x14ac:dyDescent="0.3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1">
        <v>45697</v>
      </c>
      <c r="G1012" s="1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f>orders[[#This Row],[Ship Date]]-orders[[#This Row],[Order Date]]</f>
        <v>3</v>
      </c>
      <c r="N1012">
        <f>WEEKNUM(orders[[#This Row],[Order Date]])</f>
        <v>7</v>
      </c>
      <c r="O1012" t="str" cm="1">
        <f t="array" ref="O1012">_xlfn.IFS(orders[[#This Row],[Customer Gender]]="M","Male", orders[[#This Row],[Customer Gender]]="F","Female", orders[[#This Row],[Customer Gender]]="O","Other", TRUE,"Unknown")</f>
        <v>Female</v>
      </c>
    </row>
    <row r="1013" spans="1:15" x14ac:dyDescent="0.3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1">
        <v>45697</v>
      </c>
      <c r="G1013" s="1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f>orders[[#This Row],[Ship Date]]-orders[[#This Row],[Order Date]]</f>
        <v>3</v>
      </c>
      <c r="N1013">
        <f>WEEKNUM(orders[[#This Row],[Order Date]])</f>
        <v>7</v>
      </c>
      <c r="O1013" t="str" cm="1">
        <f t="array" ref="O1013">_xlfn.IFS(orders[[#This Row],[Customer Gender]]="M","Male", orders[[#This Row],[Customer Gender]]="F","Female", orders[[#This Row],[Customer Gender]]="O","Other", TRUE,"Unknown")</f>
        <v>Other</v>
      </c>
    </row>
    <row r="1014" spans="1:15" x14ac:dyDescent="0.3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1">
        <v>45697</v>
      </c>
      <c r="G1014" s="1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f>orders[[#This Row],[Ship Date]]-orders[[#This Row],[Order Date]]</f>
        <v>2</v>
      </c>
      <c r="N1014">
        <f>WEEKNUM(orders[[#This Row],[Order Date]])</f>
        <v>7</v>
      </c>
      <c r="O1014" t="str" cm="1">
        <f t="array" ref="O1014">_xlfn.IFS(orders[[#This Row],[Customer Gender]]="M","Male", orders[[#This Row],[Customer Gender]]="F","Female", orders[[#This Row],[Customer Gender]]="O","Other", TRUE,"Unknown")</f>
        <v>Unknown</v>
      </c>
    </row>
    <row r="1015" spans="1:15" x14ac:dyDescent="0.3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1">
        <v>45697</v>
      </c>
      <c r="G1015" s="1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f>orders[[#This Row],[Ship Date]]-orders[[#This Row],[Order Date]]</f>
        <v>2</v>
      </c>
      <c r="N1015">
        <f>WEEKNUM(orders[[#This Row],[Order Date]])</f>
        <v>7</v>
      </c>
      <c r="O1015" t="str" cm="1">
        <f t="array" ref="O1015">_xlfn.IFS(orders[[#This Row],[Customer Gender]]="M","Male", orders[[#This Row],[Customer Gender]]="F","Female", orders[[#This Row],[Customer Gender]]="O","Other", TRUE,"Unknown")</f>
        <v>Female</v>
      </c>
    </row>
    <row r="1016" spans="1:15" x14ac:dyDescent="0.3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1">
        <v>45697</v>
      </c>
      <c r="G1016" s="1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f>orders[[#This Row],[Ship Date]]-orders[[#This Row],[Order Date]]</f>
        <v>3</v>
      </c>
      <c r="N1016">
        <f>WEEKNUM(orders[[#This Row],[Order Date]])</f>
        <v>7</v>
      </c>
      <c r="O1016" t="str" cm="1">
        <f t="array" ref="O1016">_xlfn.IFS(orders[[#This Row],[Customer Gender]]="M","Male", orders[[#This Row],[Customer Gender]]="F","Female", orders[[#This Row],[Customer Gender]]="O","Other", TRUE,"Unknown")</f>
        <v>Male</v>
      </c>
    </row>
    <row r="1017" spans="1:15" x14ac:dyDescent="0.3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1">
        <v>45697</v>
      </c>
      <c r="G1017" s="1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f>orders[[#This Row],[Ship Date]]-orders[[#This Row],[Order Date]]</f>
        <v>1</v>
      </c>
      <c r="N1017">
        <f>WEEKNUM(orders[[#This Row],[Order Date]])</f>
        <v>7</v>
      </c>
      <c r="O1017" t="str" cm="1">
        <f t="array" ref="O1017">_xlfn.IFS(orders[[#This Row],[Customer Gender]]="M","Male", orders[[#This Row],[Customer Gender]]="F","Female", orders[[#This Row],[Customer Gender]]="O","Other", TRUE,"Unknown")</f>
        <v>Female</v>
      </c>
    </row>
    <row r="1018" spans="1:15" x14ac:dyDescent="0.3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1">
        <v>45697</v>
      </c>
      <c r="G1018" s="1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f>orders[[#This Row],[Ship Date]]-orders[[#This Row],[Order Date]]</f>
        <v>1</v>
      </c>
      <c r="N1018">
        <f>WEEKNUM(orders[[#This Row],[Order Date]])</f>
        <v>7</v>
      </c>
      <c r="O1018" t="str" cm="1">
        <f t="array" ref="O1018">_xlfn.IFS(orders[[#This Row],[Customer Gender]]="M","Male", orders[[#This Row],[Customer Gender]]="F","Female", orders[[#This Row],[Customer Gender]]="O","Other", TRUE,"Unknown")</f>
        <v>Female</v>
      </c>
    </row>
    <row r="1019" spans="1:15" x14ac:dyDescent="0.3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1">
        <v>45697</v>
      </c>
      <c r="G1019" s="1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f>orders[[#This Row],[Ship Date]]-orders[[#This Row],[Order Date]]</f>
        <v>1</v>
      </c>
      <c r="N1019">
        <f>WEEKNUM(orders[[#This Row],[Order Date]])</f>
        <v>7</v>
      </c>
      <c r="O1019" t="str" cm="1">
        <f t="array" ref="O1019">_xlfn.IFS(orders[[#This Row],[Customer Gender]]="M","Male", orders[[#This Row],[Customer Gender]]="F","Female", orders[[#This Row],[Customer Gender]]="O","Other", TRUE,"Unknown")</f>
        <v>Unknown</v>
      </c>
    </row>
    <row r="1020" spans="1:15" x14ac:dyDescent="0.3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1">
        <v>45697</v>
      </c>
      <c r="G1020" s="1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f>orders[[#This Row],[Ship Date]]-orders[[#This Row],[Order Date]]</f>
        <v>2</v>
      </c>
      <c r="N1020">
        <f>WEEKNUM(orders[[#This Row],[Order Date]])</f>
        <v>7</v>
      </c>
      <c r="O1020" t="str" cm="1">
        <f t="array" ref="O1020">_xlfn.IFS(orders[[#This Row],[Customer Gender]]="M","Male", orders[[#This Row],[Customer Gender]]="F","Female", orders[[#This Row],[Customer Gender]]="O","Other", TRUE,"Unknown")</f>
        <v>Female</v>
      </c>
    </row>
    <row r="1021" spans="1:15" x14ac:dyDescent="0.3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1">
        <v>45697</v>
      </c>
      <c r="G1021" s="1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f>orders[[#This Row],[Ship Date]]-orders[[#This Row],[Order Date]]</f>
        <v>4</v>
      </c>
      <c r="N1021">
        <f>WEEKNUM(orders[[#This Row],[Order Date]])</f>
        <v>7</v>
      </c>
      <c r="O1021" t="str" cm="1">
        <f t="array" ref="O1021">_xlfn.IFS(orders[[#This Row],[Customer Gender]]="M","Male", orders[[#This Row],[Customer Gender]]="F","Female", orders[[#This Row],[Customer Gender]]="O","Other", TRUE,"Unknown")</f>
        <v>Male</v>
      </c>
    </row>
    <row r="1022" spans="1:15" x14ac:dyDescent="0.3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1">
        <v>45698</v>
      </c>
      <c r="G1022" s="1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f>orders[[#This Row],[Ship Date]]-orders[[#This Row],[Order Date]]</f>
        <v>7</v>
      </c>
      <c r="N1022">
        <f>WEEKNUM(orders[[#This Row],[Order Date]])</f>
        <v>7</v>
      </c>
      <c r="O1022" t="str" cm="1">
        <f t="array" ref="O1022">_xlfn.IFS(orders[[#This Row],[Customer Gender]]="M","Male", orders[[#This Row],[Customer Gender]]="F","Female", orders[[#This Row],[Customer Gender]]="O","Other", TRUE,"Unknown")</f>
        <v>Female</v>
      </c>
    </row>
    <row r="1023" spans="1:15" x14ac:dyDescent="0.3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1">
        <v>45698</v>
      </c>
      <c r="G1023" s="1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f>orders[[#This Row],[Ship Date]]-orders[[#This Row],[Order Date]]</f>
        <v>2</v>
      </c>
      <c r="N1023">
        <f>WEEKNUM(orders[[#This Row],[Order Date]])</f>
        <v>7</v>
      </c>
      <c r="O1023" t="str" cm="1">
        <f t="array" ref="O1023">_xlfn.IFS(orders[[#This Row],[Customer Gender]]="M","Male", orders[[#This Row],[Customer Gender]]="F","Female", orders[[#This Row],[Customer Gender]]="O","Other", TRUE,"Unknown")</f>
        <v>Male</v>
      </c>
    </row>
    <row r="1024" spans="1:15" x14ac:dyDescent="0.3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1">
        <v>45698</v>
      </c>
      <c r="G1024" s="1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f>orders[[#This Row],[Ship Date]]-orders[[#This Row],[Order Date]]</f>
        <v>2</v>
      </c>
      <c r="N1024">
        <f>WEEKNUM(orders[[#This Row],[Order Date]])</f>
        <v>7</v>
      </c>
      <c r="O1024" t="str" cm="1">
        <f t="array" ref="O1024">_xlfn.IFS(orders[[#This Row],[Customer Gender]]="M","Male", orders[[#This Row],[Customer Gender]]="F","Female", orders[[#This Row],[Customer Gender]]="O","Other", TRUE,"Unknown")</f>
        <v>Male</v>
      </c>
    </row>
    <row r="1025" spans="1:15" x14ac:dyDescent="0.3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1">
        <v>45698</v>
      </c>
      <c r="G1025" s="1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f>orders[[#This Row],[Ship Date]]-orders[[#This Row],[Order Date]]</f>
        <v>0</v>
      </c>
      <c r="N1025">
        <f>WEEKNUM(orders[[#This Row],[Order Date]])</f>
        <v>7</v>
      </c>
      <c r="O1025" t="str" cm="1">
        <f t="array" ref="O1025">_xlfn.IFS(orders[[#This Row],[Customer Gender]]="M","Male", orders[[#This Row],[Customer Gender]]="F","Female", orders[[#This Row],[Customer Gender]]="O","Other", TRUE,"Unknown")</f>
        <v>Male</v>
      </c>
    </row>
    <row r="1026" spans="1:15" x14ac:dyDescent="0.3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1">
        <v>45698</v>
      </c>
      <c r="G1026" s="1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f>orders[[#This Row],[Ship Date]]-orders[[#This Row],[Order Date]]</f>
        <v>1</v>
      </c>
      <c r="N1026">
        <f>WEEKNUM(orders[[#This Row],[Order Date]])</f>
        <v>7</v>
      </c>
      <c r="O1026" t="str" cm="1">
        <f t="array" ref="O1026">_xlfn.IFS(orders[[#This Row],[Customer Gender]]="M","Male", orders[[#This Row],[Customer Gender]]="F","Female", orders[[#This Row],[Customer Gender]]="O","Other", TRUE,"Unknown")</f>
        <v>Female</v>
      </c>
    </row>
    <row r="1027" spans="1:15" x14ac:dyDescent="0.3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1">
        <v>45698</v>
      </c>
      <c r="G1027" s="1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f>orders[[#This Row],[Ship Date]]-orders[[#This Row],[Order Date]]</f>
        <v>4</v>
      </c>
      <c r="N1027">
        <f>WEEKNUM(orders[[#This Row],[Order Date]])</f>
        <v>7</v>
      </c>
      <c r="O1027" t="str" cm="1">
        <f t="array" ref="O1027">_xlfn.IFS(orders[[#This Row],[Customer Gender]]="M","Male", orders[[#This Row],[Customer Gender]]="F","Female", orders[[#This Row],[Customer Gender]]="O","Other", TRUE,"Unknown")</f>
        <v>Female</v>
      </c>
    </row>
    <row r="1028" spans="1:15" x14ac:dyDescent="0.3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1">
        <v>45698</v>
      </c>
      <c r="G1028" s="1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f>orders[[#This Row],[Ship Date]]-orders[[#This Row],[Order Date]]</f>
        <v>3</v>
      </c>
      <c r="N1028">
        <f>WEEKNUM(orders[[#This Row],[Order Date]])</f>
        <v>7</v>
      </c>
      <c r="O1028" t="str" cm="1">
        <f t="array" ref="O1028">_xlfn.IFS(orders[[#This Row],[Customer Gender]]="M","Male", orders[[#This Row],[Customer Gender]]="F","Female", orders[[#This Row],[Customer Gender]]="O","Other", TRUE,"Unknown")</f>
        <v>Female</v>
      </c>
    </row>
    <row r="1029" spans="1:15" x14ac:dyDescent="0.3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1">
        <v>45698</v>
      </c>
      <c r="G1029" s="1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f>orders[[#This Row],[Ship Date]]-orders[[#This Row],[Order Date]]</f>
        <v>5</v>
      </c>
      <c r="N1029">
        <f>WEEKNUM(orders[[#This Row],[Order Date]])</f>
        <v>7</v>
      </c>
      <c r="O1029" t="str" cm="1">
        <f t="array" ref="O1029">_xlfn.IFS(orders[[#This Row],[Customer Gender]]="M","Male", orders[[#This Row],[Customer Gender]]="F","Female", orders[[#This Row],[Customer Gender]]="O","Other", TRUE,"Unknown")</f>
        <v>Female</v>
      </c>
    </row>
    <row r="1030" spans="1:15" x14ac:dyDescent="0.3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1">
        <v>45698</v>
      </c>
      <c r="G1030" s="1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f>orders[[#This Row],[Ship Date]]-orders[[#This Row],[Order Date]]</f>
        <v>5</v>
      </c>
      <c r="N1030">
        <f>WEEKNUM(orders[[#This Row],[Order Date]])</f>
        <v>7</v>
      </c>
      <c r="O1030" t="str" cm="1">
        <f t="array" ref="O1030">_xlfn.IFS(orders[[#This Row],[Customer Gender]]="M","Male", orders[[#This Row],[Customer Gender]]="F","Female", orders[[#This Row],[Customer Gender]]="O","Other", TRUE,"Unknown")</f>
        <v>Female</v>
      </c>
    </row>
    <row r="1031" spans="1:15" x14ac:dyDescent="0.3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1">
        <v>45698</v>
      </c>
      <c r="G1031" s="1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f>orders[[#This Row],[Ship Date]]-orders[[#This Row],[Order Date]]</f>
        <v>1</v>
      </c>
      <c r="N1031">
        <f>WEEKNUM(orders[[#This Row],[Order Date]])</f>
        <v>7</v>
      </c>
      <c r="O1031" t="str" cm="1">
        <f t="array" ref="O1031">_xlfn.IFS(orders[[#This Row],[Customer Gender]]="M","Male", orders[[#This Row],[Customer Gender]]="F","Female", orders[[#This Row],[Customer Gender]]="O","Other", TRUE,"Unknown")</f>
        <v>Male</v>
      </c>
    </row>
    <row r="1032" spans="1:15" x14ac:dyDescent="0.3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1">
        <v>45698</v>
      </c>
      <c r="G1032" s="1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f>orders[[#This Row],[Ship Date]]-orders[[#This Row],[Order Date]]</f>
        <v>1</v>
      </c>
      <c r="N1032">
        <f>WEEKNUM(orders[[#This Row],[Order Date]])</f>
        <v>7</v>
      </c>
      <c r="O1032" t="str" cm="1">
        <f t="array" ref="O1032">_xlfn.IFS(orders[[#This Row],[Customer Gender]]="M","Male", orders[[#This Row],[Customer Gender]]="F","Female", orders[[#This Row],[Customer Gender]]="O","Other", TRUE,"Unknown")</f>
        <v>Female</v>
      </c>
    </row>
    <row r="1033" spans="1:15" x14ac:dyDescent="0.3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1">
        <v>45698</v>
      </c>
      <c r="G1033" s="1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f>orders[[#This Row],[Ship Date]]-orders[[#This Row],[Order Date]]</f>
        <v>7</v>
      </c>
      <c r="N1033">
        <f>WEEKNUM(orders[[#This Row],[Order Date]])</f>
        <v>7</v>
      </c>
      <c r="O1033" t="str" cm="1">
        <f t="array" ref="O1033">_xlfn.IFS(orders[[#This Row],[Customer Gender]]="M","Male", orders[[#This Row],[Customer Gender]]="F","Female", orders[[#This Row],[Customer Gender]]="O","Other", TRUE,"Unknown")</f>
        <v>Male</v>
      </c>
    </row>
    <row r="1034" spans="1:15" x14ac:dyDescent="0.3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1">
        <v>45698</v>
      </c>
      <c r="G1034" s="1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f>orders[[#This Row],[Ship Date]]-orders[[#This Row],[Order Date]]</f>
        <v>4</v>
      </c>
      <c r="N1034">
        <f>WEEKNUM(orders[[#This Row],[Order Date]])</f>
        <v>7</v>
      </c>
      <c r="O1034" t="str" cm="1">
        <f t="array" ref="O1034">_xlfn.IFS(orders[[#This Row],[Customer Gender]]="M","Male", orders[[#This Row],[Customer Gender]]="F","Female", orders[[#This Row],[Customer Gender]]="O","Other", TRUE,"Unknown")</f>
        <v>Female</v>
      </c>
    </row>
    <row r="1035" spans="1:15" x14ac:dyDescent="0.3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1">
        <v>45698</v>
      </c>
      <c r="G1035" s="1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f>orders[[#This Row],[Ship Date]]-orders[[#This Row],[Order Date]]</f>
        <v>4</v>
      </c>
      <c r="N1035">
        <f>WEEKNUM(orders[[#This Row],[Order Date]])</f>
        <v>7</v>
      </c>
      <c r="O1035" t="str" cm="1">
        <f t="array" ref="O1035">_xlfn.IFS(orders[[#This Row],[Customer Gender]]="M","Male", orders[[#This Row],[Customer Gender]]="F","Female", orders[[#This Row],[Customer Gender]]="O","Other", TRUE,"Unknown")</f>
        <v>Unknown</v>
      </c>
    </row>
    <row r="1036" spans="1:15" x14ac:dyDescent="0.3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1">
        <v>45698</v>
      </c>
      <c r="G1036" s="1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f>orders[[#This Row],[Ship Date]]-orders[[#This Row],[Order Date]]</f>
        <v>1</v>
      </c>
      <c r="N1036">
        <f>WEEKNUM(orders[[#This Row],[Order Date]])</f>
        <v>7</v>
      </c>
      <c r="O1036" t="str" cm="1">
        <f t="array" ref="O1036">_xlfn.IFS(orders[[#This Row],[Customer Gender]]="M","Male", orders[[#This Row],[Customer Gender]]="F","Female", orders[[#This Row],[Customer Gender]]="O","Other", TRUE,"Unknown")</f>
        <v>Female</v>
      </c>
    </row>
    <row r="1037" spans="1:15" x14ac:dyDescent="0.3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1">
        <v>45698</v>
      </c>
      <c r="G1037" s="1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f>orders[[#This Row],[Ship Date]]-orders[[#This Row],[Order Date]]</f>
        <v>1</v>
      </c>
      <c r="N1037">
        <f>WEEKNUM(orders[[#This Row],[Order Date]])</f>
        <v>7</v>
      </c>
      <c r="O1037" t="str" cm="1">
        <f t="array" ref="O1037">_xlfn.IFS(orders[[#This Row],[Customer Gender]]="M","Male", orders[[#This Row],[Customer Gender]]="F","Female", orders[[#This Row],[Customer Gender]]="O","Other", TRUE,"Unknown")</f>
        <v>Male</v>
      </c>
    </row>
    <row r="1038" spans="1:15" x14ac:dyDescent="0.3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1">
        <v>45698</v>
      </c>
      <c r="G1038" s="1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f>orders[[#This Row],[Ship Date]]-orders[[#This Row],[Order Date]]</f>
        <v>1</v>
      </c>
      <c r="N1038">
        <f>WEEKNUM(orders[[#This Row],[Order Date]])</f>
        <v>7</v>
      </c>
      <c r="O1038" t="str" cm="1">
        <f t="array" ref="O1038">_xlfn.IFS(orders[[#This Row],[Customer Gender]]="M","Male", orders[[#This Row],[Customer Gender]]="F","Female", orders[[#This Row],[Customer Gender]]="O","Other", TRUE,"Unknown")</f>
        <v>Male</v>
      </c>
    </row>
    <row r="1039" spans="1:15" x14ac:dyDescent="0.3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1">
        <v>45698</v>
      </c>
      <c r="G1039" s="1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f>orders[[#This Row],[Ship Date]]-orders[[#This Row],[Order Date]]</f>
        <v>3</v>
      </c>
      <c r="N1039">
        <f>WEEKNUM(orders[[#This Row],[Order Date]])</f>
        <v>7</v>
      </c>
      <c r="O1039" t="str" cm="1">
        <f t="array" ref="O1039">_xlfn.IFS(orders[[#This Row],[Customer Gender]]="M","Male", orders[[#This Row],[Customer Gender]]="F","Female", orders[[#This Row],[Customer Gender]]="O","Other", TRUE,"Unknown")</f>
        <v>Female</v>
      </c>
    </row>
    <row r="1040" spans="1:15" x14ac:dyDescent="0.3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1">
        <v>45698</v>
      </c>
      <c r="G1040" s="1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f>orders[[#This Row],[Ship Date]]-orders[[#This Row],[Order Date]]</f>
        <v>2</v>
      </c>
      <c r="N1040">
        <f>WEEKNUM(orders[[#This Row],[Order Date]])</f>
        <v>7</v>
      </c>
      <c r="O1040" t="str" cm="1">
        <f t="array" ref="O1040">_xlfn.IFS(orders[[#This Row],[Customer Gender]]="M","Male", orders[[#This Row],[Customer Gender]]="F","Female", orders[[#This Row],[Customer Gender]]="O","Other", TRUE,"Unknown")</f>
        <v>Female</v>
      </c>
    </row>
    <row r="1041" spans="1:15" x14ac:dyDescent="0.3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1">
        <v>45698</v>
      </c>
      <c r="G1041" s="1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f>orders[[#This Row],[Ship Date]]-orders[[#This Row],[Order Date]]</f>
        <v>2</v>
      </c>
      <c r="N1041">
        <f>WEEKNUM(orders[[#This Row],[Order Date]])</f>
        <v>7</v>
      </c>
      <c r="O1041" t="str" cm="1">
        <f t="array" ref="O1041">_xlfn.IFS(orders[[#This Row],[Customer Gender]]="M","Male", orders[[#This Row],[Customer Gender]]="F","Female", orders[[#This Row],[Customer Gender]]="O","Other", TRUE,"Unknown")</f>
        <v>Male</v>
      </c>
    </row>
    <row r="1042" spans="1:15" x14ac:dyDescent="0.3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1">
        <v>45698</v>
      </c>
      <c r="G1042" s="1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f>orders[[#This Row],[Ship Date]]-orders[[#This Row],[Order Date]]</f>
        <v>1</v>
      </c>
      <c r="N1042">
        <f>WEEKNUM(orders[[#This Row],[Order Date]])</f>
        <v>7</v>
      </c>
      <c r="O1042" t="str" cm="1">
        <f t="array" ref="O1042">_xlfn.IFS(orders[[#This Row],[Customer Gender]]="M","Male", orders[[#This Row],[Customer Gender]]="F","Female", orders[[#This Row],[Customer Gender]]="O","Other", TRUE,"Unknown")</f>
        <v>Unknown</v>
      </c>
    </row>
    <row r="1043" spans="1:15" x14ac:dyDescent="0.3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1">
        <v>45698</v>
      </c>
      <c r="G1043" s="1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f>orders[[#This Row],[Ship Date]]-orders[[#This Row],[Order Date]]</f>
        <v>7</v>
      </c>
      <c r="N1043">
        <f>WEEKNUM(orders[[#This Row],[Order Date]])</f>
        <v>7</v>
      </c>
      <c r="O1043" t="str" cm="1">
        <f t="array" ref="O1043">_xlfn.IFS(orders[[#This Row],[Customer Gender]]="M","Male", orders[[#This Row],[Customer Gender]]="F","Female", orders[[#This Row],[Customer Gender]]="O","Other", TRUE,"Unknown")</f>
        <v>Female</v>
      </c>
    </row>
    <row r="1044" spans="1:15" x14ac:dyDescent="0.3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1">
        <v>45698</v>
      </c>
      <c r="G1044" s="1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f>orders[[#This Row],[Ship Date]]-orders[[#This Row],[Order Date]]</f>
        <v>1</v>
      </c>
      <c r="N1044">
        <f>WEEKNUM(orders[[#This Row],[Order Date]])</f>
        <v>7</v>
      </c>
      <c r="O1044" t="str" cm="1">
        <f t="array" ref="O1044">_xlfn.IFS(orders[[#This Row],[Customer Gender]]="M","Male", orders[[#This Row],[Customer Gender]]="F","Female", orders[[#This Row],[Customer Gender]]="O","Other", TRUE,"Unknown")</f>
        <v>Male</v>
      </c>
    </row>
    <row r="1045" spans="1:15" x14ac:dyDescent="0.3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1">
        <v>45698</v>
      </c>
      <c r="G1045" s="1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f>orders[[#This Row],[Ship Date]]-orders[[#This Row],[Order Date]]</f>
        <v>1</v>
      </c>
      <c r="N1045">
        <f>WEEKNUM(orders[[#This Row],[Order Date]])</f>
        <v>7</v>
      </c>
      <c r="O1045" t="str" cm="1">
        <f t="array" ref="O1045">_xlfn.IFS(orders[[#This Row],[Customer Gender]]="M","Male", orders[[#This Row],[Customer Gender]]="F","Female", orders[[#This Row],[Customer Gender]]="O","Other", TRUE,"Unknown")</f>
        <v>Female</v>
      </c>
    </row>
    <row r="1046" spans="1:15" x14ac:dyDescent="0.3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1">
        <v>45698</v>
      </c>
      <c r="G1046" s="1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f>orders[[#This Row],[Ship Date]]-orders[[#This Row],[Order Date]]</f>
        <v>1</v>
      </c>
      <c r="N1046">
        <f>WEEKNUM(orders[[#This Row],[Order Date]])</f>
        <v>7</v>
      </c>
      <c r="O1046" t="str" cm="1">
        <f t="array" ref="O1046">_xlfn.IFS(orders[[#This Row],[Customer Gender]]="M","Male", orders[[#This Row],[Customer Gender]]="F","Female", orders[[#This Row],[Customer Gender]]="O","Other", TRUE,"Unknown")</f>
        <v>Male</v>
      </c>
    </row>
    <row r="1047" spans="1:15" x14ac:dyDescent="0.3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1">
        <v>45698</v>
      </c>
      <c r="G1047" s="1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f>orders[[#This Row],[Ship Date]]-orders[[#This Row],[Order Date]]</f>
        <v>8</v>
      </c>
      <c r="N1047">
        <f>WEEKNUM(orders[[#This Row],[Order Date]])</f>
        <v>7</v>
      </c>
      <c r="O1047" t="str" cm="1">
        <f t="array" ref="O1047">_xlfn.IFS(orders[[#This Row],[Customer Gender]]="M","Male", orders[[#This Row],[Customer Gender]]="F","Female", orders[[#This Row],[Customer Gender]]="O","Other", TRUE,"Unknown")</f>
        <v>Female</v>
      </c>
    </row>
    <row r="1048" spans="1:15" x14ac:dyDescent="0.3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1">
        <v>45698</v>
      </c>
      <c r="G1048" s="1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f>orders[[#This Row],[Ship Date]]-orders[[#This Row],[Order Date]]</f>
        <v>2</v>
      </c>
      <c r="N1048">
        <f>WEEKNUM(orders[[#This Row],[Order Date]])</f>
        <v>7</v>
      </c>
      <c r="O1048" t="str" cm="1">
        <f t="array" ref="O1048">_xlfn.IFS(orders[[#This Row],[Customer Gender]]="M","Male", orders[[#This Row],[Customer Gender]]="F","Female", orders[[#This Row],[Customer Gender]]="O","Other", TRUE,"Unknown")</f>
        <v>Female</v>
      </c>
    </row>
    <row r="1049" spans="1:15" x14ac:dyDescent="0.3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1">
        <v>45698</v>
      </c>
      <c r="G1049" s="1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f>orders[[#This Row],[Ship Date]]-orders[[#This Row],[Order Date]]</f>
        <v>0</v>
      </c>
      <c r="N1049">
        <f>WEEKNUM(orders[[#This Row],[Order Date]])</f>
        <v>7</v>
      </c>
      <c r="O1049" t="str" cm="1">
        <f t="array" ref="O1049">_xlfn.IFS(orders[[#This Row],[Customer Gender]]="M","Male", orders[[#This Row],[Customer Gender]]="F","Female", orders[[#This Row],[Customer Gender]]="O","Other", TRUE,"Unknown")</f>
        <v>Female</v>
      </c>
    </row>
    <row r="1050" spans="1:15" x14ac:dyDescent="0.3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1">
        <v>45699</v>
      </c>
      <c r="G1050" s="1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f>orders[[#This Row],[Ship Date]]-orders[[#This Row],[Order Date]]</f>
        <v>4</v>
      </c>
      <c r="N1050">
        <f>WEEKNUM(orders[[#This Row],[Order Date]])</f>
        <v>7</v>
      </c>
      <c r="O1050" t="str" cm="1">
        <f t="array" ref="O1050">_xlfn.IFS(orders[[#This Row],[Customer Gender]]="M","Male", orders[[#This Row],[Customer Gender]]="F","Female", orders[[#This Row],[Customer Gender]]="O","Other", TRUE,"Unknown")</f>
        <v>Female</v>
      </c>
    </row>
    <row r="1051" spans="1:15" x14ac:dyDescent="0.3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1">
        <v>45699</v>
      </c>
      <c r="G1051" s="1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f>orders[[#This Row],[Ship Date]]-orders[[#This Row],[Order Date]]</f>
        <v>2</v>
      </c>
      <c r="N1051">
        <f>WEEKNUM(orders[[#This Row],[Order Date]])</f>
        <v>7</v>
      </c>
      <c r="O1051" t="str" cm="1">
        <f t="array" ref="O1051">_xlfn.IFS(orders[[#This Row],[Customer Gender]]="M","Male", orders[[#This Row],[Customer Gender]]="F","Female", orders[[#This Row],[Customer Gender]]="O","Other", TRUE,"Unknown")</f>
        <v>Male</v>
      </c>
    </row>
    <row r="1052" spans="1:15" x14ac:dyDescent="0.3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1">
        <v>45699</v>
      </c>
      <c r="G1052" s="1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f>orders[[#This Row],[Ship Date]]-orders[[#This Row],[Order Date]]</f>
        <v>3</v>
      </c>
      <c r="N1052">
        <f>WEEKNUM(orders[[#This Row],[Order Date]])</f>
        <v>7</v>
      </c>
      <c r="O1052" t="str" cm="1">
        <f t="array" ref="O1052">_xlfn.IFS(orders[[#This Row],[Customer Gender]]="M","Male", orders[[#This Row],[Customer Gender]]="F","Female", orders[[#This Row],[Customer Gender]]="O","Other", TRUE,"Unknown")</f>
        <v>Male</v>
      </c>
    </row>
    <row r="1053" spans="1:15" x14ac:dyDescent="0.3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1">
        <v>45699</v>
      </c>
      <c r="G1053" s="1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f>orders[[#This Row],[Ship Date]]-orders[[#This Row],[Order Date]]</f>
        <v>1</v>
      </c>
      <c r="N1053">
        <f>WEEKNUM(orders[[#This Row],[Order Date]])</f>
        <v>7</v>
      </c>
      <c r="O1053" t="str" cm="1">
        <f t="array" ref="O1053">_xlfn.IFS(orders[[#This Row],[Customer Gender]]="M","Male", orders[[#This Row],[Customer Gender]]="F","Female", orders[[#This Row],[Customer Gender]]="O","Other", TRUE,"Unknown")</f>
        <v>Female</v>
      </c>
    </row>
    <row r="1054" spans="1:15" x14ac:dyDescent="0.3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1">
        <v>45699</v>
      </c>
      <c r="G1054" s="1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f>orders[[#This Row],[Ship Date]]-orders[[#This Row],[Order Date]]</f>
        <v>1</v>
      </c>
      <c r="N1054">
        <f>WEEKNUM(orders[[#This Row],[Order Date]])</f>
        <v>7</v>
      </c>
      <c r="O1054" t="str" cm="1">
        <f t="array" ref="O1054">_xlfn.IFS(orders[[#This Row],[Customer Gender]]="M","Male", orders[[#This Row],[Customer Gender]]="F","Female", orders[[#This Row],[Customer Gender]]="O","Other", TRUE,"Unknown")</f>
        <v>Male</v>
      </c>
    </row>
    <row r="1055" spans="1:15" x14ac:dyDescent="0.3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1">
        <v>45699</v>
      </c>
      <c r="G1055" s="1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f>orders[[#This Row],[Ship Date]]-orders[[#This Row],[Order Date]]</f>
        <v>1</v>
      </c>
      <c r="N1055">
        <f>WEEKNUM(orders[[#This Row],[Order Date]])</f>
        <v>7</v>
      </c>
      <c r="O1055" t="str" cm="1">
        <f t="array" ref="O1055">_xlfn.IFS(orders[[#This Row],[Customer Gender]]="M","Male", orders[[#This Row],[Customer Gender]]="F","Female", orders[[#This Row],[Customer Gender]]="O","Other", TRUE,"Unknown")</f>
        <v>Female</v>
      </c>
    </row>
    <row r="1056" spans="1:15" x14ac:dyDescent="0.3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1">
        <v>45699</v>
      </c>
      <c r="G1056" s="1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f>orders[[#This Row],[Ship Date]]-orders[[#This Row],[Order Date]]</f>
        <v>4</v>
      </c>
      <c r="N1056">
        <f>WEEKNUM(orders[[#This Row],[Order Date]])</f>
        <v>7</v>
      </c>
      <c r="O1056" t="str" cm="1">
        <f t="array" ref="O1056">_xlfn.IFS(orders[[#This Row],[Customer Gender]]="M","Male", orders[[#This Row],[Customer Gender]]="F","Female", orders[[#This Row],[Customer Gender]]="O","Other", TRUE,"Unknown")</f>
        <v>Male</v>
      </c>
    </row>
    <row r="1057" spans="1:15" x14ac:dyDescent="0.3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1">
        <v>45699</v>
      </c>
      <c r="G1057" s="1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f>orders[[#This Row],[Ship Date]]-orders[[#This Row],[Order Date]]</f>
        <v>2</v>
      </c>
      <c r="N1057">
        <f>WEEKNUM(orders[[#This Row],[Order Date]])</f>
        <v>7</v>
      </c>
      <c r="O1057" t="str" cm="1">
        <f t="array" ref="O1057">_xlfn.IFS(orders[[#This Row],[Customer Gender]]="M","Male", orders[[#This Row],[Customer Gender]]="F","Female", orders[[#This Row],[Customer Gender]]="O","Other", TRUE,"Unknown")</f>
        <v>Male</v>
      </c>
    </row>
    <row r="1058" spans="1:15" x14ac:dyDescent="0.3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1">
        <v>45699</v>
      </c>
      <c r="G1058" s="1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f>orders[[#This Row],[Ship Date]]-orders[[#This Row],[Order Date]]</f>
        <v>3</v>
      </c>
      <c r="N1058">
        <f>WEEKNUM(orders[[#This Row],[Order Date]])</f>
        <v>7</v>
      </c>
      <c r="O1058" t="str" cm="1">
        <f t="array" ref="O1058">_xlfn.IFS(orders[[#This Row],[Customer Gender]]="M","Male", orders[[#This Row],[Customer Gender]]="F","Female", orders[[#This Row],[Customer Gender]]="O","Other", TRUE,"Unknown")</f>
        <v>Female</v>
      </c>
    </row>
    <row r="1059" spans="1:15" x14ac:dyDescent="0.3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1">
        <v>45699</v>
      </c>
      <c r="G1059" s="1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f>orders[[#This Row],[Ship Date]]-orders[[#This Row],[Order Date]]</f>
        <v>3</v>
      </c>
      <c r="N1059">
        <f>WEEKNUM(orders[[#This Row],[Order Date]])</f>
        <v>7</v>
      </c>
      <c r="O1059" t="str" cm="1">
        <f t="array" ref="O1059">_xlfn.IFS(orders[[#This Row],[Customer Gender]]="M","Male", orders[[#This Row],[Customer Gender]]="F","Female", orders[[#This Row],[Customer Gender]]="O","Other", TRUE,"Unknown")</f>
        <v>Female</v>
      </c>
    </row>
    <row r="1060" spans="1:15" x14ac:dyDescent="0.3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1">
        <v>45699</v>
      </c>
      <c r="G1060" s="1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f>orders[[#This Row],[Ship Date]]-orders[[#This Row],[Order Date]]</f>
        <v>1</v>
      </c>
      <c r="N1060">
        <f>WEEKNUM(orders[[#This Row],[Order Date]])</f>
        <v>7</v>
      </c>
      <c r="O1060" t="str" cm="1">
        <f t="array" ref="O1060">_xlfn.IFS(orders[[#This Row],[Customer Gender]]="M","Male", orders[[#This Row],[Customer Gender]]="F","Female", orders[[#This Row],[Customer Gender]]="O","Other", TRUE,"Unknown")</f>
        <v>Female</v>
      </c>
    </row>
    <row r="1061" spans="1:15" x14ac:dyDescent="0.3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1">
        <v>45699</v>
      </c>
      <c r="G1061" s="1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f>orders[[#This Row],[Ship Date]]-orders[[#This Row],[Order Date]]</f>
        <v>1</v>
      </c>
      <c r="N1061">
        <f>WEEKNUM(orders[[#This Row],[Order Date]])</f>
        <v>7</v>
      </c>
      <c r="O1061" t="str" cm="1">
        <f t="array" ref="O1061">_xlfn.IFS(orders[[#This Row],[Customer Gender]]="M","Male", orders[[#This Row],[Customer Gender]]="F","Female", orders[[#This Row],[Customer Gender]]="O","Other", TRUE,"Unknown")</f>
        <v>Male</v>
      </c>
    </row>
    <row r="1062" spans="1:15" x14ac:dyDescent="0.3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1">
        <v>45699</v>
      </c>
      <c r="G1062" s="1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f>orders[[#This Row],[Ship Date]]-orders[[#This Row],[Order Date]]</f>
        <v>2</v>
      </c>
      <c r="N1062">
        <f>WEEKNUM(orders[[#This Row],[Order Date]])</f>
        <v>7</v>
      </c>
      <c r="O1062" t="str" cm="1">
        <f t="array" ref="O1062">_xlfn.IFS(orders[[#This Row],[Customer Gender]]="M","Male", orders[[#This Row],[Customer Gender]]="F","Female", orders[[#This Row],[Customer Gender]]="O","Other", TRUE,"Unknown")</f>
        <v>Unknown</v>
      </c>
    </row>
    <row r="1063" spans="1:15" x14ac:dyDescent="0.3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1">
        <v>45699</v>
      </c>
      <c r="G1063" s="1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f>orders[[#This Row],[Ship Date]]-orders[[#This Row],[Order Date]]</f>
        <v>1</v>
      </c>
      <c r="N1063">
        <f>WEEKNUM(orders[[#This Row],[Order Date]])</f>
        <v>7</v>
      </c>
      <c r="O1063" t="str" cm="1">
        <f t="array" ref="O1063">_xlfn.IFS(orders[[#This Row],[Customer Gender]]="M","Male", orders[[#This Row],[Customer Gender]]="F","Female", orders[[#This Row],[Customer Gender]]="O","Other", TRUE,"Unknown")</f>
        <v>Male</v>
      </c>
    </row>
    <row r="1064" spans="1:15" x14ac:dyDescent="0.3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1">
        <v>45699</v>
      </c>
      <c r="G1064" s="1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f>orders[[#This Row],[Ship Date]]-orders[[#This Row],[Order Date]]</f>
        <v>2</v>
      </c>
      <c r="N1064">
        <f>WEEKNUM(orders[[#This Row],[Order Date]])</f>
        <v>7</v>
      </c>
      <c r="O1064" t="str" cm="1">
        <f t="array" ref="O1064">_xlfn.IFS(orders[[#This Row],[Customer Gender]]="M","Male", orders[[#This Row],[Customer Gender]]="F","Female", orders[[#This Row],[Customer Gender]]="O","Other", TRUE,"Unknown")</f>
        <v>Male</v>
      </c>
    </row>
    <row r="1065" spans="1:15" x14ac:dyDescent="0.3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1">
        <v>45699</v>
      </c>
      <c r="G1065" s="1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f>orders[[#This Row],[Ship Date]]-orders[[#This Row],[Order Date]]</f>
        <v>2</v>
      </c>
      <c r="N1065">
        <f>WEEKNUM(orders[[#This Row],[Order Date]])</f>
        <v>7</v>
      </c>
      <c r="O1065" t="str" cm="1">
        <f t="array" ref="O1065">_xlfn.IFS(orders[[#This Row],[Customer Gender]]="M","Male", orders[[#This Row],[Customer Gender]]="F","Female", orders[[#This Row],[Customer Gender]]="O","Other", TRUE,"Unknown")</f>
        <v>Female</v>
      </c>
    </row>
    <row r="1066" spans="1:15" x14ac:dyDescent="0.3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1">
        <v>45699</v>
      </c>
      <c r="G1066" s="1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f>orders[[#This Row],[Ship Date]]-orders[[#This Row],[Order Date]]</f>
        <v>2</v>
      </c>
      <c r="N1066">
        <f>WEEKNUM(orders[[#This Row],[Order Date]])</f>
        <v>7</v>
      </c>
      <c r="O1066" t="str" cm="1">
        <f t="array" ref="O1066">_xlfn.IFS(orders[[#This Row],[Customer Gender]]="M","Male", orders[[#This Row],[Customer Gender]]="F","Female", orders[[#This Row],[Customer Gender]]="O","Other", TRUE,"Unknown")</f>
        <v>Male</v>
      </c>
    </row>
    <row r="1067" spans="1:15" x14ac:dyDescent="0.3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1">
        <v>45699</v>
      </c>
      <c r="G1067" s="1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f>orders[[#This Row],[Ship Date]]-orders[[#This Row],[Order Date]]</f>
        <v>0</v>
      </c>
      <c r="N1067">
        <f>WEEKNUM(orders[[#This Row],[Order Date]])</f>
        <v>7</v>
      </c>
      <c r="O1067" t="str" cm="1">
        <f t="array" ref="O1067">_xlfn.IFS(orders[[#This Row],[Customer Gender]]="M","Male", orders[[#This Row],[Customer Gender]]="F","Female", orders[[#This Row],[Customer Gender]]="O","Other", TRUE,"Unknown")</f>
        <v>Male</v>
      </c>
    </row>
    <row r="1068" spans="1:15" x14ac:dyDescent="0.3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1">
        <v>45699</v>
      </c>
      <c r="G1068" s="1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f>orders[[#This Row],[Ship Date]]-orders[[#This Row],[Order Date]]</f>
        <v>3</v>
      </c>
      <c r="N1068">
        <f>WEEKNUM(orders[[#This Row],[Order Date]])</f>
        <v>7</v>
      </c>
      <c r="O1068" t="str" cm="1">
        <f t="array" ref="O1068">_xlfn.IFS(orders[[#This Row],[Customer Gender]]="M","Male", orders[[#This Row],[Customer Gender]]="F","Female", orders[[#This Row],[Customer Gender]]="O","Other", TRUE,"Unknown")</f>
        <v>Female</v>
      </c>
    </row>
    <row r="1069" spans="1:15" x14ac:dyDescent="0.3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1">
        <v>45699</v>
      </c>
      <c r="G1069" s="1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f>orders[[#This Row],[Ship Date]]-orders[[#This Row],[Order Date]]</f>
        <v>3</v>
      </c>
      <c r="N1069">
        <f>WEEKNUM(orders[[#This Row],[Order Date]])</f>
        <v>7</v>
      </c>
      <c r="O1069" t="str" cm="1">
        <f t="array" ref="O1069">_xlfn.IFS(orders[[#This Row],[Customer Gender]]="M","Male", orders[[#This Row],[Customer Gender]]="F","Female", orders[[#This Row],[Customer Gender]]="O","Other", TRUE,"Unknown")</f>
        <v>Male</v>
      </c>
    </row>
    <row r="1070" spans="1:15" x14ac:dyDescent="0.3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1">
        <v>45699</v>
      </c>
      <c r="G1070" s="1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f>orders[[#This Row],[Ship Date]]-orders[[#This Row],[Order Date]]</f>
        <v>8</v>
      </c>
      <c r="N1070">
        <f>WEEKNUM(orders[[#This Row],[Order Date]])</f>
        <v>7</v>
      </c>
      <c r="O1070" t="str" cm="1">
        <f t="array" ref="O1070">_xlfn.IFS(orders[[#This Row],[Customer Gender]]="M","Male", orders[[#This Row],[Customer Gender]]="F","Female", orders[[#This Row],[Customer Gender]]="O","Other", TRUE,"Unknown")</f>
        <v>Female</v>
      </c>
    </row>
    <row r="1071" spans="1:15" x14ac:dyDescent="0.3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1">
        <v>45699</v>
      </c>
      <c r="G1071" s="1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f>orders[[#This Row],[Ship Date]]-orders[[#This Row],[Order Date]]</f>
        <v>2</v>
      </c>
      <c r="N1071">
        <f>WEEKNUM(orders[[#This Row],[Order Date]])</f>
        <v>7</v>
      </c>
      <c r="O1071" t="str" cm="1">
        <f t="array" ref="O1071">_xlfn.IFS(orders[[#This Row],[Customer Gender]]="M","Male", orders[[#This Row],[Customer Gender]]="F","Female", orders[[#This Row],[Customer Gender]]="O","Other", TRUE,"Unknown")</f>
        <v>Female</v>
      </c>
    </row>
    <row r="1072" spans="1:15" x14ac:dyDescent="0.3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1">
        <v>45699</v>
      </c>
      <c r="G1072" s="1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f>orders[[#This Row],[Ship Date]]-orders[[#This Row],[Order Date]]</f>
        <v>2</v>
      </c>
      <c r="N1072">
        <f>WEEKNUM(orders[[#This Row],[Order Date]])</f>
        <v>7</v>
      </c>
      <c r="O1072" t="str" cm="1">
        <f t="array" ref="O1072">_xlfn.IFS(orders[[#This Row],[Customer Gender]]="M","Male", orders[[#This Row],[Customer Gender]]="F","Female", orders[[#This Row],[Customer Gender]]="O","Other", TRUE,"Unknown")</f>
        <v>Male</v>
      </c>
    </row>
    <row r="1073" spans="1:15" x14ac:dyDescent="0.3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1">
        <v>45699</v>
      </c>
      <c r="G1073" s="1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f>orders[[#This Row],[Ship Date]]-orders[[#This Row],[Order Date]]</f>
        <v>3</v>
      </c>
      <c r="N1073">
        <f>WEEKNUM(orders[[#This Row],[Order Date]])</f>
        <v>7</v>
      </c>
      <c r="O1073" t="str" cm="1">
        <f t="array" ref="O1073">_xlfn.IFS(orders[[#This Row],[Customer Gender]]="M","Male", orders[[#This Row],[Customer Gender]]="F","Female", orders[[#This Row],[Customer Gender]]="O","Other", TRUE,"Unknown")</f>
        <v>Female</v>
      </c>
    </row>
    <row r="1074" spans="1:15" x14ac:dyDescent="0.3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1">
        <v>45699</v>
      </c>
      <c r="G1074" s="1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f>orders[[#This Row],[Ship Date]]-orders[[#This Row],[Order Date]]</f>
        <v>3</v>
      </c>
      <c r="N1074">
        <f>WEEKNUM(orders[[#This Row],[Order Date]])</f>
        <v>7</v>
      </c>
      <c r="O1074" t="str" cm="1">
        <f t="array" ref="O1074">_xlfn.IFS(orders[[#This Row],[Customer Gender]]="M","Male", orders[[#This Row],[Customer Gender]]="F","Female", orders[[#This Row],[Customer Gender]]="O","Other", TRUE,"Unknown")</f>
        <v>Male</v>
      </c>
    </row>
    <row r="1075" spans="1:15" x14ac:dyDescent="0.3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1">
        <v>45699</v>
      </c>
      <c r="G1075" s="1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f>orders[[#This Row],[Ship Date]]-orders[[#This Row],[Order Date]]</f>
        <v>14</v>
      </c>
      <c r="N1075">
        <f>WEEKNUM(orders[[#This Row],[Order Date]])</f>
        <v>7</v>
      </c>
      <c r="O1075" t="str" cm="1">
        <f t="array" ref="O1075">_xlfn.IFS(orders[[#This Row],[Customer Gender]]="M","Male", orders[[#This Row],[Customer Gender]]="F","Female", orders[[#This Row],[Customer Gender]]="O","Other", TRUE,"Unknown")</f>
        <v>Male</v>
      </c>
    </row>
    <row r="1076" spans="1:15" x14ac:dyDescent="0.3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1">
        <v>45700</v>
      </c>
      <c r="G1076" s="1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f>orders[[#This Row],[Ship Date]]-orders[[#This Row],[Order Date]]</f>
        <v>0</v>
      </c>
      <c r="N1076">
        <f>WEEKNUM(orders[[#This Row],[Order Date]])</f>
        <v>7</v>
      </c>
      <c r="O1076" t="str" cm="1">
        <f t="array" ref="O1076">_xlfn.IFS(orders[[#This Row],[Customer Gender]]="M","Male", orders[[#This Row],[Customer Gender]]="F","Female", orders[[#This Row],[Customer Gender]]="O","Other", TRUE,"Unknown")</f>
        <v>Male</v>
      </c>
    </row>
    <row r="1077" spans="1:15" x14ac:dyDescent="0.3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1">
        <v>45700</v>
      </c>
      <c r="G1077" s="1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f>orders[[#This Row],[Ship Date]]-orders[[#This Row],[Order Date]]</f>
        <v>1</v>
      </c>
      <c r="N1077">
        <f>WEEKNUM(orders[[#This Row],[Order Date]])</f>
        <v>7</v>
      </c>
      <c r="O1077" t="str" cm="1">
        <f t="array" ref="O1077">_xlfn.IFS(orders[[#This Row],[Customer Gender]]="M","Male", orders[[#This Row],[Customer Gender]]="F","Female", orders[[#This Row],[Customer Gender]]="O","Other", TRUE,"Unknown")</f>
        <v>Male</v>
      </c>
    </row>
    <row r="1078" spans="1:15" x14ac:dyDescent="0.3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1">
        <v>45700</v>
      </c>
      <c r="G1078" s="1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f>orders[[#This Row],[Ship Date]]-orders[[#This Row],[Order Date]]</f>
        <v>1</v>
      </c>
      <c r="N1078">
        <f>WEEKNUM(orders[[#This Row],[Order Date]])</f>
        <v>7</v>
      </c>
      <c r="O1078" t="str" cm="1">
        <f t="array" ref="O1078">_xlfn.IFS(orders[[#This Row],[Customer Gender]]="M","Male", orders[[#This Row],[Customer Gender]]="F","Female", orders[[#This Row],[Customer Gender]]="O","Other", TRUE,"Unknown")</f>
        <v>Male</v>
      </c>
    </row>
    <row r="1079" spans="1:15" x14ac:dyDescent="0.3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1">
        <v>45700</v>
      </c>
      <c r="G1079" s="1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f>orders[[#This Row],[Ship Date]]-orders[[#This Row],[Order Date]]</f>
        <v>5</v>
      </c>
      <c r="N1079">
        <f>WEEKNUM(orders[[#This Row],[Order Date]])</f>
        <v>7</v>
      </c>
      <c r="O1079" t="str" cm="1">
        <f t="array" ref="O1079">_xlfn.IFS(orders[[#This Row],[Customer Gender]]="M","Male", orders[[#This Row],[Customer Gender]]="F","Female", orders[[#This Row],[Customer Gender]]="O","Other", TRUE,"Unknown")</f>
        <v>Male</v>
      </c>
    </row>
    <row r="1080" spans="1:15" x14ac:dyDescent="0.3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1">
        <v>45700</v>
      </c>
      <c r="G1080" s="1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f>orders[[#This Row],[Ship Date]]-orders[[#This Row],[Order Date]]</f>
        <v>0</v>
      </c>
      <c r="N1080">
        <f>WEEKNUM(orders[[#This Row],[Order Date]])</f>
        <v>7</v>
      </c>
      <c r="O1080" t="str" cm="1">
        <f t="array" ref="O1080">_xlfn.IFS(orders[[#This Row],[Customer Gender]]="M","Male", orders[[#This Row],[Customer Gender]]="F","Female", orders[[#This Row],[Customer Gender]]="O","Other", TRUE,"Unknown")</f>
        <v>Male</v>
      </c>
    </row>
    <row r="1081" spans="1:15" x14ac:dyDescent="0.3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1">
        <v>45700</v>
      </c>
      <c r="G1081" s="1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f>orders[[#This Row],[Ship Date]]-orders[[#This Row],[Order Date]]</f>
        <v>1</v>
      </c>
      <c r="N1081">
        <f>WEEKNUM(orders[[#This Row],[Order Date]])</f>
        <v>7</v>
      </c>
      <c r="O1081" t="str" cm="1">
        <f t="array" ref="O1081">_xlfn.IFS(orders[[#This Row],[Customer Gender]]="M","Male", orders[[#This Row],[Customer Gender]]="F","Female", orders[[#This Row],[Customer Gender]]="O","Other", TRUE,"Unknown")</f>
        <v>Male</v>
      </c>
    </row>
    <row r="1082" spans="1:15" x14ac:dyDescent="0.3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1">
        <v>45700</v>
      </c>
      <c r="G1082" s="1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f>orders[[#This Row],[Ship Date]]-orders[[#This Row],[Order Date]]</f>
        <v>2</v>
      </c>
      <c r="N1082">
        <f>WEEKNUM(orders[[#This Row],[Order Date]])</f>
        <v>7</v>
      </c>
      <c r="O1082" t="str" cm="1">
        <f t="array" ref="O1082">_xlfn.IFS(orders[[#This Row],[Customer Gender]]="M","Male", orders[[#This Row],[Customer Gender]]="F","Female", orders[[#This Row],[Customer Gender]]="O","Other", TRUE,"Unknown")</f>
        <v>Female</v>
      </c>
    </row>
    <row r="1083" spans="1:15" x14ac:dyDescent="0.3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1">
        <v>45700</v>
      </c>
      <c r="G1083" s="1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f>orders[[#This Row],[Ship Date]]-orders[[#This Row],[Order Date]]</f>
        <v>2</v>
      </c>
      <c r="N1083">
        <f>WEEKNUM(orders[[#This Row],[Order Date]])</f>
        <v>7</v>
      </c>
      <c r="O1083" t="str" cm="1">
        <f t="array" ref="O1083">_xlfn.IFS(orders[[#This Row],[Customer Gender]]="M","Male", orders[[#This Row],[Customer Gender]]="F","Female", orders[[#This Row],[Customer Gender]]="O","Other", TRUE,"Unknown")</f>
        <v>Female</v>
      </c>
    </row>
    <row r="1084" spans="1:15" x14ac:dyDescent="0.3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1">
        <v>45700</v>
      </c>
      <c r="G1084" s="1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f>orders[[#This Row],[Ship Date]]-orders[[#This Row],[Order Date]]</f>
        <v>2</v>
      </c>
      <c r="N1084">
        <f>WEEKNUM(orders[[#This Row],[Order Date]])</f>
        <v>7</v>
      </c>
      <c r="O1084" t="str" cm="1">
        <f t="array" ref="O1084">_xlfn.IFS(orders[[#This Row],[Customer Gender]]="M","Male", orders[[#This Row],[Customer Gender]]="F","Female", orders[[#This Row],[Customer Gender]]="O","Other", TRUE,"Unknown")</f>
        <v>Female</v>
      </c>
    </row>
    <row r="1085" spans="1:15" x14ac:dyDescent="0.3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1">
        <v>45700</v>
      </c>
      <c r="G1085" s="1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f>orders[[#This Row],[Ship Date]]-orders[[#This Row],[Order Date]]</f>
        <v>1</v>
      </c>
      <c r="N1085">
        <f>WEEKNUM(orders[[#This Row],[Order Date]])</f>
        <v>7</v>
      </c>
      <c r="O1085" t="str" cm="1">
        <f t="array" ref="O1085">_xlfn.IFS(orders[[#This Row],[Customer Gender]]="M","Male", orders[[#This Row],[Customer Gender]]="F","Female", orders[[#This Row],[Customer Gender]]="O","Other", TRUE,"Unknown")</f>
        <v>Female</v>
      </c>
    </row>
    <row r="1086" spans="1:15" x14ac:dyDescent="0.3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1">
        <v>45700</v>
      </c>
      <c r="G1086" s="1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f>orders[[#This Row],[Ship Date]]-orders[[#This Row],[Order Date]]</f>
        <v>1</v>
      </c>
      <c r="N1086">
        <f>WEEKNUM(orders[[#This Row],[Order Date]])</f>
        <v>7</v>
      </c>
      <c r="O1086" t="str" cm="1">
        <f t="array" ref="O1086">_xlfn.IFS(orders[[#This Row],[Customer Gender]]="M","Male", orders[[#This Row],[Customer Gender]]="F","Female", orders[[#This Row],[Customer Gender]]="O","Other", TRUE,"Unknown")</f>
        <v>Female</v>
      </c>
    </row>
    <row r="1087" spans="1:15" x14ac:dyDescent="0.3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1">
        <v>45700</v>
      </c>
      <c r="G1087" s="1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f>orders[[#This Row],[Ship Date]]-orders[[#This Row],[Order Date]]</f>
        <v>2</v>
      </c>
      <c r="N1087">
        <f>WEEKNUM(orders[[#This Row],[Order Date]])</f>
        <v>7</v>
      </c>
      <c r="O1087" t="str" cm="1">
        <f t="array" ref="O1087">_xlfn.IFS(orders[[#This Row],[Customer Gender]]="M","Male", orders[[#This Row],[Customer Gender]]="F","Female", orders[[#This Row],[Customer Gender]]="O","Other", TRUE,"Unknown")</f>
        <v>Female</v>
      </c>
    </row>
    <row r="1088" spans="1:15" x14ac:dyDescent="0.3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1">
        <v>45700</v>
      </c>
      <c r="G1088" s="1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f>orders[[#This Row],[Ship Date]]-orders[[#This Row],[Order Date]]</f>
        <v>2</v>
      </c>
      <c r="N1088">
        <f>WEEKNUM(orders[[#This Row],[Order Date]])</f>
        <v>7</v>
      </c>
      <c r="O1088" t="str" cm="1">
        <f t="array" ref="O1088">_xlfn.IFS(orders[[#This Row],[Customer Gender]]="M","Male", orders[[#This Row],[Customer Gender]]="F","Female", orders[[#This Row],[Customer Gender]]="O","Other", TRUE,"Unknown")</f>
        <v>Female</v>
      </c>
    </row>
    <row r="1089" spans="1:15" x14ac:dyDescent="0.3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1">
        <v>45700</v>
      </c>
      <c r="G1089" s="1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f>orders[[#This Row],[Ship Date]]-orders[[#This Row],[Order Date]]</f>
        <v>3</v>
      </c>
      <c r="N1089">
        <f>WEEKNUM(orders[[#This Row],[Order Date]])</f>
        <v>7</v>
      </c>
      <c r="O1089" t="str" cm="1">
        <f t="array" ref="O1089">_xlfn.IFS(orders[[#This Row],[Customer Gender]]="M","Male", orders[[#This Row],[Customer Gender]]="F","Female", orders[[#This Row],[Customer Gender]]="O","Other", TRUE,"Unknown")</f>
        <v>Male</v>
      </c>
    </row>
    <row r="1090" spans="1:15" x14ac:dyDescent="0.3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1">
        <v>45700</v>
      </c>
      <c r="G1090" s="1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f>orders[[#This Row],[Ship Date]]-orders[[#This Row],[Order Date]]</f>
        <v>2</v>
      </c>
      <c r="N1090">
        <f>WEEKNUM(orders[[#This Row],[Order Date]])</f>
        <v>7</v>
      </c>
      <c r="O1090" t="str" cm="1">
        <f t="array" ref="O1090">_xlfn.IFS(orders[[#This Row],[Customer Gender]]="M","Male", orders[[#This Row],[Customer Gender]]="F","Female", orders[[#This Row],[Customer Gender]]="O","Other", TRUE,"Unknown")</f>
        <v>Female</v>
      </c>
    </row>
    <row r="1091" spans="1:15" x14ac:dyDescent="0.3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1">
        <v>45700</v>
      </c>
      <c r="G1091" s="1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f>orders[[#This Row],[Ship Date]]-orders[[#This Row],[Order Date]]</f>
        <v>2</v>
      </c>
      <c r="N1091">
        <f>WEEKNUM(orders[[#This Row],[Order Date]])</f>
        <v>7</v>
      </c>
      <c r="O1091" t="str" cm="1">
        <f t="array" ref="O1091">_xlfn.IFS(orders[[#This Row],[Customer Gender]]="M","Male", orders[[#This Row],[Customer Gender]]="F","Female", orders[[#This Row],[Customer Gender]]="O","Other", TRUE,"Unknown")</f>
        <v>Male</v>
      </c>
    </row>
    <row r="1092" spans="1:15" x14ac:dyDescent="0.3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1">
        <v>45700</v>
      </c>
      <c r="G1092" s="1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f>orders[[#This Row],[Ship Date]]-orders[[#This Row],[Order Date]]</f>
        <v>1</v>
      </c>
      <c r="N1092">
        <f>WEEKNUM(orders[[#This Row],[Order Date]])</f>
        <v>7</v>
      </c>
      <c r="O1092" t="str" cm="1">
        <f t="array" ref="O1092">_xlfn.IFS(orders[[#This Row],[Customer Gender]]="M","Male", orders[[#This Row],[Customer Gender]]="F","Female", orders[[#This Row],[Customer Gender]]="O","Other", TRUE,"Unknown")</f>
        <v>Unknown</v>
      </c>
    </row>
    <row r="1093" spans="1:15" x14ac:dyDescent="0.3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1">
        <v>45700</v>
      </c>
      <c r="G1093" s="1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f>orders[[#This Row],[Ship Date]]-orders[[#This Row],[Order Date]]</f>
        <v>1</v>
      </c>
      <c r="N1093">
        <f>WEEKNUM(orders[[#This Row],[Order Date]])</f>
        <v>7</v>
      </c>
      <c r="O1093" t="str" cm="1">
        <f t="array" ref="O1093">_xlfn.IFS(orders[[#This Row],[Customer Gender]]="M","Male", orders[[#This Row],[Customer Gender]]="F","Female", orders[[#This Row],[Customer Gender]]="O","Other", TRUE,"Unknown")</f>
        <v>Female</v>
      </c>
    </row>
    <row r="1094" spans="1:15" x14ac:dyDescent="0.3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1">
        <v>45700</v>
      </c>
      <c r="G1094" s="1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f>orders[[#This Row],[Ship Date]]-orders[[#This Row],[Order Date]]</f>
        <v>5</v>
      </c>
      <c r="N1094">
        <f>WEEKNUM(orders[[#This Row],[Order Date]])</f>
        <v>7</v>
      </c>
      <c r="O1094" t="str" cm="1">
        <f t="array" ref="O1094">_xlfn.IFS(orders[[#This Row],[Customer Gender]]="M","Male", orders[[#This Row],[Customer Gender]]="F","Female", orders[[#This Row],[Customer Gender]]="O","Other", TRUE,"Unknown")</f>
        <v>Female</v>
      </c>
    </row>
    <row r="1095" spans="1:15" x14ac:dyDescent="0.3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1">
        <v>45700</v>
      </c>
      <c r="G1095" s="1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f>orders[[#This Row],[Ship Date]]-orders[[#This Row],[Order Date]]</f>
        <v>14</v>
      </c>
      <c r="N1095">
        <f>WEEKNUM(orders[[#This Row],[Order Date]])</f>
        <v>7</v>
      </c>
      <c r="O1095" t="str" cm="1">
        <f t="array" ref="O1095">_xlfn.IFS(orders[[#This Row],[Customer Gender]]="M","Male", orders[[#This Row],[Customer Gender]]="F","Female", orders[[#This Row],[Customer Gender]]="O","Other", TRUE,"Unknown")</f>
        <v>Male</v>
      </c>
    </row>
    <row r="1096" spans="1:15" x14ac:dyDescent="0.3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1">
        <v>45700</v>
      </c>
      <c r="G1096" s="1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f>orders[[#This Row],[Ship Date]]-orders[[#This Row],[Order Date]]</f>
        <v>2</v>
      </c>
      <c r="N1096">
        <f>WEEKNUM(orders[[#This Row],[Order Date]])</f>
        <v>7</v>
      </c>
      <c r="O1096" t="str" cm="1">
        <f t="array" ref="O1096">_xlfn.IFS(orders[[#This Row],[Customer Gender]]="M","Male", orders[[#This Row],[Customer Gender]]="F","Female", orders[[#This Row],[Customer Gender]]="O","Other", TRUE,"Unknown")</f>
        <v>Female</v>
      </c>
    </row>
    <row r="1097" spans="1:15" x14ac:dyDescent="0.3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1">
        <v>45700</v>
      </c>
      <c r="G1097" s="1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f>orders[[#This Row],[Ship Date]]-orders[[#This Row],[Order Date]]</f>
        <v>3</v>
      </c>
      <c r="N1097">
        <f>WEEKNUM(orders[[#This Row],[Order Date]])</f>
        <v>7</v>
      </c>
      <c r="O1097" t="str" cm="1">
        <f t="array" ref="O1097">_xlfn.IFS(orders[[#This Row],[Customer Gender]]="M","Male", orders[[#This Row],[Customer Gender]]="F","Female", orders[[#This Row],[Customer Gender]]="O","Other", TRUE,"Unknown")</f>
        <v>Female</v>
      </c>
    </row>
    <row r="1098" spans="1:15" x14ac:dyDescent="0.3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1">
        <v>45700</v>
      </c>
      <c r="G1098" s="1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f>orders[[#This Row],[Ship Date]]-orders[[#This Row],[Order Date]]</f>
        <v>1</v>
      </c>
      <c r="N1098">
        <f>WEEKNUM(orders[[#This Row],[Order Date]])</f>
        <v>7</v>
      </c>
      <c r="O1098" t="str" cm="1">
        <f t="array" ref="O1098">_xlfn.IFS(orders[[#This Row],[Customer Gender]]="M","Male", orders[[#This Row],[Customer Gender]]="F","Female", orders[[#This Row],[Customer Gender]]="O","Other", TRUE,"Unknown")</f>
        <v>Female</v>
      </c>
    </row>
    <row r="1099" spans="1:15" x14ac:dyDescent="0.3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1">
        <v>45701</v>
      </c>
      <c r="G1099" s="1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f>orders[[#This Row],[Ship Date]]-orders[[#This Row],[Order Date]]</f>
        <v>1</v>
      </c>
      <c r="N1099">
        <f>WEEKNUM(orders[[#This Row],[Order Date]])</f>
        <v>7</v>
      </c>
      <c r="O1099" t="str" cm="1">
        <f t="array" ref="O1099">_xlfn.IFS(orders[[#This Row],[Customer Gender]]="M","Male", orders[[#This Row],[Customer Gender]]="F","Female", orders[[#This Row],[Customer Gender]]="O","Other", TRUE,"Unknown")</f>
        <v>Male</v>
      </c>
    </row>
    <row r="1100" spans="1:15" x14ac:dyDescent="0.3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1">
        <v>45701</v>
      </c>
      <c r="G1100" s="1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f>orders[[#This Row],[Ship Date]]-orders[[#This Row],[Order Date]]</f>
        <v>2</v>
      </c>
      <c r="N1100">
        <f>WEEKNUM(orders[[#This Row],[Order Date]])</f>
        <v>7</v>
      </c>
      <c r="O1100" t="str" cm="1">
        <f t="array" ref="O1100">_xlfn.IFS(orders[[#This Row],[Customer Gender]]="M","Male", orders[[#This Row],[Customer Gender]]="F","Female", orders[[#This Row],[Customer Gender]]="O","Other", TRUE,"Unknown")</f>
        <v>Female</v>
      </c>
    </row>
    <row r="1101" spans="1:15" x14ac:dyDescent="0.3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1">
        <v>45701</v>
      </c>
      <c r="G1101" s="1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f>orders[[#This Row],[Ship Date]]-orders[[#This Row],[Order Date]]</f>
        <v>1</v>
      </c>
      <c r="N1101">
        <f>WEEKNUM(orders[[#This Row],[Order Date]])</f>
        <v>7</v>
      </c>
      <c r="O1101" t="str" cm="1">
        <f t="array" ref="O1101">_xlfn.IFS(orders[[#This Row],[Customer Gender]]="M","Male", orders[[#This Row],[Customer Gender]]="F","Female", orders[[#This Row],[Customer Gender]]="O","Other", TRUE,"Unknown")</f>
        <v>Female</v>
      </c>
    </row>
    <row r="1102" spans="1:15" x14ac:dyDescent="0.3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1">
        <v>45701</v>
      </c>
      <c r="G1102" s="1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f>orders[[#This Row],[Ship Date]]-orders[[#This Row],[Order Date]]</f>
        <v>3</v>
      </c>
      <c r="N1102">
        <f>WEEKNUM(orders[[#This Row],[Order Date]])</f>
        <v>7</v>
      </c>
      <c r="O1102" t="str" cm="1">
        <f t="array" ref="O1102">_xlfn.IFS(orders[[#This Row],[Customer Gender]]="M","Male", orders[[#This Row],[Customer Gender]]="F","Female", orders[[#This Row],[Customer Gender]]="O","Other", TRUE,"Unknown")</f>
        <v>Female</v>
      </c>
    </row>
    <row r="1103" spans="1:15" x14ac:dyDescent="0.3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1">
        <v>45701</v>
      </c>
      <c r="G1103" s="1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f>orders[[#This Row],[Ship Date]]-orders[[#This Row],[Order Date]]</f>
        <v>2</v>
      </c>
      <c r="N1103">
        <f>WEEKNUM(orders[[#This Row],[Order Date]])</f>
        <v>7</v>
      </c>
      <c r="O1103" t="str" cm="1">
        <f t="array" ref="O1103">_xlfn.IFS(orders[[#This Row],[Customer Gender]]="M","Male", orders[[#This Row],[Customer Gender]]="F","Female", orders[[#This Row],[Customer Gender]]="O","Other", TRUE,"Unknown")</f>
        <v>Male</v>
      </c>
    </row>
    <row r="1104" spans="1:15" x14ac:dyDescent="0.3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1">
        <v>45701</v>
      </c>
      <c r="G1104" s="1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f>orders[[#This Row],[Ship Date]]-orders[[#This Row],[Order Date]]</f>
        <v>1</v>
      </c>
      <c r="N1104">
        <f>WEEKNUM(orders[[#This Row],[Order Date]])</f>
        <v>7</v>
      </c>
      <c r="O1104" t="str" cm="1">
        <f t="array" ref="O1104">_xlfn.IFS(orders[[#This Row],[Customer Gender]]="M","Male", orders[[#This Row],[Customer Gender]]="F","Female", orders[[#This Row],[Customer Gender]]="O","Other", TRUE,"Unknown")</f>
        <v>Unknown</v>
      </c>
    </row>
    <row r="1105" spans="1:15" x14ac:dyDescent="0.3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1">
        <v>45701</v>
      </c>
      <c r="G1105" s="1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f>orders[[#This Row],[Ship Date]]-orders[[#This Row],[Order Date]]</f>
        <v>0</v>
      </c>
      <c r="N1105">
        <f>WEEKNUM(orders[[#This Row],[Order Date]])</f>
        <v>7</v>
      </c>
      <c r="O1105" t="str" cm="1">
        <f t="array" ref="O1105">_xlfn.IFS(orders[[#This Row],[Customer Gender]]="M","Male", orders[[#This Row],[Customer Gender]]="F","Female", orders[[#This Row],[Customer Gender]]="O","Other", TRUE,"Unknown")</f>
        <v>Female</v>
      </c>
    </row>
    <row r="1106" spans="1:15" x14ac:dyDescent="0.3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1">
        <v>45701</v>
      </c>
      <c r="G1106" s="1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f>orders[[#This Row],[Ship Date]]-orders[[#This Row],[Order Date]]</f>
        <v>3</v>
      </c>
      <c r="N1106">
        <f>WEEKNUM(orders[[#This Row],[Order Date]])</f>
        <v>7</v>
      </c>
      <c r="O1106" t="str" cm="1">
        <f t="array" ref="O1106">_xlfn.IFS(orders[[#This Row],[Customer Gender]]="M","Male", orders[[#This Row],[Customer Gender]]="F","Female", orders[[#This Row],[Customer Gender]]="O","Other", TRUE,"Unknown")</f>
        <v>Male</v>
      </c>
    </row>
    <row r="1107" spans="1:15" x14ac:dyDescent="0.3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1">
        <v>45701</v>
      </c>
      <c r="G1107" s="1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f>orders[[#This Row],[Ship Date]]-orders[[#This Row],[Order Date]]</f>
        <v>1</v>
      </c>
      <c r="N1107">
        <f>WEEKNUM(orders[[#This Row],[Order Date]])</f>
        <v>7</v>
      </c>
      <c r="O1107" t="str" cm="1">
        <f t="array" ref="O1107">_xlfn.IFS(orders[[#This Row],[Customer Gender]]="M","Male", orders[[#This Row],[Customer Gender]]="F","Female", orders[[#This Row],[Customer Gender]]="O","Other", TRUE,"Unknown")</f>
        <v>Other</v>
      </c>
    </row>
    <row r="1108" spans="1:15" x14ac:dyDescent="0.3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1">
        <v>45701</v>
      </c>
      <c r="G1108" s="1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f>orders[[#This Row],[Ship Date]]-orders[[#This Row],[Order Date]]</f>
        <v>1</v>
      </c>
      <c r="N1108">
        <f>WEEKNUM(orders[[#This Row],[Order Date]])</f>
        <v>7</v>
      </c>
      <c r="O1108" t="str" cm="1">
        <f t="array" ref="O1108">_xlfn.IFS(orders[[#This Row],[Customer Gender]]="M","Male", orders[[#This Row],[Customer Gender]]="F","Female", orders[[#This Row],[Customer Gender]]="O","Other", TRUE,"Unknown")</f>
        <v>Male</v>
      </c>
    </row>
    <row r="1109" spans="1:15" x14ac:dyDescent="0.3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1">
        <v>45701</v>
      </c>
      <c r="G1109" s="1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f>orders[[#This Row],[Ship Date]]-orders[[#This Row],[Order Date]]</f>
        <v>5</v>
      </c>
      <c r="N1109">
        <f>WEEKNUM(orders[[#This Row],[Order Date]])</f>
        <v>7</v>
      </c>
      <c r="O1109" t="str" cm="1">
        <f t="array" ref="O1109">_xlfn.IFS(orders[[#This Row],[Customer Gender]]="M","Male", orders[[#This Row],[Customer Gender]]="F","Female", orders[[#This Row],[Customer Gender]]="O","Other", TRUE,"Unknown")</f>
        <v>Female</v>
      </c>
    </row>
    <row r="1110" spans="1:15" x14ac:dyDescent="0.3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1">
        <v>45701</v>
      </c>
      <c r="G1110" s="1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f>orders[[#This Row],[Ship Date]]-orders[[#This Row],[Order Date]]</f>
        <v>1</v>
      </c>
      <c r="N1110">
        <f>WEEKNUM(orders[[#This Row],[Order Date]])</f>
        <v>7</v>
      </c>
      <c r="O1110" t="str" cm="1">
        <f t="array" ref="O1110">_xlfn.IFS(orders[[#This Row],[Customer Gender]]="M","Male", orders[[#This Row],[Customer Gender]]="F","Female", orders[[#This Row],[Customer Gender]]="O","Other", TRUE,"Unknown")</f>
        <v>Female</v>
      </c>
    </row>
    <row r="1111" spans="1:15" x14ac:dyDescent="0.3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1">
        <v>45701</v>
      </c>
      <c r="G1111" s="1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f>orders[[#This Row],[Ship Date]]-orders[[#This Row],[Order Date]]</f>
        <v>3</v>
      </c>
      <c r="N1111">
        <f>WEEKNUM(orders[[#This Row],[Order Date]])</f>
        <v>7</v>
      </c>
      <c r="O1111" t="str" cm="1">
        <f t="array" ref="O1111">_xlfn.IFS(orders[[#This Row],[Customer Gender]]="M","Male", orders[[#This Row],[Customer Gender]]="F","Female", orders[[#This Row],[Customer Gender]]="O","Other", TRUE,"Unknown")</f>
        <v>Female</v>
      </c>
    </row>
    <row r="1112" spans="1:15" x14ac:dyDescent="0.3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1">
        <v>45701</v>
      </c>
      <c r="G1112" s="1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f>orders[[#This Row],[Ship Date]]-orders[[#This Row],[Order Date]]</f>
        <v>2</v>
      </c>
      <c r="N1112">
        <f>WEEKNUM(orders[[#This Row],[Order Date]])</f>
        <v>7</v>
      </c>
      <c r="O1112" t="str" cm="1">
        <f t="array" ref="O1112">_xlfn.IFS(orders[[#This Row],[Customer Gender]]="M","Male", orders[[#This Row],[Customer Gender]]="F","Female", orders[[#This Row],[Customer Gender]]="O","Other", TRUE,"Unknown")</f>
        <v>Male</v>
      </c>
    </row>
    <row r="1113" spans="1:15" x14ac:dyDescent="0.3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1">
        <v>45701</v>
      </c>
      <c r="G1113" s="1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f>orders[[#This Row],[Ship Date]]-orders[[#This Row],[Order Date]]</f>
        <v>3</v>
      </c>
      <c r="N1113">
        <f>WEEKNUM(orders[[#This Row],[Order Date]])</f>
        <v>7</v>
      </c>
      <c r="O1113" t="str" cm="1">
        <f t="array" ref="O1113">_xlfn.IFS(orders[[#This Row],[Customer Gender]]="M","Male", orders[[#This Row],[Customer Gender]]="F","Female", orders[[#This Row],[Customer Gender]]="O","Other", TRUE,"Unknown")</f>
        <v>Other</v>
      </c>
    </row>
    <row r="1114" spans="1:15" x14ac:dyDescent="0.3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1">
        <v>45701</v>
      </c>
      <c r="G1114" s="1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f>orders[[#This Row],[Ship Date]]-orders[[#This Row],[Order Date]]</f>
        <v>1</v>
      </c>
      <c r="N1114">
        <f>WEEKNUM(orders[[#This Row],[Order Date]])</f>
        <v>7</v>
      </c>
      <c r="O1114" t="str" cm="1">
        <f t="array" ref="O1114">_xlfn.IFS(orders[[#This Row],[Customer Gender]]="M","Male", orders[[#This Row],[Customer Gender]]="F","Female", orders[[#This Row],[Customer Gender]]="O","Other", TRUE,"Unknown")</f>
        <v>Female</v>
      </c>
    </row>
    <row r="1115" spans="1:15" x14ac:dyDescent="0.3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1">
        <v>45701</v>
      </c>
      <c r="G1115" s="1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f>orders[[#This Row],[Ship Date]]-orders[[#This Row],[Order Date]]</f>
        <v>7</v>
      </c>
      <c r="N1115">
        <f>WEEKNUM(orders[[#This Row],[Order Date]])</f>
        <v>7</v>
      </c>
      <c r="O1115" t="str" cm="1">
        <f t="array" ref="O1115">_xlfn.IFS(orders[[#This Row],[Customer Gender]]="M","Male", orders[[#This Row],[Customer Gender]]="F","Female", orders[[#This Row],[Customer Gender]]="O","Other", TRUE,"Unknown")</f>
        <v>Female</v>
      </c>
    </row>
    <row r="1116" spans="1:15" x14ac:dyDescent="0.3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1">
        <v>45701</v>
      </c>
      <c r="G1116" s="1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f>orders[[#This Row],[Ship Date]]-orders[[#This Row],[Order Date]]</f>
        <v>4</v>
      </c>
      <c r="N1116">
        <f>WEEKNUM(orders[[#This Row],[Order Date]])</f>
        <v>7</v>
      </c>
      <c r="O1116" t="str" cm="1">
        <f t="array" ref="O1116">_xlfn.IFS(orders[[#This Row],[Customer Gender]]="M","Male", orders[[#This Row],[Customer Gender]]="F","Female", orders[[#This Row],[Customer Gender]]="O","Other", TRUE,"Unknown")</f>
        <v>Female</v>
      </c>
    </row>
    <row r="1117" spans="1:15" x14ac:dyDescent="0.3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1">
        <v>45701</v>
      </c>
      <c r="G1117" s="1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f>orders[[#This Row],[Ship Date]]-orders[[#This Row],[Order Date]]</f>
        <v>3</v>
      </c>
      <c r="N1117">
        <f>WEEKNUM(orders[[#This Row],[Order Date]])</f>
        <v>7</v>
      </c>
      <c r="O1117" t="str" cm="1">
        <f t="array" ref="O1117">_xlfn.IFS(orders[[#This Row],[Customer Gender]]="M","Male", orders[[#This Row],[Customer Gender]]="F","Female", orders[[#This Row],[Customer Gender]]="O","Other", TRUE,"Unknown")</f>
        <v>Female</v>
      </c>
    </row>
    <row r="1118" spans="1:15" x14ac:dyDescent="0.3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1">
        <v>45701</v>
      </c>
      <c r="G1118" s="1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f>orders[[#This Row],[Ship Date]]-orders[[#This Row],[Order Date]]</f>
        <v>1</v>
      </c>
      <c r="N1118">
        <f>WEEKNUM(orders[[#This Row],[Order Date]])</f>
        <v>7</v>
      </c>
      <c r="O1118" t="str" cm="1">
        <f t="array" ref="O1118">_xlfn.IFS(orders[[#This Row],[Customer Gender]]="M","Male", orders[[#This Row],[Customer Gender]]="F","Female", orders[[#This Row],[Customer Gender]]="O","Other", TRUE,"Unknown")</f>
        <v>Female</v>
      </c>
    </row>
    <row r="1119" spans="1:15" x14ac:dyDescent="0.3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1">
        <v>45701</v>
      </c>
      <c r="G1119" s="1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f>orders[[#This Row],[Ship Date]]-orders[[#This Row],[Order Date]]</f>
        <v>0</v>
      </c>
      <c r="N1119">
        <f>WEEKNUM(orders[[#This Row],[Order Date]])</f>
        <v>7</v>
      </c>
      <c r="O1119" t="str" cm="1">
        <f t="array" ref="O1119">_xlfn.IFS(orders[[#This Row],[Customer Gender]]="M","Male", orders[[#This Row],[Customer Gender]]="F","Female", orders[[#This Row],[Customer Gender]]="O","Other", TRUE,"Unknown")</f>
        <v>Female</v>
      </c>
    </row>
    <row r="1120" spans="1:15" x14ac:dyDescent="0.3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1">
        <v>45701</v>
      </c>
      <c r="G1120" s="1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f>orders[[#This Row],[Ship Date]]-orders[[#This Row],[Order Date]]</f>
        <v>3</v>
      </c>
      <c r="N1120">
        <f>WEEKNUM(orders[[#This Row],[Order Date]])</f>
        <v>7</v>
      </c>
      <c r="O1120" t="str" cm="1">
        <f t="array" ref="O1120">_xlfn.IFS(orders[[#This Row],[Customer Gender]]="M","Male", orders[[#This Row],[Customer Gender]]="F","Female", orders[[#This Row],[Customer Gender]]="O","Other", TRUE,"Unknown")</f>
        <v>Female</v>
      </c>
    </row>
    <row r="1121" spans="1:15" x14ac:dyDescent="0.3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1">
        <v>45701</v>
      </c>
      <c r="G1121" s="1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f>orders[[#This Row],[Ship Date]]-orders[[#This Row],[Order Date]]</f>
        <v>1</v>
      </c>
      <c r="N1121">
        <f>WEEKNUM(orders[[#This Row],[Order Date]])</f>
        <v>7</v>
      </c>
      <c r="O1121" t="str" cm="1">
        <f t="array" ref="O1121">_xlfn.IFS(orders[[#This Row],[Customer Gender]]="M","Male", orders[[#This Row],[Customer Gender]]="F","Female", orders[[#This Row],[Customer Gender]]="O","Other", TRUE,"Unknown")</f>
        <v>Female</v>
      </c>
    </row>
    <row r="1122" spans="1:15" x14ac:dyDescent="0.3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1">
        <v>45702</v>
      </c>
      <c r="G1122" s="1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f>orders[[#This Row],[Ship Date]]-orders[[#This Row],[Order Date]]</f>
        <v>2</v>
      </c>
      <c r="N1122">
        <f>WEEKNUM(orders[[#This Row],[Order Date]])</f>
        <v>7</v>
      </c>
      <c r="O1122" t="str" cm="1">
        <f t="array" ref="O1122">_xlfn.IFS(orders[[#This Row],[Customer Gender]]="M","Male", orders[[#This Row],[Customer Gender]]="F","Female", orders[[#This Row],[Customer Gender]]="O","Other", TRUE,"Unknown")</f>
        <v>Female</v>
      </c>
    </row>
    <row r="1123" spans="1:15" x14ac:dyDescent="0.3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1">
        <v>45702</v>
      </c>
      <c r="G1123" s="1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f>orders[[#This Row],[Ship Date]]-orders[[#This Row],[Order Date]]</f>
        <v>3</v>
      </c>
      <c r="N1123">
        <f>WEEKNUM(orders[[#This Row],[Order Date]])</f>
        <v>7</v>
      </c>
      <c r="O1123" t="str" cm="1">
        <f t="array" ref="O1123">_xlfn.IFS(orders[[#This Row],[Customer Gender]]="M","Male", orders[[#This Row],[Customer Gender]]="F","Female", orders[[#This Row],[Customer Gender]]="O","Other", TRUE,"Unknown")</f>
        <v>Male</v>
      </c>
    </row>
    <row r="1124" spans="1:15" x14ac:dyDescent="0.3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1">
        <v>45702</v>
      </c>
      <c r="G1124" s="1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f>orders[[#This Row],[Ship Date]]-orders[[#This Row],[Order Date]]</f>
        <v>2</v>
      </c>
      <c r="N1124">
        <f>WEEKNUM(orders[[#This Row],[Order Date]])</f>
        <v>7</v>
      </c>
      <c r="O1124" t="str" cm="1">
        <f t="array" ref="O1124">_xlfn.IFS(orders[[#This Row],[Customer Gender]]="M","Male", orders[[#This Row],[Customer Gender]]="F","Female", orders[[#This Row],[Customer Gender]]="O","Other", TRUE,"Unknown")</f>
        <v>Female</v>
      </c>
    </row>
    <row r="1125" spans="1:15" x14ac:dyDescent="0.3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1">
        <v>45702</v>
      </c>
      <c r="G1125" s="1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f>orders[[#This Row],[Ship Date]]-orders[[#This Row],[Order Date]]</f>
        <v>1</v>
      </c>
      <c r="N1125">
        <f>WEEKNUM(orders[[#This Row],[Order Date]])</f>
        <v>7</v>
      </c>
      <c r="O1125" t="str" cm="1">
        <f t="array" ref="O1125">_xlfn.IFS(orders[[#This Row],[Customer Gender]]="M","Male", orders[[#This Row],[Customer Gender]]="F","Female", orders[[#This Row],[Customer Gender]]="O","Other", TRUE,"Unknown")</f>
        <v>Male</v>
      </c>
    </row>
    <row r="1126" spans="1:15" x14ac:dyDescent="0.3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1">
        <v>45702</v>
      </c>
      <c r="G1126" s="1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f>orders[[#This Row],[Ship Date]]-orders[[#This Row],[Order Date]]</f>
        <v>1</v>
      </c>
      <c r="N1126">
        <f>WEEKNUM(orders[[#This Row],[Order Date]])</f>
        <v>7</v>
      </c>
      <c r="O1126" t="str" cm="1">
        <f t="array" ref="O1126">_xlfn.IFS(orders[[#This Row],[Customer Gender]]="M","Male", orders[[#This Row],[Customer Gender]]="F","Female", orders[[#This Row],[Customer Gender]]="O","Other", TRUE,"Unknown")</f>
        <v>Female</v>
      </c>
    </row>
    <row r="1127" spans="1:15" x14ac:dyDescent="0.3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1">
        <v>45702</v>
      </c>
      <c r="G1127" s="1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f>orders[[#This Row],[Ship Date]]-orders[[#This Row],[Order Date]]</f>
        <v>4</v>
      </c>
      <c r="N1127">
        <f>WEEKNUM(orders[[#This Row],[Order Date]])</f>
        <v>7</v>
      </c>
      <c r="O1127" t="str" cm="1">
        <f t="array" ref="O1127">_xlfn.IFS(orders[[#This Row],[Customer Gender]]="M","Male", orders[[#This Row],[Customer Gender]]="F","Female", orders[[#This Row],[Customer Gender]]="O","Other", TRUE,"Unknown")</f>
        <v>Female</v>
      </c>
    </row>
    <row r="1128" spans="1:15" x14ac:dyDescent="0.3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1">
        <v>45702</v>
      </c>
      <c r="G1128" s="1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f>orders[[#This Row],[Ship Date]]-orders[[#This Row],[Order Date]]</f>
        <v>1</v>
      </c>
      <c r="N1128">
        <f>WEEKNUM(orders[[#This Row],[Order Date]])</f>
        <v>7</v>
      </c>
      <c r="O1128" t="str" cm="1">
        <f t="array" ref="O1128">_xlfn.IFS(orders[[#This Row],[Customer Gender]]="M","Male", orders[[#This Row],[Customer Gender]]="F","Female", orders[[#This Row],[Customer Gender]]="O","Other", TRUE,"Unknown")</f>
        <v>Female</v>
      </c>
    </row>
    <row r="1129" spans="1:15" x14ac:dyDescent="0.3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1">
        <v>45702</v>
      </c>
      <c r="G1129" s="1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f>orders[[#This Row],[Ship Date]]-orders[[#This Row],[Order Date]]</f>
        <v>1</v>
      </c>
      <c r="N1129">
        <f>WEEKNUM(orders[[#This Row],[Order Date]])</f>
        <v>7</v>
      </c>
      <c r="O1129" t="str" cm="1">
        <f t="array" ref="O1129">_xlfn.IFS(orders[[#This Row],[Customer Gender]]="M","Male", orders[[#This Row],[Customer Gender]]="F","Female", orders[[#This Row],[Customer Gender]]="O","Other", TRUE,"Unknown")</f>
        <v>Female</v>
      </c>
    </row>
    <row r="1130" spans="1:15" x14ac:dyDescent="0.3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1">
        <v>45702</v>
      </c>
      <c r="G1130" s="1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f>orders[[#This Row],[Ship Date]]-orders[[#This Row],[Order Date]]</f>
        <v>4</v>
      </c>
      <c r="N1130">
        <f>WEEKNUM(orders[[#This Row],[Order Date]])</f>
        <v>7</v>
      </c>
      <c r="O1130" t="str" cm="1">
        <f t="array" ref="O1130">_xlfn.IFS(orders[[#This Row],[Customer Gender]]="M","Male", orders[[#This Row],[Customer Gender]]="F","Female", orders[[#This Row],[Customer Gender]]="O","Other", TRUE,"Unknown")</f>
        <v>Female</v>
      </c>
    </row>
    <row r="1131" spans="1:15" x14ac:dyDescent="0.3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1">
        <v>45702</v>
      </c>
      <c r="G1131" s="1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f>orders[[#This Row],[Ship Date]]-orders[[#This Row],[Order Date]]</f>
        <v>13</v>
      </c>
      <c r="N1131">
        <f>WEEKNUM(orders[[#This Row],[Order Date]])</f>
        <v>7</v>
      </c>
      <c r="O1131" t="str" cm="1">
        <f t="array" ref="O1131">_xlfn.IFS(orders[[#This Row],[Customer Gender]]="M","Male", orders[[#This Row],[Customer Gender]]="F","Female", orders[[#This Row],[Customer Gender]]="O","Other", TRUE,"Unknown")</f>
        <v>Female</v>
      </c>
    </row>
    <row r="1132" spans="1:15" x14ac:dyDescent="0.3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1">
        <v>45702</v>
      </c>
      <c r="G1132" s="1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f>orders[[#This Row],[Ship Date]]-orders[[#This Row],[Order Date]]</f>
        <v>1</v>
      </c>
      <c r="N1132">
        <f>WEEKNUM(orders[[#This Row],[Order Date]])</f>
        <v>7</v>
      </c>
      <c r="O1132" t="str" cm="1">
        <f t="array" ref="O1132">_xlfn.IFS(orders[[#This Row],[Customer Gender]]="M","Male", orders[[#This Row],[Customer Gender]]="F","Female", orders[[#This Row],[Customer Gender]]="O","Other", TRUE,"Unknown")</f>
        <v>Female</v>
      </c>
    </row>
    <row r="1133" spans="1:15" x14ac:dyDescent="0.3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1">
        <v>45702</v>
      </c>
      <c r="G1133" s="1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f>orders[[#This Row],[Ship Date]]-orders[[#This Row],[Order Date]]</f>
        <v>1</v>
      </c>
      <c r="N1133">
        <f>WEEKNUM(orders[[#This Row],[Order Date]])</f>
        <v>7</v>
      </c>
      <c r="O1133" t="str" cm="1">
        <f t="array" ref="O1133">_xlfn.IFS(orders[[#This Row],[Customer Gender]]="M","Male", orders[[#This Row],[Customer Gender]]="F","Female", orders[[#This Row],[Customer Gender]]="O","Other", TRUE,"Unknown")</f>
        <v>Male</v>
      </c>
    </row>
    <row r="1134" spans="1:15" x14ac:dyDescent="0.3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1">
        <v>45702</v>
      </c>
      <c r="G1134" s="1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f>orders[[#This Row],[Ship Date]]-orders[[#This Row],[Order Date]]</f>
        <v>1</v>
      </c>
      <c r="N1134">
        <f>WEEKNUM(orders[[#This Row],[Order Date]])</f>
        <v>7</v>
      </c>
      <c r="O1134" t="str" cm="1">
        <f t="array" ref="O1134">_xlfn.IFS(orders[[#This Row],[Customer Gender]]="M","Male", orders[[#This Row],[Customer Gender]]="F","Female", orders[[#This Row],[Customer Gender]]="O","Other", TRUE,"Unknown")</f>
        <v>Female</v>
      </c>
    </row>
    <row r="1135" spans="1:15" x14ac:dyDescent="0.3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1">
        <v>45702</v>
      </c>
      <c r="G1135" s="1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f>orders[[#This Row],[Ship Date]]-orders[[#This Row],[Order Date]]</f>
        <v>1</v>
      </c>
      <c r="N1135">
        <f>WEEKNUM(orders[[#This Row],[Order Date]])</f>
        <v>7</v>
      </c>
      <c r="O1135" t="str" cm="1">
        <f t="array" ref="O1135">_xlfn.IFS(orders[[#This Row],[Customer Gender]]="M","Male", orders[[#This Row],[Customer Gender]]="F","Female", orders[[#This Row],[Customer Gender]]="O","Other", TRUE,"Unknown")</f>
        <v>Female</v>
      </c>
    </row>
    <row r="1136" spans="1:15" x14ac:dyDescent="0.3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1">
        <v>45702</v>
      </c>
      <c r="G1136" s="1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f>orders[[#This Row],[Ship Date]]-orders[[#This Row],[Order Date]]</f>
        <v>0</v>
      </c>
      <c r="N1136">
        <f>WEEKNUM(orders[[#This Row],[Order Date]])</f>
        <v>7</v>
      </c>
      <c r="O1136" t="str" cm="1">
        <f t="array" ref="O1136">_xlfn.IFS(orders[[#This Row],[Customer Gender]]="M","Male", orders[[#This Row],[Customer Gender]]="F","Female", orders[[#This Row],[Customer Gender]]="O","Other", TRUE,"Unknown")</f>
        <v>Female</v>
      </c>
    </row>
    <row r="1137" spans="1:15" x14ac:dyDescent="0.3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1">
        <v>45702</v>
      </c>
      <c r="G1137" s="1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f>orders[[#This Row],[Ship Date]]-orders[[#This Row],[Order Date]]</f>
        <v>1</v>
      </c>
      <c r="N1137">
        <f>WEEKNUM(orders[[#This Row],[Order Date]])</f>
        <v>7</v>
      </c>
      <c r="O1137" t="str" cm="1">
        <f t="array" ref="O1137">_xlfn.IFS(orders[[#This Row],[Customer Gender]]="M","Male", orders[[#This Row],[Customer Gender]]="F","Female", orders[[#This Row],[Customer Gender]]="O","Other", TRUE,"Unknown")</f>
        <v>Male</v>
      </c>
    </row>
    <row r="1138" spans="1:15" x14ac:dyDescent="0.3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1">
        <v>45702</v>
      </c>
      <c r="G1138" s="1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f>orders[[#This Row],[Ship Date]]-orders[[#This Row],[Order Date]]</f>
        <v>3</v>
      </c>
      <c r="N1138">
        <f>WEEKNUM(orders[[#This Row],[Order Date]])</f>
        <v>7</v>
      </c>
      <c r="O1138" t="str" cm="1">
        <f t="array" ref="O1138">_xlfn.IFS(orders[[#This Row],[Customer Gender]]="M","Male", orders[[#This Row],[Customer Gender]]="F","Female", orders[[#This Row],[Customer Gender]]="O","Other", TRUE,"Unknown")</f>
        <v>Female</v>
      </c>
    </row>
    <row r="1139" spans="1:15" x14ac:dyDescent="0.3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1">
        <v>45702</v>
      </c>
      <c r="G1139" s="1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f>orders[[#This Row],[Ship Date]]-orders[[#This Row],[Order Date]]</f>
        <v>2</v>
      </c>
      <c r="N1139">
        <f>WEEKNUM(orders[[#This Row],[Order Date]])</f>
        <v>7</v>
      </c>
      <c r="O1139" t="str" cm="1">
        <f t="array" ref="O1139">_xlfn.IFS(orders[[#This Row],[Customer Gender]]="M","Male", orders[[#This Row],[Customer Gender]]="F","Female", orders[[#This Row],[Customer Gender]]="O","Other", TRUE,"Unknown")</f>
        <v>Female</v>
      </c>
    </row>
    <row r="1140" spans="1:15" x14ac:dyDescent="0.3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1">
        <v>45702</v>
      </c>
      <c r="G1140" s="1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f>orders[[#This Row],[Ship Date]]-orders[[#This Row],[Order Date]]</f>
        <v>0</v>
      </c>
      <c r="N1140">
        <f>WEEKNUM(orders[[#This Row],[Order Date]])</f>
        <v>7</v>
      </c>
      <c r="O1140" t="str" cm="1">
        <f t="array" ref="O1140">_xlfn.IFS(orders[[#This Row],[Customer Gender]]="M","Male", orders[[#This Row],[Customer Gender]]="F","Female", orders[[#This Row],[Customer Gender]]="O","Other", TRUE,"Unknown")</f>
        <v>Female</v>
      </c>
    </row>
    <row r="1141" spans="1:15" x14ac:dyDescent="0.3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1">
        <v>45702</v>
      </c>
      <c r="G1141" s="1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f>orders[[#This Row],[Ship Date]]-orders[[#This Row],[Order Date]]</f>
        <v>10</v>
      </c>
      <c r="N1141">
        <f>WEEKNUM(orders[[#This Row],[Order Date]])</f>
        <v>7</v>
      </c>
      <c r="O1141" t="str" cm="1">
        <f t="array" ref="O1141">_xlfn.IFS(orders[[#This Row],[Customer Gender]]="M","Male", orders[[#This Row],[Customer Gender]]="F","Female", orders[[#This Row],[Customer Gender]]="O","Other", TRUE,"Unknown")</f>
        <v>Male</v>
      </c>
    </row>
    <row r="1142" spans="1:15" x14ac:dyDescent="0.3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1">
        <v>45702</v>
      </c>
      <c r="G1142" s="1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f>orders[[#This Row],[Ship Date]]-orders[[#This Row],[Order Date]]</f>
        <v>1</v>
      </c>
      <c r="N1142">
        <f>WEEKNUM(orders[[#This Row],[Order Date]])</f>
        <v>7</v>
      </c>
      <c r="O1142" t="str" cm="1">
        <f t="array" ref="O1142">_xlfn.IFS(orders[[#This Row],[Customer Gender]]="M","Male", orders[[#This Row],[Customer Gender]]="F","Female", orders[[#This Row],[Customer Gender]]="O","Other", TRUE,"Unknown")</f>
        <v>Male</v>
      </c>
    </row>
    <row r="1143" spans="1:15" x14ac:dyDescent="0.3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1">
        <v>45702</v>
      </c>
      <c r="G1143" s="1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f>orders[[#This Row],[Ship Date]]-orders[[#This Row],[Order Date]]</f>
        <v>2</v>
      </c>
      <c r="N1143">
        <f>WEEKNUM(orders[[#This Row],[Order Date]])</f>
        <v>7</v>
      </c>
      <c r="O1143" t="str" cm="1">
        <f t="array" ref="O1143">_xlfn.IFS(orders[[#This Row],[Customer Gender]]="M","Male", orders[[#This Row],[Customer Gender]]="F","Female", orders[[#This Row],[Customer Gender]]="O","Other", TRUE,"Unknown")</f>
        <v>Female</v>
      </c>
    </row>
    <row r="1144" spans="1:15" x14ac:dyDescent="0.3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1">
        <v>45702</v>
      </c>
      <c r="G1144" s="1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f>orders[[#This Row],[Ship Date]]-orders[[#This Row],[Order Date]]</f>
        <v>2</v>
      </c>
      <c r="N1144">
        <f>WEEKNUM(orders[[#This Row],[Order Date]])</f>
        <v>7</v>
      </c>
      <c r="O1144" t="str" cm="1">
        <f t="array" ref="O1144">_xlfn.IFS(orders[[#This Row],[Customer Gender]]="M","Male", orders[[#This Row],[Customer Gender]]="F","Female", orders[[#This Row],[Customer Gender]]="O","Other", TRUE,"Unknown")</f>
        <v>Female</v>
      </c>
    </row>
    <row r="1145" spans="1:15" x14ac:dyDescent="0.3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1">
        <v>45702</v>
      </c>
      <c r="G1145" s="1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f>orders[[#This Row],[Ship Date]]-orders[[#This Row],[Order Date]]</f>
        <v>1</v>
      </c>
      <c r="N1145">
        <f>WEEKNUM(orders[[#This Row],[Order Date]])</f>
        <v>7</v>
      </c>
      <c r="O1145" t="str" cm="1">
        <f t="array" ref="O1145">_xlfn.IFS(orders[[#This Row],[Customer Gender]]="M","Male", orders[[#This Row],[Customer Gender]]="F","Female", orders[[#This Row],[Customer Gender]]="O","Other", TRUE,"Unknown")</f>
        <v>Male</v>
      </c>
    </row>
    <row r="1146" spans="1:15" x14ac:dyDescent="0.3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1">
        <v>45702</v>
      </c>
      <c r="G1146" s="1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f>orders[[#This Row],[Ship Date]]-orders[[#This Row],[Order Date]]</f>
        <v>1</v>
      </c>
      <c r="N1146">
        <f>WEEKNUM(orders[[#This Row],[Order Date]])</f>
        <v>7</v>
      </c>
      <c r="O1146" t="str" cm="1">
        <f t="array" ref="O1146">_xlfn.IFS(orders[[#This Row],[Customer Gender]]="M","Male", orders[[#This Row],[Customer Gender]]="F","Female", orders[[#This Row],[Customer Gender]]="O","Other", TRUE,"Unknown")</f>
        <v>Female</v>
      </c>
    </row>
    <row r="1147" spans="1:15" x14ac:dyDescent="0.3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1">
        <v>45702</v>
      </c>
      <c r="G1147" s="1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f>orders[[#This Row],[Ship Date]]-orders[[#This Row],[Order Date]]</f>
        <v>2</v>
      </c>
      <c r="N1147">
        <f>WEEKNUM(orders[[#This Row],[Order Date]])</f>
        <v>7</v>
      </c>
      <c r="O1147" t="str" cm="1">
        <f t="array" ref="O1147">_xlfn.IFS(orders[[#This Row],[Customer Gender]]="M","Male", orders[[#This Row],[Customer Gender]]="F","Female", orders[[#This Row],[Customer Gender]]="O","Other", TRUE,"Unknown")</f>
        <v>Female</v>
      </c>
    </row>
    <row r="1148" spans="1:15" x14ac:dyDescent="0.3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1">
        <v>45702</v>
      </c>
      <c r="G1148" s="1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f>orders[[#This Row],[Ship Date]]-orders[[#This Row],[Order Date]]</f>
        <v>1</v>
      </c>
      <c r="N1148">
        <f>WEEKNUM(orders[[#This Row],[Order Date]])</f>
        <v>7</v>
      </c>
      <c r="O1148" t="str" cm="1">
        <f t="array" ref="O1148">_xlfn.IFS(orders[[#This Row],[Customer Gender]]="M","Male", orders[[#This Row],[Customer Gender]]="F","Female", orders[[#This Row],[Customer Gender]]="O","Other", TRUE,"Unknown")</f>
        <v>Female</v>
      </c>
    </row>
    <row r="1149" spans="1:15" x14ac:dyDescent="0.3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1">
        <v>45702</v>
      </c>
      <c r="G1149" s="1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f>orders[[#This Row],[Ship Date]]-orders[[#This Row],[Order Date]]</f>
        <v>5</v>
      </c>
      <c r="N1149">
        <f>WEEKNUM(orders[[#This Row],[Order Date]])</f>
        <v>7</v>
      </c>
      <c r="O1149" t="str" cm="1">
        <f t="array" ref="O1149">_xlfn.IFS(orders[[#This Row],[Customer Gender]]="M","Male", orders[[#This Row],[Customer Gender]]="F","Female", orders[[#This Row],[Customer Gender]]="O","Other", TRUE,"Unknown")</f>
        <v>Female</v>
      </c>
    </row>
    <row r="1150" spans="1:15" x14ac:dyDescent="0.3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1">
        <v>45703</v>
      </c>
      <c r="G1150" s="1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f>orders[[#This Row],[Ship Date]]-orders[[#This Row],[Order Date]]</f>
        <v>8</v>
      </c>
      <c r="N1150">
        <f>WEEKNUM(orders[[#This Row],[Order Date]])</f>
        <v>7</v>
      </c>
      <c r="O1150" t="str" cm="1">
        <f t="array" ref="O1150">_xlfn.IFS(orders[[#This Row],[Customer Gender]]="M","Male", orders[[#This Row],[Customer Gender]]="F","Female", orders[[#This Row],[Customer Gender]]="O","Other", TRUE,"Unknown")</f>
        <v>Male</v>
      </c>
    </row>
    <row r="1151" spans="1:15" x14ac:dyDescent="0.3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1">
        <v>45703</v>
      </c>
      <c r="G1151" s="1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f>orders[[#This Row],[Ship Date]]-orders[[#This Row],[Order Date]]</f>
        <v>3</v>
      </c>
      <c r="N1151">
        <f>WEEKNUM(orders[[#This Row],[Order Date]])</f>
        <v>7</v>
      </c>
      <c r="O1151" t="str" cm="1">
        <f t="array" ref="O1151">_xlfn.IFS(orders[[#This Row],[Customer Gender]]="M","Male", orders[[#This Row],[Customer Gender]]="F","Female", orders[[#This Row],[Customer Gender]]="O","Other", TRUE,"Unknown")</f>
        <v>Male</v>
      </c>
    </row>
    <row r="1152" spans="1:15" x14ac:dyDescent="0.3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1">
        <v>45703</v>
      </c>
      <c r="G1152" s="1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f>orders[[#This Row],[Ship Date]]-orders[[#This Row],[Order Date]]</f>
        <v>1</v>
      </c>
      <c r="N1152">
        <f>WEEKNUM(orders[[#This Row],[Order Date]])</f>
        <v>7</v>
      </c>
      <c r="O1152" t="str" cm="1">
        <f t="array" ref="O1152">_xlfn.IFS(orders[[#This Row],[Customer Gender]]="M","Male", orders[[#This Row],[Customer Gender]]="F","Female", orders[[#This Row],[Customer Gender]]="O","Other", TRUE,"Unknown")</f>
        <v>Female</v>
      </c>
    </row>
    <row r="1153" spans="1:15" x14ac:dyDescent="0.3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1">
        <v>45703</v>
      </c>
      <c r="G1153" s="1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f>orders[[#This Row],[Ship Date]]-orders[[#This Row],[Order Date]]</f>
        <v>1</v>
      </c>
      <c r="N1153">
        <f>WEEKNUM(orders[[#This Row],[Order Date]])</f>
        <v>7</v>
      </c>
      <c r="O1153" t="str" cm="1">
        <f t="array" ref="O1153">_xlfn.IFS(orders[[#This Row],[Customer Gender]]="M","Male", orders[[#This Row],[Customer Gender]]="F","Female", orders[[#This Row],[Customer Gender]]="O","Other", TRUE,"Unknown")</f>
        <v>Female</v>
      </c>
    </row>
    <row r="1154" spans="1:15" x14ac:dyDescent="0.3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1">
        <v>45703</v>
      </c>
      <c r="G1154" s="1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f>orders[[#This Row],[Ship Date]]-orders[[#This Row],[Order Date]]</f>
        <v>1</v>
      </c>
      <c r="N1154">
        <f>WEEKNUM(orders[[#This Row],[Order Date]])</f>
        <v>7</v>
      </c>
      <c r="O1154" t="str" cm="1">
        <f t="array" ref="O1154">_xlfn.IFS(orders[[#This Row],[Customer Gender]]="M","Male", orders[[#This Row],[Customer Gender]]="F","Female", orders[[#This Row],[Customer Gender]]="O","Other", TRUE,"Unknown")</f>
        <v>Other</v>
      </c>
    </row>
    <row r="1155" spans="1:15" x14ac:dyDescent="0.3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1">
        <v>45703</v>
      </c>
      <c r="G1155" s="1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f>orders[[#This Row],[Ship Date]]-orders[[#This Row],[Order Date]]</f>
        <v>3</v>
      </c>
      <c r="N1155">
        <f>WEEKNUM(orders[[#This Row],[Order Date]])</f>
        <v>7</v>
      </c>
      <c r="O1155" t="str" cm="1">
        <f t="array" ref="O1155">_xlfn.IFS(orders[[#This Row],[Customer Gender]]="M","Male", orders[[#This Row],[Customer Gender]]="F","Female", orders[[#This Row],[Customer Gender]]="O","Other", TRUE,"Unknown")</f>
        <v>Male</v>
      </c>
    </row>
    <row r="1156" spans="1:15" x14ac:dyDescent="0.3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1">
        <v>45703</v>
      </c>
      <c r="G1156" s="1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f>orders[[#This Row],[Ship Date]]-orders[[#This Row],[Order Date]]</f>
        <v>4</v>
      </c>
      <c r="N1156">
        <f>WEEKNUM(orders[[#This Row],[Order Date]])</f>
        <v>7</v>
      </c>
      <c r="O1156" t="str" cm="1">
        <f t="array" ref="O1156">_xlfn.IFS(orders[[#This Row],[Customer Gender]]="M","Male", orders[[#This Row],[Customer Gender]]="F","Female", orders[[#This Row],[Customer Gender]]="O","Other", TRUE,"Unknown")</f>
        <v>Female</v>
      </c>
    </row>
    <row r="1157" spans="1:15" x14ac:dyDescent="0.3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1">
        <v>45703</v>
      </c>
      <c r="G1157" s="1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f>orders[[#This Row],[Ship Date]]-orders[[#This Row],[Order Date]]</f>
        <v>1</v>
      </c>
      <c r="N1157">
        <f>WEEKNUM(orders[[#This Row],[Order Date]])</f>
        <v>7</v>
      </c>
      <c r="O1157" t="str" cm="1">
        <f t="array" ref="O1157">_xlfn.IFS(orders[[#This Row],[Customer Gender]]="M","Male", orders[[#This Row],[Customer Gender]]="F","Female", orders[[#This Row],[Customer Gender]]="O","Other", TRUE,"Unknown")</f>
        <v>Male</v>
      </c>
    </row>
    <row r="1158" spans="1:15" x14ac:dyDescent="0.3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1">
        <v>45703</v>
      </c>
      <c r="G1158" s="1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f>orders[[#This Row],[Ship Date]]-orders[[#This Row],[Order Date]]</f>
        <v>2</v>
      </c>
      <c r="N1158">
        <f>WEEKNUM(orders[[#This Row],[Order Date]])</f>
        <v>7</v>
      </c>
      <c r="O1158" t="str" cm="1">
        <f t="array" ref="O1158">_xlfn.IFS(orders[[#This Row],[Customer Gender]]="M","Male", orders[[#This Row],[Customer Gender]]="F","Female", orders[[#This Row],[Customer Gender]]="O","Other", TRUE,"Unknown")</f>
        <v>Female</v>
      </c>
    </row>
    <row r="1159" spans="1:15" x14ac:dyDescent="0.3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1">
        <v>45703</v>
      </c>
      <c r="G1159" s="1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f>orders[[#This Row],[Ship Date]]-orders[[#This Row],[Order Date]]</f>
        <v>1</v>
      </c>
      <c r="N1159">
        <f>WEEKNUM(orders[[#This Row],[Order Date]])</f>
        <v>7</v>
      </c>
      <c r="O1159" t="str" cm="1">
        <f t="array" ref="O1159">_xlfn.IFS(orders[[#This Row],[Customer Gender]]="M","Male", orders[[#This Row],[Customer Gender]]="F","Female", orders[[#This Row],[Customer Gender]]="O","Other", TRUE,"Unknown")</f>
        <v>Female</v>
      </c>
    </row>
    <row r="1160" spans="1:15" x14ac:dyDescent="0.3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1">
        <v>45703</v>
      </c>
      <c r="G1160" s="1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f>orders[[#This Row],[Ship Date]]-orders[[#This Row],[Order Date]]</f>
        <v>4</v>
      </c>
      <c r="N1160">
        <f>WEEKNUM(orders[[#This Row],[Order Date]])</f>
        <v>7</v>
      </c>
      <c r="O1160" t="str" cm="1">
        <f t="array" ref="O1160">_xlfn.IFS(orders[[#This Row],[Customer Gender]]="M","Male", orders[[#This Row],[Customer Gender]]="F","Female", orders[[#This Row],[Customer Gender]]="O","Other", TRUE,"Unknown")</f>
        <v>Male</v>
      </c>
    </row>
    <row r="1161" spans="1:15" x14ac:dyDescent="0.3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1">
        <v>45703</v>
      </c>
      <c r="G1161" s="1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f>orders[[#This Row],[Ship Date]]-orders[[#This Row],[Order Date]]</f>
        <v>2</v>
      </c>
      <c r="N1161">
        <f>WEEKNUM(orders[[#This Row],[Order Date]])</f>
        <v>7</v>
      </c>
      <c r="O1161" t="str" cm="1">
        <f t="array" ref="O1161">_xlfn.IFS(orders[[#This Row],[Customer Gender]]="M","Male", orders[[#This Row],[Customer Gender]]="F","Female", orders[[#This Row],[Customer Gender]]="O","Other", TRUE,"Unknown")</f>
        <v>Unknown</v>
      </c>
    </row>
    <row r="1162" spans="1:15" x14ac:dyDescent="0.3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1">
        <v>45703</v>
      </c>
      <c r="G1162" s="1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f>orders[[#This Row],[Ship Date]]-orders[[#This Row],[Order Date]]</f>
        <v>3</v>
      </c>
      <c r="N1162">
        <f>WEEKNUM(orders[[#This Row],[Order Date]])</f>
        <v>7</v>
      </c>
      <c r="O1162" t="str" cm="1">
        <f t="array" ref="O1162">_xlfn.IFS(orders[[#This Row],[Customer Gender]]="M","Male", orders[[#This Row],[Customer Gender]]="F","Female", orders[[#This Row],[Customer Gender]]="O","Other", TRUE,"Unknown")</f>
        <v>Unknown</v>
      </c>
    </row>
    <row r="1163" spans="1:15" x14ac:dyDescent="0.3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1">
        <v>45703</v>
      </c>
      <c r="G1163" s="1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f>orders[[#This Row],[Ship Date]]-orders[[#This Row],[Order Date]]</f>
        <v>1</v>
      </c>
      <c r="N1163">
        <f>WEEKNUM(orders[[#This Row],[Order Date]])</f>
        <v>7</v>
      </c>
      <c r="O1163" t="str" cm="1">
        <f t="array" ref="O1163">_xlfn.IFS(orders[[#This Row],[Customer Gender]]="M","Male", orders[[#This Row],[Customer Gender]]="F","Female", orders[[#This Row],[Customer Gender]]="O","Other", TRUE,"Unknown")</f>
        <v>Male</v>
      </c>
    </row>
    <row r="1164" spans="1:15" x14ac:dyDescent="0.3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1">
        <v>45703</v>
      </c>
      <c r="G1164" s="1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f>orders[[#This Row],[Ship Date]]-orders[[#This Row],[Order Date]]</f>
        <v>1</v>
      </c>
      <c r="N1164">
        <f>WEEKNUM(orders[[#This Row],[Order Date]])</f>
        <v>7</v>
      </c>
      <c r="O1164" t="str" cm="1">
        <f t="array" ref="O1164">_xlfn.IFS(orders[[#This Row],[Customer Gender]]="M","Male", orders[[#This Row],[Customer Gender]]="F","Female", orders[[#This Row],[Customer Gender]]="O","Other", TRUE,"Unknown")</f>
        <v>Female</v>
      </c>
    </row>
    <row r="1165" spans="1:15" x14ac:dyDescent="0.3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1">
        <v>45703</v>
      </c>
      <c r="G1165" s="1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f>orders[[#This Row],[Ship Date]]-orders[[#This Row],[Order Date]]</f>
        <v>2</v>
      </c>
      <c r="N1165">
        <f>WEEKNUM(orders[[#This Row],[Order Date]])</f>
        <v>7</v>
      </c>
      <c r="O1165" t="str" cm="1">
        <f t="array" ref="O1165">_xlfn.IFS(orders[[#This Row],[Customer Gender]]="M","Male", orders[[#This Row],[Customer Gender]]="F","Female", orders[[#This Row],[Customer Gender]]="O","Other", TRUE,"Unknown")</f>
        <v>Male</v>
      </c>
    </row>
    <row r="1166" spans="1:15" x14ac:dyDescent="0.3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1">
        <v>45703</v>
      </c>
      <c r="G1166" s="1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f>orders[[#This Row],[Ship Date]]-orders[[#This Row],[Order Date]]</f>
        <v>1</v>
      </c>
      <c r="N1166">
        <f>WEEKNUM(orders[[#This Row],[Order Date]])</f>
        <v>7</v>
      </c>
      <c r="O1166" t="str" cm="1">
        <f t="array" ref="O1166">_xlfn.IFS(orders[[#This Row],[Customer Gender]]="M","Male", orders[[#This Row],[Customer Gender]]="F","Female", orders[[#This Row],[Customer Gender]]="O","Other", TRUE,"Unknown")</f>
        <v>Female</v>
      </c>
    </row>
    <row r="1167" spans="1:15" x14ac:dyDescent="0.3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1">
        <v>45703</v>
      </c>
      <c r="G1167" s="1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f>orders[[#This Row],[Ship Date]]-orders[[#This Row],[Order Date]]</f>
        <v>0</v>
      </c>
      <c r="N1167">
        <f>WEEKNUM(orders[[#This Row],[Order Date]])</f>
        <v>7</v>
      </c>
      <c r="O1167" t="str" cm="1">
        <f t="array" ref="O1167">_xlfn.IFS(orders[[#This Row],[Customer Gender]]="M","Male", orders[[#This Row],[Customer Gender]]="F","Female", orders[[#This Row],[Customer Gender]]="O","Other", TRUE,"Unknown")</f>
        <v>Female</v>
      </c>
    </row>
    <row r="1168" spans="1:15" x14ac:dyDescent="0.3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1">
        <v>45703</v>
      </c>
      <c r="G1168" s="1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f>orders[[#This Row],[Ship Date]]-orders[[#This Row],[Order Date]]</f>
        <v>7</v>
      </c>
      <c r="N1168">
        <f>WEEKNUM(orders[[#This Row],[Order Date]])</f>
        <v>7</v>
      </c>
      <c r="O1168" t="str" cm="1">
        <f t="array" ref="O1168">_xlfn.IFS(orders[[#This Row],[Customer Gender]]="M","Male", orders[[#This Row],[Customer Gender]]="F","Female", orders[[#This Row],[Customer Gender]]="O","Other", TRUE,"Unknown")</f>
        <v>Female</v>
      </c>
    </row>
    <row r="1169" spans="1:15" x14ac:dyDescent="0.3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1">
        <v>45703</v>
      </c>
      <c r="G1169" s="1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f>orders[[#This Row],[Ship Date]]-orders[[#This Row],[Order Date]]</f>
        <v>5</v>
      </c>
      <c r="N1169">
        <f>WEEKNUM(orders[[#This Row],[Order Date]])</f>
        <v>7</v>
      </c>
      <c r="O1169" t="str" cm="1">
        <f t="array" ref="O1169">_xlfn.IFS(orders[[#This Row],[Customer Gender]]="M","Male", orders[[#This Row],[Customer Gender]]="F","Female", orders[[#This Row],[Customer Gender]]="O","Other", TRUE,"Unknown")</f>
        <v>Female</v>
      </c>
    </row>
    <row r="1170" spans="1:15" x14ac:dyDescent="0.3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1">
        <v>45703</v>
      </c>
      <c r="G1170" s="1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f>orders[[#This Row],[Ship Date]]-orders[[#This Row],[Order Date]]</f>
        <v>4</v>
      </c>
      <c r="N1170">
        <f>WEEKNUM(orders[[#This Row],[Order Date]])</f>
        <v>7</v>
      </c>
      <c r="O1170" t="str" cm="1">
        <f t="array" ref="O1170">_xlfn.IFS(orders[[#This Row],[Customer Gender]]="M","Male", orders[[#This Row],[Customer Gender]]="F","Female", orders[[#This Row],[Customer Gender]]="O","Other", TRUE,"Unknown")</f>
        <v>Female</v>
      </c>
    </row>
    <row r="1171" spans="1:15" x14ac:dyDescent="0.3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1">
        <v>45703</v>
      </c>
      <c r="G1171" s="1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f>orders[[#This Row],[Ship Date]]-orders[[#This Row],[Order Date]]</f>
        <v>1</v>
      </c>
      <c r="N1171">
        <f>WEEKNUM(orders[[#This Row],[Order Date]])</f>
        <v>7</v>
      </c>
      <c r="O1171" t="str" cm="1">
        <f t="array" ref="O1171">_xlfn.IFS(orders[[#This Row],[Customer Gender]]="M","Male", orders[[#This Row],[Customer Gender]]="F","Female", orders[[#This Row],[Customer Gender]]="O","Other", TRUE,"Unknown")</f>
        <v>Female</v>
      </c>
    </row>
    <row r="1172" spans="1:15" x14ac:dyDescent="0.3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1">
        <v>45703</v>
      </c>
      <c r="G1172" s="1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f>orders[[#This Row],[Ship Date]]-orders[[#This Row],[Order Date]]</f>
        <v>1</v>
      </c>
      <c r="N1172">
        <f>WEEKNUM(orders[[#This Row],[Order Date]])</f>
        <v>7</v>
      </c>
      <c r="O1172" t="str" cm="1">
        <f t="array" ref="O1172">_xlfn.IFS(orders[[#This Row],[Customer Gender]]="M","Male", orders[[#This Row],[Customer Gender]]="F","Female", orders[[#This Row],[Customer Gender]]="O","Other", TRUE,"Unknown")</f>
        <v>Female</v>
      </c>
    </row>
    <row r="1173" spans="1:15" x14ac:dyDescent="0.3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1">
        <v>45703</v>
      </c>
      <c r="G1173" s="1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f>orders[[#This Row],[Ship Date]]-orders[[#This Row],[Order Date]]</f>
        <v>2</v>
      </c>
      <c r="N1173">
        <f>WEEKNUM(orders[[#This Row],[Order Date]])</f>
        <v>7</v>
      </c>
      <c r="O1173" t="str" cm="1">
        <f t="array" ref="O1173">_xlfn.IFS(orders[[#This Row],[Customer Gender]]="M","Male", orders[[#This Row],[Customer Gender]]="F","Female", orders[[#This Row],[Customer Gender]]="O","Other", TRUE,"Unknown")</f>
        <v>Male</v>
      </c>
    </row>
    <row r="1174" spans="1:15" x14ac:dyDescent="0.3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1">
        <v>45703</v>
      </c>
      <c r="G1174" s="1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f>orders[[#This Row],[Ship Date]]-orders[[#This Row],[Order Date]]</f>
        <v>4</v>
      </c>
      <c r="N1174">
        <f>WEEKNUM(orders[[#This Row],[Order Date]])</f>
        <v>7</v>
      </c>
      <c r="O1174" t="str" cm="1">
        <f t="array" ref="O1174">_xlfn.IFS(orders[[#This Row],[Customer Gender]]="M","Male", orders[[#This Row],[Customer Gender]]="F","Female", orders[[#This Row],[Customer Gender]]="O","Other", TRUE,"Unknown")</f>
        <v>Male</v>
      </c>
    </row>
    <row r="1175" spans="1:15" x14ac:dyDescent="0.3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1">
        <v>45703</v>
      </c>
      <c r="G1175" s="1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f>orders[[#This Row],[Ship Date]]-orders[[#This Row],[Order Date]]</f>
        <v>1</v>
      </c>
      <c r="N1175">
        <f>WEEKNUM(orders[[#This Row],[Order Date]])</f>
        <v>7</v>
      </c>
      <c r="O1175" t="str" cm="1">
        <f t="array" ref="O1175">_xlfn.IFS(orders[[#This Row],[Customer Gender]]="M","Male", orders[[#This Row],[Customer Gender]]="F","Female", orders[[#This Row],[Customer Gender]]="O","Other", TRUE,"Unknown")</f>
        <v>Female</v>
      </c>
    </row>
    <row r="1176" spans="1:15" x14ac:dyDescent="0.3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1">
        <v>45703</v>
      </c>
      <c r="G1176" s="1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f>orders[[#This Row],[Ship Date]]-orders[[#This Row],[Order Date]]</f>
        <v>2</v>
      </c>
      <c r="N1176">
        <f>WEEKNUM(orders[[#This Row],[Order Date]])</f>
        <v>7</v>
      </c>
      <c r="O1176" t="str" cm="1">
        <f t="array" ref="O1176">_xlfn.IFS(orders[[#This Row],[Customer Gender]]="M","Male", orders[[#This Row],[Customer Gender]]="F","Female", orders[[#This Row],[Customer Gender]]="O","Other", TRUE,"Unknown")</f>
        <v>Female</v>
      </c>
    </row>
    <row r="1177" spans="1:15" x14ac:dyDescent="0.3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1">
        <v>45704</v>
      </c>
      <c r="G1177" s="1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f>orders[[#This Row],[Ship Date]]-orders[[#This Row],[Order Date]]</f>
        <v>1</v>
      </c>
      <c r="N1177">
        <f>WEEKNUM(orders[[#This Row],[Order Date]])</f>
        <v>8</v>
      </c>
      <c r="O1177" t="str" cm="1">
        <f t="array" ref="O1177">_xlfn.IFS(orders[[#This Row],[Customer Gender]]="M","Male", orders[[#This Row],[Customer Gender]]="F","Female", orders[[#This Row],[Customer Gender]]="O","Other", TRUE,"Unknown")</f>
        <v>Male</v>
      </c>
    </row>
    <row r="1178" spans="1:15" x14ac:dyDescent="0.3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1">
        <v>45704</v>
      </c>
      <c r="G1178" s="1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f>orders[[#This Row],[Ship Date]]-orders[[#This Row],[Order Date]]</f>
        <v>7</v>
      </c>
      <c r="N1178">
        <f>WEEKNUM(orders[[#This Row],[Order Date]])</f>
        <v>8</v>
      </c>
      <c r="O1178" t="str" cm="1">
        <f t="array" ref="O1178">_xlfn.IFS(orders[[#This Row],[Customer Gender]]="M","Male", orders[[#This Row],[Customer Gender]]="F","Female", orders[[#This Row],[Customer Gender]]="O","Other", TRUE,"Unknown")</f>
        <v>Female</v>
      </c>
    </row>
    <row r="1179" spans="1:15" x14ac:dyDescent="0.3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1">
        <v>45704</v>
      </c>
      <c r="G1179" s="1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f>orders[[#This Row],[Ship Date]]-orders[[#This Row],[Order Date]]</f>
        <v>9</v>
      </c>
      <c r="N1179">
        <f>WEEKNUM(orders[[#This Row],[Order Date]])</f>
        <v>8</v>
      </c>
      <c r="O1179" t="str" cm="1">
        <f t="array" ref="O1179">_xlfn.IFS(orders[[#This Row],[Customer Gender]]="M","Male", orders[[#This Row],[Customer Gender]]="F","Female", orders[[#This Row],[Customer Gender]]="O","Other", TRUE,"Unknown")</f>
        <v>Female</v>
      </c>
    </row>
    <row r="1180" spans="1:15" x14ac:dyDescent="0.3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1">
        <v>45704</v>
      </c>
      <c r="G1180" s="1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f>orders[[#This Row],[Ship Date]]-orders[[#This Row],[Order Date]]</f>
        <v>3</v>
      </c>
      <c r="N1180">
        <f>WEEKNUM(orders[[#This Row],[Order Date]])</f>
        <v>8</v>
      </c>
      <c r="O1180" t="str" cm="1">
        <f t="array" ref="O1180">_xlfn.IFS(orders[[#This Row],[Customer Gender]]="M","Male", orders[[#This Row],[Customer Gender]]="F","Female", orders[[#This Row],[Customer Gender]]="O","Other", TRUE,"Unknown")</f>
        <v>Unknown</v>
      </c>
    </row>
    <row r="1181" spans="1:15" x14ac:dyDescent="0.3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1">
        <v>45704</v>
      </c>
      <c r="G1181" s="1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f>orders[[#This Row],[Ship Date]]-orders[[#This Row],[Order Date]]</f>
        <v>1</v>
      </c>
      <c r="N1181">
        <f>WEEKNUM(orders[[#This Row],[Order Date]])</f>
        <v>8</v>
      </c>
      <c r="O1181" t="str" cm="1">
        <f t="array" ref="O1181">_xlfn.IFS(orders[[#This Row],[Customer Gender]]="M","Male", orders[[#This Row],[Customer Gender]]="F","Female", orders[[#This Row],[Customer Gender]]="O","Other", TRUE,"Unknown")</f>
        <v>Female</v>
      </c>
    </row>
    <row r="1182" spans="1:15" x14ac:dyDescent="0.3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1">
        <v>45704</v>
      </c>
      <c r="G1182" s="1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f>orders[[#This Row],[Ship Date]]-orders[[#This Row],[Order Date]]</f>
        <v>8</v>
      </c>
      <c r="N1182">
        <f>WEEKNUM(orders[[#This Row],[Order Date]])</f>
        <v>8</v>
      </c>
      <c r="O1182" t="str" cm="1">
        <f t="array" ref="O1182">_xlfn.IFS(orders[[#This Row],[Customer Gender]]="M","Male", orders[[#This Row],[Customer Gender]]="F","Female", orders[[#This Row],[Customer Gender]]="O","Other", TRUE,"Unknown")</f>
        <v>Female</v>
      </c>
    </row>
    <row r="1183" spans="1:15" x14ac:dyDescent="0.3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1">
        <v>45704</v>
      </c>
      <c r="G1183" s="1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f>orders[[#This Row],[Ship Date]]-orders[[#This Row],[Order Date]]</f>
        <v>3</v>
      </c>
      <c r="N1183">
        <f>WEEKNUM(orders[[#This Row],[Order Date]])</f>
        <v>8</v>
      </c>
      <c r="O1183" t="str" cm="1">
        <f t="array" ref="O1183">_xlfn.IFS(orders[[#This Row],[Customer Gender]]="M","Male", orders[[#This Row],[Customer Gender]]="F","Female", orders[[#This Row],[Customer Gender]]="O","Other", TRUE,"Unknown")</f>
        <v>Male</v>
      </c>
    </row>
    <row r="1184" spans="1:15" x14ac:dyDescent="0.3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1">
        <v>45704</v>
      </c>
      <c r="G1184" s="1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f>orders[[#This Row],[Ship Date]]-orders[[#This Row],[Order Date]]</f>
        <v>0</v>
      </c>
      <c r="N1184">
        <f>WEEKNUM(orders[[#This Row],[Order Date]])</f>
        <v>8</v>
      </c>
      <c r="O1184" t="str" cm="1">
        <f t="array" ref="O1184">_xlfn.IFS(orders[[#This Row],[Customer Gender]]="M","Male", orders[[#This Row],[Customer Gender]]="F","Female", orders[[#This Row],[Customer Gender]]="O","Other", TRUE,"Unknown")</f>
        <v>Unknown</v>
      </c>
    </row>
    <row r="1185" spans="1:15" x14ac:dyDescent="0.3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1">
        <v>45704</v>
      </c>
      <c r="G1185" s="1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f>orders[[#This Row],[Ship Date]]-orders[[#This Row],[Order Date]]</f>
        <v>1</v>
      </c>
      <c r="N1185">
        <f>WEEKNUM(orders[[#This Row],[Order Date]])</f>
        <v>8</v>
      </c>
      <c r="O1185" t="str" cm="1">
        <f t="array" ref="O1185">_xlfn.IFS(orders[[#This Row],[Customer Gender]]="M","Male", orders[[#This Row],[Customer Gender]]="F","Female", orders[[#This Row],[Customer Gender]]="O","Other", TRUE,"Unknown")</f>
        <v>Male</v>
      </c>
    </row>
    <row r="1186" spans="1:15" x14ac:dyDescent="0.3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1">
        <v>45704</v>
      </c>
      <c r="G1186" s="1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f>orders[[#This Row],[Ship Date]]-orders[[#This Row],[Order Date]]</f>
        <v>2</v>
      </c>
      <c r="N1186">
        <f>WEEKNUM(orders[[#This Row],[Order Date]])</f>
        <v>8</v>
      </c>
      <c r="O1186" t="str" cm="1">
        <f t="array" ref="O1186">_xlfn.IFS(orders[[#This Row],[Customer Gender]]="M","Male", orders[[#This Row],[Customer Gender]]="F","Female", orders[[#This Row],[Customer Gender]]="O","Other", TRUE,"Unknown")</f>
        <v>Female</v>
      </c>
    </row>
    <row r="1187" spans="1:15" x14ac:dyDescent="0.3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1">
        <v>45704</v>
      </c>
      <c r="G1187" s="1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f>orders[[#This Row],[Ship Date]]-orders[[#This Row],[Order Date]]</f>
        <v>5</v>
      </c>
      <c r="N1187">
        <f>WEEKNUM(orders[[#This Row],[Order Date]])</f>
        <v>8</v>
      </c>
      <c r="O1187" t="str" cm="1">
        <f t="array" ref="O1187">_xlfn.IFS(orders[[#This Row],[Customer Gender]]="M","Male", orders[[#This Row],[Customer Gender]]="F","Female", orders[[#This Row],[Customer Gender]]="O","Other", TRUE,"Unknown")</f>
        <v>Male</v>
      </c>
    </row>
    <row r="1188" spans="1:15" x14ac:dyDescent="0.3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1">
        <v>45704</v>
      </c>
      <c r="G1188" s="1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f>orders[[#This Row],[Ship Date]]-orders[[#This Row],[Order Date]]</f>
        <v>2</v>
      </c>
      <c r="N1188">
        <f>WEEKNUM(orders[[#This Row],[Order Date]])</f>
        <v>8</v>
      </c>
      <c r="O1188" t="str" cm="1">
        <f t="array" ref="O1188">_xlfn.IFS(orders[[#This Row],[Customer Gender]]="M","Male", orders[[#This Row],[Customer Gender]]="F","Female", orders[[#This Row],[Customer Gender]]="O","Other", TRUE,"Unknown")</f>
        <v>Unknown</v>
      </c>
    </row>
    <row r="1189" spans="1:15" x14ac:dyDescent="0.3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1">
        <v>45704</v>
      </c>
      <c r="G1189" s="1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f>orders[[#This Row],[Ship Date]]-orders[[#This Row],[Order Date]]</f>
        <v>1</v>
      </c>
      <c r="N1189">
        <f>WEEKNUM(orders[[#This Row],[Order Date]])</f>
        <v>8</v>
      </c>
      <c r="O1189" t="str" cm="1">
        <f t="array" ref="O1189">_xlfn.IFS(orders[[#This Row],[Customer Gender]]="M","Male", orders[[#This Row],[Customer Gender]]="F","Female", orders[[#This Row],[Customer Gender]]="O","Other", TRUE,"Unknown")</f>
        <v>Female</v>
      </c>
    </row>
    <row r="1190" spans="1:15" x14ac:dyDescent="0.3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1">
        <v>45704</v>
      </c>
      <c r="G1190" s="1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f>orders[[#This Row],[Ship Date]]-orders[[#This Row],[Order Date]]</f>
        <v>2</v>
      </c>
      <c r="N1190">
        <f>WEEKNUM(orders[[#This Row],[Order Date]])</f>
        <v>8</v>
      </c>
      <c r="O1190" t="str" cm="1">
        <f t="array" ref="O1190">_xlfn.IFS(orders[[#This Row],[Customer Gender]]="M","Male", orders[[#This Row],[Customer Gender]]="F","Female", orders[[#This Row],[Customer Gender]]="O","Other", TRUE,"Unknown")</f>
        <v>Female</v>
      </c>
    </row>
    <row r="1191" spans="1:15" x14ac:dyDescent="0.3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1">
        <v>45704</v>
      </c>
      <c r="G1191" s="1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f>orders[[#This Row],[Ship Date]]-orders[[#This Row],[Order Date]]</f>
        <v>1</v>
      </c>
      <c r="N1191">
        <f>WEEKNUM(orders[[#This Row],[Order Date]])</f>
        <v>8</v>
      </c>
      <c r="O1191" t="str" cm="1">
        <f t="array" ref="O1191">_xlfn.IFS(orders[[#This Row],[Customer Gender]]="M","Male", orders[[#This Row],[Customer Gender]]="F","Female", orders[[#This Row],[Customer Gender]]="O","Other", TRUE,"Unknown")</f>
        <v>Male</v>
      </c>
    </row>
    <row r="1192" spans="1:15" x14ac:dyDescent="0.3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1">
        <v>45704</v>
      </c>
      <c r="G1192" s="1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f>orders[[#This Row],[Ship Date]]-orders[[#This Row],[Order Date]]</f>
        <v>4</v>
      </c>
      <c r="N1192">
        <f>WEEKNUM(orders[[#This Row],[Order Date]])</f>
        <v>8</v>
      </c>
      <c r="O1192" t="str" cm="1">
        <f t="array" ref="O1192">_xlfn.IFS(orders[[#This Row],[Customer Gender]]="M","Male", orders[[#This Row],[Customer Gender]]="F","Female", orders[[#This Row],[Customer Gender]]="O","Other", TRUE,"Unknown")</f>
        <v>Female</v>
      </c>
    </row>
    <row r="1193" spans="1:15" x14ac:dyDescent="0.3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1">
        <v>45704</v>
      </c>
      <c r="G1193" s="1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f>orders[[#This Row],[Ship Date]]-orders[[#This Row],[Order Date]]</f>
        <v>2</v>
      </c>
      <c r="N1193">
        <f>WEEKNUM(orders[[#This Row],[Order Date]])</f>
        <v>8</v>
      </c>
      <c r="O1193" t="str" cm="1">
        <f t="array" ref="O1193">_xlfn.IFS(orders[[#This Row],[Customer Gender]]="M","Male", orders[[#This Row],[Customer Gender]]="F","Female", orders[[#This Row],[Customer Gender]]="O","Other", TRUE,"Unknown")</f>
        <v>Female</v>
      </c>
    </row>
    <row r="1194" spans="1:15" x14ac:dyDescent="0.3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1">
        <v>45704</v>
      </c>
      <c r="G1194" s="1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f>orders[[#This Row],[Ship Date]]-orders[[#This Row],[Order Date]]</f>
        <v>1</v>
      </c>
      <c r="N1194">
        <f>WEEKNUM(orders[[#This Row],[Order Date]])</f>
        <v>8</v>
      </c>
      <c r="O1194" t="str" cm="1">
        <f t="array" ref="O1194">_xlfn.IFS(orders[[#This Row],[Customer Gender]]="M","Male", orders[[#This Row],[Customer Gender]]="F","Female", orders[[#This Row],[Customer Gender]]="O","Other", TRUE,"Unknown")</f>
        <v>Male</v>
      </c>
    </row>
    <row r="1195" spans="1:15" x14ac:dyDescent="0.3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1">
        <v>45704</v>
      </c>
      <c r="G1195" s="1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f>orders[[#This Row],[Ship Date]]-orders[[#This Row],[Order Date]]</f>
        <v>3</v>
      </c>
      <c r="N1195">
        <f>WEEKNUM(orders[[#This Row],[Order Date]])</f>
        <v>8</v>
      </c>
      <c r="O1195" t="str" cm="1">
        <f t="array" ref="O1195">_xlfn.IFS(orders[[#This Row],[Customer Gender]]="M","Male", orders[[#This Row],[Customer Gender]]="F","Female", orders[[#This Row],[Customer Gender]]="O","Other", TRUE,"Unknown")</f>
        <v>Female</v>
      </c>
    </row>
    <row r="1196" spans="1:15" x14ac:dyDescent="0.3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1">
        <v>45705</v>
      </c>
      <c r="G1196" s="1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f>orders[[#This Row],[Ship Date]]-orders[[#This Row],[Order Date]]</f>
        <v>2</v>
      </c>
      <c r="N1196">
        <f>WEEKNUM(orders[[#This Row],[Order Date]])</f>
        <v>8</v>
      </c>
      <c r="O1196" t="str" cm="1">
        <f t="array" ref="O1196">_xlfn.IFS(orders[[#This Row],[Customer Gender]]="M","Male", orders[[#This Row],[Customer Gender]]="F","Female", orders[[#This Row],[Customer Gender]]="O","Other", TRUE,"Unknown")</f>
        <v>Male</v>
      </c>
    </row>
    <row r="1197" spans="1:15" x14ac:dyDescent="0.3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1">
        <v>45705</v>
      </c>
      <c r="G1197" s="1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f>orders[[#This Row],[Ship Date]]-orders[[#This Row],[Order Date]]</f>
        <v>2</v>
      </c>
      <c r="N1197">
        <f>WEEKNUM(orders[[#This Row],[Order Date]])</f>
        <v>8</v>
      </c>
      <c r="O1197" t="str" cm="1">
        <f t="array" ref="O1197">_xlfn.IFS(orders[[#This Row],[Customer Gender]]="M","Male", orders[[#This Row],[Customer Gender]]="F","Female", orders[[#This Row],[Customer Gender]]="O","Other", TRUE,"Unknown")</f>
        <v>Male</v>
      </c>
    </row>
    <row r="1198" spans="1:15" x14ac:dyDescent="0.3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1">
        <v>45705</v>
      </c>
      <c r="G1198" s="1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f>orders[[#This Row],[Ship Date]]-orders[[#This Row],[Order Date]]</f>
        <v>3</v>
      </c>
      <c r="N1198">
        <f>WEEKNUM(orders[[#This Row],[Order Date]])</f>
        <v>8</v>
      </c>
      <c r="O1198" t="str" cm="1">
        <f t="array" ref="O1198">_xlfn.IFS(orders[[#This Row],[Customer Gender]]="M","Male", orders[[#This Row],[Customer Gender]]="F","Female", orders[[#This Row],[Customer Gender]]="O","Other", TRUE,"Unknown")</f>
        <v>Male</v>
      </c>
    </row>
    <row r="1199" spans="1:15" x14ac:dyDescent="0.3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1">
        <v>45705</v>
      </c>
      <c r="G1199" s="1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f>orders[[#This Row],[Ship Date]]-orders[[#This Row],[Order Date]]</f>
        <v>5</v>
      </c>
      <c r="N1199">
        <f>WEEKNUM(orders[[#This Row],[Order Date]])</f>
        <v>8</v>
      </c>
      <c r="O1199" t="str" cm="1">
        <f t="array" ref="O1199">_xlfn.IFS(orders[[#This Row],[Customer Gender]]="M","Male", orders[[#This Row],[Customer Gender]]="F","Female", orders[[#This Row],[Customer Gender]]="O","Other", TRUE,"Unknown")</f>
        <v>Male</v>
      </c>
    </row>
    <row r="1200" spans="1:15" x14ac:dyDescent="0.3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1">
        <v>45705</v>
      </c>
      <c r="G1200" s="1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f>orders[[#This Row],[Ship Date]]-orders[[#This Row],[Order Date]]</f>
        <v>0</v>
      </c>
      <c r="N1200">
        <f>WEEKNUM(orders[[#This Row],[Order Date]])</f>
        <v>8</v>
      </c>
      <c r="O1200" t="str" cm="1">
        <f t="array" ref="O1200">_xlfn.IFS(orders[[#This Row],[Customer Gender]]="M","Male", orders[[#This Row],[Customer Gender]]="F","Female", orders[[#This Row],[Customer Gender]]="O","Other", TRUE,"Unknown")</f>
        <v>Female</v>
      </c>
    </row>
    <row r="1201" spans="1:15" x14ac:dyDescent="0.3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1">
        <v>45705</v>
      </c>
      <c r="G1201" s="1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f>orders[[#This Row],[Ship Date]]-orders[[#This Row],[Order Date]]</f>
        <v>5</v>
      </c>
      <c r="N1201">
        <f>WEEKNUM(orders[[#This Row],[Order Date]])</f>
        <v>8</v>
      </c>
      <c r="O1201" t="str" cm="1">
        <f t="array" ref="O1201">_xlfn.IFS(orders[[#This Row],[Customer Gender]]="M","Male", orders[[#This Row],[Customer Gender]]="F","Female", orders[[#This Row],[Customer Gender]]="O","Other", TRUE,"Unknown")</f>
        <v>Female</v>
      </c>
    </row>
    <row r="1202" spans="1:15" x14ac:dyDescent="0.3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1">
        <v>45705</v>
      </c>
      <c r="G1202" s="1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f>orders[[#This Row],[Ship Date]]-orders[[#This Row],[Order Date]]</f>
        <v>5</v>
      </c>
      <c r="N1202">
        <f>WEEKNUM(orders[[#This Row],[Order Date]])</f>
        <v>8</v>
      </c>
      <c r="O1202" t="str" cm="1">
        <f t="array" ref="O1202">_xlfn.IFS(orders[[#This Row],[Customer Gender]]="M","Male", orders[[#This Row],[Customer Gender]]="F","Female", orders[[#This Row],[Customer Gender]]="O","Other", TRUE,"Unknown")</f>
        <v>Female</v>
      </c>
    </row>
    <row r="1203" spans="1:15" x14ac:dyDescent="0.3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1">
        <v>45705</v>
      </c>
      <c r="G1203" s="1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f>orders[[#This Row],[Ship Date]]-orders[[#This Row],[Order Date]]</f>
        <v>0</v>
      </c>
      <c r="N1203">
        <f>WEEKNUM(orders[[#This Row],[Order Date]])</f>
        <v>8</v>
      </c>
      <c r="O1203" t="str" cm="1">
        <f t="array" ref="O1203">_xlfn.IFS(orders[[#This Row],[Customer Gender]]="M","Male", orders[[#This Row],[Customer Gender]]="F","Female", orders[[#This Row],[Customer Gender]]="O","Other", TRUE,"Unknown")</f>
        <v>Female</v>
      </c>
    </row>
    <row r="1204" spans="1:15" x14ac:dyDescent="0.3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1">
        <v>45705</v>
      </c>
      <c r="G1204" s="1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f>orders[[#This Row],[Ship Date]]-orders[[#This Row],[Order Date]]</f>
        <v>4</v>
      </c>
      <c r="N1204">
        <f>WEEKNUM(orders[[#This Row],[Order Date]])</f>
        <v>8</v>
      </c>
      <c r="O1204" t="str" cm="1">
        <f t="array" ref="O1204">_xlfn.IFS(orders[[#This Row],[Customer Gender]]="M","Male", orders[[#This Row],[Customer Gender]]="F","Female", orders[[#This Row],[Customer Gender]]="O","Other", TRUE,"Unknown")</f>
        <v>Female</v>
      </c>
    </row>
    <row r="1205" spans="1:15" x14ac:dyDescent="0.3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1">
        <v>45705</v>
      </c>
      <c r="G1205" s="1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f>orders[[#This Row],[Ship Date]]-orders[[#This Row],[Order Date]]</f>
        <v>4</v>
      </c>
      <c r="N1205">
        <f>WEEKNUM(orders[[#This Row],[Order Date]])</f>
        <v>8</v>
      </c>
      <c r="O1205" t="str" cm="1">
        <f t="array" ref="O1205">_xlfn.IFS(orders[[#This Row],[Customer Gender]]="M","Male", orders[[#This Row],[Customer Gender]]="F","Female", orders[[#This Row],[Customer Gender]]="O","Other", TRUE,"Unknown")</f>
        <v>Male</v>
      </c>
    </row>
    <row r="1206" spans="1:15" x14ac:dyDescent="0.3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1">
        <v>45705</v>
      </c>
      <c r="G1206" s="1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f>orders[[#This Row],[Ship Date]]-orders[[#This Row],[Order Date]]</f>
        <v>1</v>
      </c>
      <c r="N1206">
        <f>WEEKNUM(orders[[#This Row],[Order Date]])</f>
        <v>8</v>
      </c>
      <c r="O1206" t="str" cm="1">
        <f t="array" ref="O1206">_xlfn.IFS(orders[[#This Row],[Customer Gender]]="M","Male", orders[[#This Row],[Customer Gender]]="F","Female", orders[[#This Row],[Customer Gender]]="O","Other", TRUE,"Unknown")</f>
        <v>Male</v>
      </c>
    </row>
    <row r="1207" spans="1:15" x14ac:dyDescent="0.3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1">
        <v>45705</v>
      </c>
      <c r="G1207" s="1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f>orders[[#This Row],[Ship Date]]-orders[[#This Row],[Order Date]]</f>
        <v>1</v>
      </c>
      <c r="N1207">
        <f>WEEKNUM(orders[[#This Row],[Order Date]])</f>
        <v>8</v>
      </c>
      <c r="O1207" t="str" cm="1">
        <f t="array" ref="O1207">_xlfn.IFS(orders[[#This Row],[Customer Gender]]="M","Male", orders[[#This Row],[Customer Gender]]="F","Female", orders[[#This Row],[Customer Gender]]="O","Other", TRUE,"Unknown")</f>
        <v>Other</v>
      </c>
    </row>
    <row r="1208" spans="1:15" x14ac:dyDescent="0.3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1">
        <v>45705</v>
      </c>
      <c r="G1208" s="1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f>orders[[#This Row],[Ship Date]]-orders[[#This Row],[Order Date]]</f>
        <v>13</v>
      </c>
      <c r="N1208">
        <f>WEEKNUM(orders[[#This Row],[Order Date]])</f>
        <v>8</v>
      </c>
      <c r="O1208" t="str" cm="1">
        <f t="array" ref="O1208">_xlfn.IFS(orders[[#This Row],[Customer Gender]]="M","Male", orders[[#This Row],[Customer Gender]]="F","Female", orders[[#This Row],[Customer Gender]]="O","Other", TRUE,"Unknown")</f>
        <v>Female</v>
      </c>
    </row>
    <row r="1209" spans="1:15" x14ac:dyDescent="0.3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1">
        <v>45705</v>
      </c>
      <c r="G1209" s="1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f>orders[[#This Row],[Ship Date]]-orders[[#This Row],[Order Date]]</f>
        <v>1</v>
      </c>
      <c r="N1209">
        <f>WEEKNUM(orders[[#This Row],[Order Date]])</f>
        <v>8</v>
      </c>
      <c r="O1209" t="str" cm="1">
        <f t="array" ref="O1209">_xlfn.IFS(orders[[#This Row],[Customer Gender]]="M","Male", orders[[#This Row],[Customer Gender]]="F","Female", orders[[#This Row],[Customer Gender]]="O","Other", TRUE,"Unknown")</f>
        <v>Female</v>
      </c>
    </row>
    <row r="1210" spans="1:15" x14ac:dyDescent="0.3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1">
        <v>45705</v>
      </c>
      <c r="G1210" s="1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f>orders[[#This Row],[Ship Date]]-orders[[#This Row],[Order Date]]</f>
        <v>1</v>
      </c>
      <c r="N1210">
        <f>WEEKNUM(orders[[#This Row],[Order Date]])</f>
        <v>8</v>
      </c>
      <c r="O1210" t="str" cm="1">
        <f t="array" ref="O1210">_xlfn.IFS(orders[[#This Row],[Customer Gender]]="M","Male", orders[[#This Row],[Customer Gender]]="F","Female", orders[[#This Row],[Customer Gender]]="O","Other", TRUE,"Unknown")</f>
        <v>Male</v>
      </c>
    </row>
    <row r="1211" spans="1:15" x14ac:dyDescent="0.3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1">
        <v>45705</v>
      </c>
      <c r="G1211" s="1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f>orders[[#This Row],[Ship Date]]-orders[[#This Row],[Order Date]]</f>
        <v>2</v>
      </c>
      <c r="N1211">
        <f>WEEKNUM(orders[[#This Row],[Order Date]])</f>
        <v>8</v>
      </c>
      <c r="O1211" t="str" cm="1">
        <f t="array" ref="O1211">_xlfn.IFS(orders[[#This Row],[Customer Gender]]="M","Male", orders[[#This Row],[Customer Gender]]="F","Female", orders[[#This Row],[Customer Gender]]="O","Other", TRUE,"Unknown")</f>
        <v>Male</v>
      </c>
    </row>
    <row r="1212" spans="1:15" x14ac:dyDescent="0.3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1">
        <v>45705</v>
      </c>
      <c r="G1212" s="1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f>orders[[#This Row],[Ship Date]]-orders[[#This Row],[Order Date]]</f>
        <v>3</v>
      </c>
      <c r="N1212">
        <f>WEEKNUM(orders[[#This Row],[Order Date]])</f>
        <v>8</v>
      </c>
      <c r="O1212" t="str" cm="1">
        <f t="array" ref="O1212">_xlfn.IFS(orders[[#This Row],[Customer Gender]]="M","Male", orders[[#This Row],[Customer Gender]]="F","Female", orders[[#This Row],[Customer Gender]]="O","Other", TRUE,"Unknown")</f>
        <v>Other</v>
      </c>
    </row>
    <row r="1213" spans="1:15" x14ac:dyDescent="0.3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1">
        <v>45705</v>
      </c>
      <c r="G1213" s="1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f>orders[[#This Row],[Ship Date]]-orders[[#This Row],[Order Date]]</f>
        <v>2</v>
      </c>
      <c r="N1213">
        <f>WEEKNUM(orders[[#This Row],[Order Date]])</f>
        <v>8</v>
      </c>
      <c r="O1213" t="str" cm="1">
        <f t="array" ref="O1213">_xlfn.IFS(orders[[#This Row],[Customer Gender]]="M","Male", orders[[#This Row],[Customer Gender]]="F","Female", orders[[#This Row],[Customer Gender]]="O","Other", TRUE,"Unknown")</f>
        <v>Female</v>
      </c>
    </row>
    <row r="1214" spans="1:15" x14ac:dyDescent="0.3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1">
        <v>45705</v>
      </c>
      <c r="G1214" s="1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f>orders[[#This Row],[Ship Date]]-orders[[#This Row],[Order Date]]</f>
        <v>4</v>
      </c>
      <c r="N1214">
        <f>WEEKNUM(orders[[#This Row],[Order Date]])</f>
        <v>8</v>
      </c>
      <c r="O1214" t="str" cm="1">
        <f t="array" ref="O1214">_xlfn.IFS(orders[[#This Row],[Customer Gender]]="M","Male", orders[[#This Row],[Customer Gender]]="F","Female", orders[[#This Row],[Customer Gender]]="O","Other", TRUE,"Unknown")</f>
        <v>Female</v>
      </c>
    </row>
    <row r="1215" spans="1:15" x14ac:dyDescent="0.3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1">
        <v>45705</v>
      </c>
      <c r="G1215" s="1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f>orders[[#This Row],[Ship Date]]-orders[[#This Row],[Order Date]]</f>
        <v>3</v>
      </c>
      <c r="N1215">
        <f>WEEKNUM(orders[[#This Row],[Order Date]])</f>
        <v>8</v>
      </c>
      <c r="O1215" t="str" cm="1">
        <f t="array" ref="O1215">_xlfn.IFS(orders[[#This Row],[Customer Gender]]="M","Male", orders[[#This Row],[Customer Gender]]="F","Female", orders[[#This Row],[Customer Gender]]="O","Other", TRUE,"Unknown")</f>
        <v>Unknown</v>
      </c>
    </row>
    <row r="1216" spans="1:15" x14ac:dyDescent="0.3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1">
        <v>45705</v>
      </c>
      <c r="G1216" s="1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f>orders[[#This Row],[Ship Date]]-orders[[#This Row],[Order Date]]</f>
        <v>0</v>
      </c>
      <c r="N1216">
        <f>WEEKNUM(orders[[#This Row],[Order Date]])</f>
        <v>8</v>
      </c>
      <c r="O1216" t="str" cm="1">
        <f t="array" ref="O1216">_xlfn.IFS(orders[[#This Row],[Customer Gender]]="M","Male", orders[[#This Row],[Customer Gender]]="F","Female", orders[[#This Row],[Customer Gender]]="O","Other", TRUE,"Unknown")</f>
        <v>Female</v>
      </c>
    </row>
    <row r="1217" spans="1:15" x14ac:dyDescent="0.3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1">
        <v>45705</v>
      </c>
      <c r="G1217" s="1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f>orders[[#This Row],[Ship Date]]-orders[[#This Row],[Order Date]]</f>
        <v>4</v>
      </c>
      <c r="N1217">
        <f>WEEKNUM(orders[[#This Row],[Order Date]])</f>
        <v>8</v>
      </c>
      <c r="O1217" t="str" cm="1">
        <f t="array" ref="O1217">_xlfn.IFS(orders[[#This Row],[Customer Gender]]="M","Male", orders[[#This Row],[Customer Gender]]="F","Female", orders[[#This Row],[Customer Gender]]="O","Other", TRUE,"Unknown")</f>
        <v>Male</v>
      </c>
    </row>
    <row r="1218" spans="1:15" x14ac:dyDescent="0.3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1">
        <v>45705</v>
      </c>
      <c r="G1218" s="1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f>orders[[#This Row],[Ship Date]]-orders[[#This Row],[Order Date]]</f>
        <v>3</v>
      </c>
      <c r="N1218">
        <f>WEEKNUM(orders[[#This Row],[Order Date]])</f>
        <v>8</v>
      </c>
      <c r="O1218" t="str" cm="1">
        <f t="array" ref="O1218">_xlfn.IFS(orders[[#This Row],[Customer Gender]]="M","Male", orders[[#This Row],[Customer Gender]]="F","Female", orders[[#This Row],[Customer Gender]]="O","Other", TRUE,"Unknown")</f>
        <v>Male</v>
      </c>
    </row>
    <row r="1219" spans="1:15" x14ac:dyDescent="0.3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1">
        <v>45705</v>
      </c>
      <c r="G1219" s="1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f>orders[[#This Row],[Ship Date]]-orders[[#This Row],[Order Date]]</f>
        <v>9</v>
      </c>
      <c r="N1219">
        <f>WEEKNUM(orders[[#This Row],[Order Date]])</f>
        <v>8</v>
      </c>
      <c r="O1219" t="str" cm="1">
        <f t="array" ref="O1219">_xlfn.IFS(orders[[#This Row],[Customer Gender]]="M","Male", orders[[#This Row],[Customer Gender]]="F","Female", orders[[#This Row],[Customer Gender]]="O","Other", TRUE,"Unknown")</f>
        <v>Male</v>
      </c>
    </row>
    <row r="1220" spans="1:15" x14ac:dyDescent="0.3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1">
        <v>45705</v>
      </c>
      <c r="G1220" s="1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f>orders[[#This Row],[Ship Date]]-orders[[#This Row],[Order Date]]</f>
        <v>5</v>
      </c>
      <c r="N1220">
        <f>WEEKNUM(orders[[#This Row],[Order Date]])</f>
        <v>8</v>
      </c>
      <c r="O1220" t="str" cm="1">
        <f t="array" ref="O1220">_xlfn.IFS(orders[[#This Row],[Customer Gender]]="M","Male", orders[[#This Row],[Customer Gender]]="F","Female", orders[[#This Row],[Customer Gender]]="O","Other", TRUE,"Unknown")</f>
        <v>Female</v>
      </c>
    </row>
    <row r="1221" spans="1:15" x14ac:dyDescent="0.3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1">
        <v>45705</v>
      </c>
      <c r="G1221" s="1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f>orders[[#This Row],[Ship Date]]-orders[[#This Row],[Order Date]]</f>
        <v>1</v>
      </c>
      <c r="N1221">
        <f>WEEKNUM(orders[[#This Row],[Order Date]])</f>
        <v>8</v>
      </c>
      <c r="O1221" t="str" cm="1">
        <f t="array" ref="O1221">_xlfn.IFS(orders[[#This Row],[Customer Gender]]="M","Male", orders[[#This Row],[Customer Gender]]="F","Female", orders[[#This Row],[Customer Gender]]="O","Other", TRUE,"Unknown")</f>
        <v>Male</v>
      </c>
    </row>
    <row r="1222" spans="1:15" x14ac:dyDescent="0.3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1">
        <v>45705</v>
      </c>
      <c r="G1222" s="1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f>orders[[#This Row],[Ship Date]]-orders[[#This Row],[Order Date]]</f>
        <v>1</v>
      </c>
      <c r="N1222">
        <f>WEEKNUM(orders[[#This Row],[Order Date]])</f>
        <v>8</v>
      </c>
      <c r="O1222" t="str" cm="1">
        <f t="array" ref="O1222">_xlfn.IFS(orders[[#This Row],[Customer Gender]]="M","Male", orders[[#This Row],[Customer Gender]]="F","Female", orders[[#This Row],[Customer Gender]]="O","Other", TRUE,"Unknown")</f>
        <v>Male</v>
      </c>
    </row>
    <row r="1223" spans="1:15" x14ac:dyDescent="0.3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1">
        <v>45705</v>
      </c>
      <c r="G1223" s="1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f>orders[[#This Row],[Ship Date]]-orders[[#This Row],[Order Date]]</f>
        <v>3</v>
      </c>
      <c r="N1223">
        <f>WEEKNUM(orders[[#This Row],[Order Date]])</f>
        <v>8</v>
      </c>
      <c r="O1223" t="str" cm="1">
        <f t="array" ref="O1223">_xlfn.IFS(orders[[#This Row],[Customer Gender]]="M","Male", orders[[#This Row],[Customer Gender]]="F","Female", orders[[#This Row],[Customer Gender]]="O","Other", TRUE,"Unknown")</f>
        <v>Female</v>
      </c>
    </row>
    <row r="1224" spans="1:15" x14ac:dyDescent="0.3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1">
        <v>45705</v>
      </c>
      <c r="G1224" s="1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f>orders[[#This Row],[Ship Date]]-orders[[#This Row],[Order Date]]</f>
        <v>2</v>
      </c>
      <c r="N1224">
        <f>WEEKNUM(orders[[#This Row],[Order Date]])</f>
        <v>8</v>
      </c>
      <c r="O1224" t="str" cm="1">
        <f t="array" ref="O1224">_xlfn.IFS(orders[[#This Row],[Customer Gender]]="M","Male", orders[[#This Row],[Customer Gender]]="F","Female", orders[[#This Row],[Customer Gender]]="O","Other", TRUE,"Unknown")</f>
        <v>Female</v>
      </c>
    </row>
    <row r="1225" spans="1:15" x14ac:dyDescent="0.3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1">
        <v>45706</v>
      </c>
      <c r="G1225" s="1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f>orders[[#This Row],[Ship Date]]-orders[[#This Row],[Order Date]]</f>
        <v>0</v>
      </c>
      <c r="N1225">
        <f>WEEKNUM(orders[[#This Row],[Order Date]])</f>
        <v>8</v>
      </c>
      <c r="O1225" t="str" cm="1">
        <f t="array" ref="O1225">_xlfn.IFS(orders[[#This Row],[Customer Gender]]="M","Male", orders[[#This Row],[Customer Gender]]="F","Female", orders[[#This Row],[Customer Gender]]="O","Other", TRUE,"Unknown")</f>
        <v>Male</v>
      </c>
    </row>
    <row r="1226" spans="1:15" x14ac:dyDescent="0.3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1">
        <v>45706</v>
      </c>
      <c r="G1226" s="1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f>orders[[#This Row],[Ship Date]]-orders[[#This Row],[Order Date]]</f>
        <v>3</v>
      </c>
      <c r="N1226">
        <f>WEEKNUM(orders[[#This Row],[Order Date]])</f>
        <v>8</v>
      </c>
      <c r="O1226" t="str" cm="1">
        <f t="array" ref="O1226">_xlfn.IFS(orders[[#This Row],[Customer Gender]]="M","Male", orders[[#This Row],[Customer Gender]]="F","Female", orders[[#This Row],[Customer Gender]]="O","Other", TRUE,"Unknown")</f>
        <v>Male</v>
      </c>
    </row>
    <row r="1227" spans="1:15" x14ac:dyDescent="0.3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1">
        <v>45706</v>
      </c>
      <c r="G1227" s="1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f>orders[[#This Row],[Ship Date]]-orders[[#This Row],[Order Date]]</f>
        <v>2</v>
      </c>
      <c r="N1227">
        <f>WEEKNUM(orders[[#This Row],[Order Date]])</f>
        <v>8</v>
      </c>
      <c r="O1227" t="str" cm="1">
        <f t="array" ref="O1227">_xlfn.IFS(orders[[#This Row],[Customer Gender]]="M","Male", orders[[#This Row],[Customer Gender]]="F","Female", orders[[#This Row],[Customer Gender]]="O","Other", TRUE,"Unknown")</f>
        <v>Unknown</v>
      </c>
    </row>
    <row r="1228" spans="1:15" x14ac:dyDescent="0.3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1">
        <v>45706</v>
      </c>
      <c r="G1228" s="1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f>orders[[#This Row],[Ship Date]]-orders[[#This Row],[Order Date]]</f>
        <v>9</v>
      </c>
      <c r="N1228">
        <f>WEEKNUM(orders[[#This Row],[Order Date]])</f>
        <v>8</v>
      </c>
      <c r="O1228" t="str" cm="1">
        <f t="array" ref="O1228">_xlfn.IFS(orders[[#This Row],[Customer Gender]]="M","Male", orders[[#This Row],[Customer Gender]]="F","Female", orders[[#This Row],[Customer Gender]]="O","Other", TRUE,"Unknown")</f>
        <v>Male</v>
      </c>
    </row>
    <row r="1229" spans="1:15" x14ac:dyDescent="0.3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1">
        <v>45706</v>
      </c>
      <c r="G1229" s="1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f>orders[[#This Row],[Ship Date]]-orders[[#This Row],[Order Date]]</f>
        <v>2</v>
      </c>
      <c r="N1229">
        <f>WEEKNUM(orders[[#This Row],[Order Date]])</f>
        <v>8</v>
      </c>
      <c r="O1229" t="str" cm="1">
        <f t="array" ref="O1229">_xlfn.IFS(orders[[#This Row],[Customer Gender]]="M","Male", orders[[#This Row],[Customer Gender]]="F","Female", orders[[#This Row],[Customer Gender]]="O","Other", TRUE,"Unknown")</f>
        <v>Female</v>
      </c>
    </row>
    <row r="1230" spans="1:15" x14ac:dyDescent="0.3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1">
        <v>45706</v>
      </c>
      <c r="G1230" s="1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f>orders[[#This Row],[Ship Date]]-orders[[#This Row],[Order Date]]</f>
        <v>3</v>
      </c>
      <c r="N1230">
        <f>WEEKNUM(orders[[#This Row],[Order Date]])</f>
        <v>8</v>
      </c>
      <c r="O1230" t="str" cm="1">
        <f t="array" ref="O1230">_xlfn.IFS(orders[[#This Row],[Customer Gender]]="M","Male", orders[[#This Row],[Customer Gender]]="F","Female", orders[[#This Row],[Customer Gender]]="O","Other", TRUE,"Unknown")</f>
        <v>Male</v>
      </c>
    </row>
    <row r="1231" spans="1:15" x14ac:dyDescent="0.3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1">
        <v>45706</v>
      </c>
      <c r="G1231" s="1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f>orders[[#This Row],[Ship Date]]-orders[[#This Row],[Order Date]]</f>
        <v>3</v>
      </c>
      <c r="N1231">
        <f>WEEKNUM(orders[[#This Row],[Order Date]])</f>
        <v>8</v>
      </c>
      <c r="O1231" t="str" cm="1">
        <f t="array" ref="O1231">_xlfn.IFS(orders[[#This Row],[Customer Gender]]="M","Male", orders[[#This Row],[Customer Gender]]="F","Female", orders[[#This Row],[Customer Gender]]="O","Other", TRUE,"Unknown")</f>
        <v>Female</v>
      </c>
    </row>
    <row r="1232" spans="1:15" x14ac:dyDescent="0.3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1">
        <v>45706</v>
      </c>
      <c r="G1232" s="1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f>orders[[#This Row],[Ship Date]]-orders[[#This Row],[Order Date]]</f>
        <v>4</v>
      </c>
      <c r="N1232">
        <f>WEEKNUM(orders[[#This Row],[Order Date]])</f>
        <v>8</v>
      </c>
      <c r="O1232" t="str" cm="1">
        <f t="array" ref="O1232">_xlfn.IFS(orders[[#This Row],[Customer Gender]]="M","Male", orders[[#This Row],[Customer Gender]]="F","Female", orders[[#This Row],[Customer Gender]]="O","Other", TRUE,"Unknown")</f>
        <v>Male</v>
      </c>
    </row>
    <row r="1233" spans="1:15" x14ac:dyDescent="0.3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1">
        <v>45706</v>
      </c>
      <c r="G1233" s="1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f>orders[[#This Row],[Ship Date]]-orders[[#This Row],[Order Date]]</f>
        <v>1</v>
      </c>
      <c r="N1233">
        <f>WEEKNUM(orders[[#This Row],[Order Date]])</f>
        <v>8</v>
      </c>
      <c r="O1233" t="str" cm="1">
        <f t="array" ref="O1233">_xlfn.IFS(orders[[#This Row],[Customer Gender]]="M","Male", orders[[#This Row],[Customer Gender]]="F","Female", orders[[#This Row],[Customer Gender]]="O","Other", TRUE,"Unknown")</f>
        <v>Male</v>
      </c>
    </row>
    <row r="1234" spans="1:15" x14ac:dyDescent="0.3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1">
        <v>45706</v>
      </c>
      <c r="G1234" s="1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f>orders[[#This Row],[Ship Date]]-orders[[#This Row],[Order Date]]</f>
        <v>3</v>
      </c>
      <c r="N1234">
        <f>WEEKNUM(orders[[#This Row],[Order Date]])</f>
        <v>8</v>
      </c>
      <c r="O1234" t="str" cm="1">
        <f t="array" ref="O1234">_xlfn.IFS(orders[[#This Row],[Customer Gender]]="M","Male", orders[[#This Row],[Customer Gender]]="F","Female", orders[[#This Row],[Customer Gender]]="O","Other", TRUE,"Unknown")</f>
        <v>Female</v>
      </c>
    </row>
    <row r="1235" spans="1:15" x14ac:dyDescent="0.3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1">
        <v>45706</v>
      </c>
      <c r="G1235" s="1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f>orders[[#This Row],[Ship Date]]-orders[[#This Row],[Order Date]]</f>
        <v>2</v>
      </c>
      <c r="N1235">
        <f>WEEKNUM(orders[[#This Row],[Order Date]])</f>
        <v>8</v>
      </c>
      <c r="O1235" t="str" cm="1">
        <f t="array" ref="O1235">_xlfn.IFS(orders[[#This Row],[Customer Gender]]="M","Male", orders[[#This Row],[Customer Gender]]="F","Female", orders[[#This Row],[Customer Gender]]="O","Other", TRUE,"Unknown")</f>
        <v>Other</v>
      </c>
    </row>
    <row r="1236" spans="1:15" x14ac:dyDescent="0.3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1">
        <v>45706</v>
      </c>
      <c r="G1236" s="1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f>orders[[#This Row],[Ship Date]]-orders[[#This Row],[Order Date]]</f>
        <v>1</v>
      </c>
      <c r="N1236">
        <f>WEEKNUM(orders[[#This Row],[Order Date]])</f>
        <v>8</v>
      </c>
      <c r="O1236" t="str" cm="1">
        <f t="array" ref="O1236">_xlfn.IFS(orders[[#This Row],[Customer Gender]]="M","Male", orders[[#This Row],[Customer Gender]]="F","Female", orders[[#This Row],[Customer Gender]]="O","Other", TRUE,"Unknown")</f>
        <v>Male</v>
      </c>
    </row>
    <row r="1237" spans="1:15" x14ac:dyDescent="0.3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1">
        <v>45706</v>
      </c>
      <c r="G1237" s="1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f>orders[[#This Row],[Ship Date]]-orders[[#This Row],[Order Date]]</f>
        <v>1</v>
      </c>
      <c r="N1237">
        <f>WEEKNUM(orders[[#This Row],[Order Date]])</f>
        <v>8</v>
      </c>
      <c r="O1237" t="str" cm="1">
        <f t="array" ref="O1237">_xlfn.IFS(orders[[#This Row],[Customer Gender]]="M","Male", orders[[#This Row],[Customer Gender]]="F","Female", orders[[#This Row],[Customer Gender]]="O","Other", TRUE,"Unknown")</f>
        <v>Other</v>
      </c>
    </row>
    <row r="1238" spans="1:15" x14ac:dyDescent="0.3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1">
        <v>45706</v>
      </c>
      <c r="G1238" s="1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f>orders[[#This Row],[Ship Date]]-orders[[#This Row],[Order Date]]</f>
        <v>2</v>
      </c>
      <c r="N1238">
        <f>WEEKNUM(orders[[#This Row],[Order Date]])</f>
        <v>8</v>
      </c>
      <c r="O1238" t="str" cm="1">
        <f t="array" ref="O1238">_xlfn.IFS(orders[[#This Row],[Customer Gender]]="M","Male", orders[[#This Row],[Customer Gender]]="F","Female", orders[[#This Row],[Customer Gender]]="O","Other", TRUE,"Unknown")</f>
        <v>Unknown</v>
      </c>
    </row>
    <row r="1239" spans="1:15" x14ac:dyDescent="0.3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1">
        <v>45706</v>
      </c>
      <c r="G1239" s="1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f>orders[[#This Row],[Ship Date]]-orders[[#This Row],[Order Date]]</f>
        <v>4</v>
      </c>
      <c r="N1239">
        <f>WEEKNUM(orders[[#This Row],[Order Date]])</f>
        <v>8</v>
      </c>
      <c r="O1239" t="str" cm="1">
        <f t="array" ref="O1239">_xlfn.IFS(orders[[#This Row],[Customer Gender]]="M","Male", orders[[#This Row],[Customer Gender]]="F","Female", orders[[#This Row],[Customer Gender]]="O","Other", TRUE,"Unknown")</f>
        <v>Female</v>
      </c>
    </row>
    <row r="1240" spans="1:15" x14ac:dyDescent="0.3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1">
        <v>45706</v>
      </c>
      <c r="G1240" s="1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f>orders[[#This Row],[Ship Date]]-orders[[#This Row],[Order Date]]</f>
        <v>1</v>
      </c>
      <c r="N1240">
        <f>WEEKNUM(orders[[#This Row],[Order Date]])</f>
        <v>8</v>
      </c>
      <c r="O1240" t="str" cm="1">
        <f t="array" ref="O1240">_xlfn.IFS(orders[[#This Row],[Customer Gender]]="M","Male", orders[[#This Row],[Customer Gender]]="F","Female", orders[[#This Row],[Customer Gender]]="O","Other", TRUE,"Unknown")</f>
        <v>Male</v>
      </c>
    </row>
    <row r="1241" spans="1:15" x14ac:dyDescent="0.3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1">
        <v>45706</v>
      </c>
      <c r="G1241" s="1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f>orders[[#This Row],[Ship Date]]-orders[[#This Row],[Order Date]]</f>
        <v>8</v>
      </c>
      <c r="N1241">
        <f>WEEKNUM(orders[[#This Row],[Order Date]])</f>
        <v>8</v>
      </c>
      <c r="O1241" t="str" cm="1">
        <f t="array" ref="O1241">_xlfn.IFS(orders[[#This Row],[Customer Gender]]="M","Male", orders[[#This Row],[Customer Gender]]="F","Female", orders[[#This Row],[Customer Gender]]="O","Other", TRUE,"Unknown")</f>
        <v>Female</v>
      </c>
    </row>
    <row r="1242" spans="1:15" x14ac:dyDescent="0.3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1">
        <v>45706</v>
      </c>
      <c r="G1242" s="1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f>orders[[#This Row],[Ship Date]]-orders[[#This Row],[Order Date]]</f>
        <v>1</v>
      </c>
      <c r="N1242">
        <f>WEEKNUM(orders[[#This Row],[Order Date]])</f>
        <v>8</v>
      </c>
      <c r="O1242" t="str" cm="1">
        <f t="array" ref="O1242">_xlfn.IFS(orders[[#This Row],[Customer Gender]]="M","Male", orders[[#This Row],[Customer Gender]]="F","Female", orders[[#This Row],[Customer Gender]]="O","Other", TRUE,"Unknown")</f>
        <v>Unknown</v>
      </c>
    </row>
    <row r="1243" spans="1:15" x14ac:dyDescent="0.3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1">
        <v>45706</v>
      </c>
      <c r="G1243" s="1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f>orders[[#This Row],[Ship Date]]-orders[[#This Row],[Order Date]]</f>
        <v>6</v>
      </c>
      <c r="N1243">
        <f>WEEKNUM(orders[[#This Row],[Order Date]])</f>
        <v>8</v>
      </c>
      <c r="O1243" t="str" cm="1">
        <f t="array" ref="O1243">_xlfn.IFS(orders[[#This Row],[Customer Gender]]="M","Male", orders[[#This Row],[Customer Gender]]="F","Female", orders[[#This Row],[Customer Gender]]="O","Other", TRUE,"Unknown")</f>
        <v>Female</v>
      </c>
    </row>
    <row r="1244" spans="1:15" x14ac:dyDescent="0.3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1">
        <v>45706</v>
      </c>
      <c r="G1244" s="1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f>orders[[#This Row],[Ship Date]]-orders[[#This Row],[Order Date]]</f>
        <v>3</v>
      </c>
      <c r="N1244">
        <f>WEEKNUM(orders[[#This Row],[Order Date]])</f>
        <v>8</v>
      </c>
      <c r="O1244" t="str" cm="1">
        <f t="array" ref="O1244">_xlfn.IFS(orders[[#This Row],[Customer Gender]]="M","Male", orders[[#This Row],[Customer Gender]]="F","Female", orders[[#This Row],[Customer Gender]]="O","Other", TRUE,"Unknown")</f>
        <v>Female</v>
      </c>
    </row>
    <row r="1245" spans="1:15" x14ac:dyDescent="0.3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1">
        <v>45706</v>
      </c>
      <c r="G1245" s="1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f>orders[[#This Row],[Ship Date]]-orders[[#This Row],[Order Date]]</f>
        <v>2</v>
      </c>
      <c r="N1245">
        <f>WEEKNUM(orders[[#This Row],[Order Date]])</f>
        <v>8</v>
      </c>
      <c r="O1245" t="str" cm="1">
        <f t="array" ref="O1245">_xlfn.IFS(orders[[#This Row],[Customer Gender]]="M","Male", orders[[#This Row],[Customer Gender]]="F","Female", orders[[#This Row],[Customer Gender]]="O","Other", TRUE,"Unknown")</f>
        <v>Female</v>
      </c>
    </row>
    <row r="1246" spans="1:15" x14ac:dyDescent="0.3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1">
        <v>45706</v>
      </c>
      <c r="G1246" s="1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f>orders[[#This Row],[Ship Date]]-orders[[#This Row],[Order Date]]</f>
        <v>2</v>
      </c>
      <c r="N1246">
        <f>WEEKNUM(orders[[#This Row],[Order Date]])</f>
        <v>8</v>
      </c>
      <c r="O1246" t="str" cm="1">
        <f t="array" ref="O1246">_xlfn.IFS(orders[[#This Row],[Customer Gender]]="M","Male", orders[[#This Row],[Customer Gender]]="F","Female", orders[[#This Row],[Customer Gender]]="O","Other", TRUE,"Unknown")</f>
        <v>Female</v>
      </c>
    </row>
    <row r="1247" spans="1:15" x14ac:dyDescent="0.3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1">
        <v>45706</v>
      </c>
      <c r="G1247" s="1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f>orders[[#This Row],[Ship Date]]-orders[[#This Row],[Order Date]]</f>
        <v>1</v>
      </c>
      <c r="N1247">
        <f>WEEKNUM(orders[[#This Row],[Order Date]])</f>
        <v>8</v>
      </c>
      <c r="O1247" t="str" cm="1">
        <f t="array" ref="O1247">_xlfn.IFS(orders[[#This Row],[Customer Gender]]="M","Male", orders[[#This Row],[Customer Gender]]="F","Female", orders[[#This Row],[Customer Gender]]="O","Other", TRUE,"Unknown")</f>
        <v>Male</v>
      </c>
    </row>
    <row r="1248" spans="1:15" x14ac:dyDescent="0.3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1">
        <v>45706</v>
      </c>
      <c r="G1248" s="1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f>orders[[#This Row],[Ship Date]]-orders[[#This Row],[Order Date]]</f>
        <v>1</v>
      </c>
      <c r="N1248">
        <f>WEEKNUM(orders[[#This Row],[Order Date]])</f>
        <v>8</v>
      </c>
      <c r="O1248" t="str" cm="1">
        <f t="array" ref="O1248">_xlfn.IFS(orders[[#This Row],[Customer Gender]]="M","Male", orders[[#This Row],[Customer Gender]]="F","Female", orders[[#This Row],[Customer Gender]]="O","Other", TRUE,"Unknown")</f>
        <v>Male</v>
      </c>
    </row>
    <row r="1249" spans="1:15" x14ac:dyDescent="0.3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1">
        <v>45706</v>
      </c>
      <c r="G1249" s="1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f>orders[[#This Row],[Ship Date]]-orders[[#This Row],[Order Date]]</f>
        <v>3</v>
      </c>
      <c r="N1249">
        <f>WEEKNUM(orders[[#This Row],[Order Date]])</f>
        <v>8</v>
      </c>
      <c r="O1249" t="str" cm="1">
        <f t="array" ref="O1249">_xlfn.IFS(orders[[#This Row],[Customer Gender]]="M","Male", orders[[#This Row],[Customer Gender]]="F","Female", orders[[#This Row],[Customer Gender]]="O","Other", TRUE,"Unknown")</f>
        <v>Female</v>
      </c>
    </row>
    <row r="1250" spans="1:15" x14ac:dyDescent="0.3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1">
        <v>45706</v>
      </c>
      <c r="G1250" s="1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f>orders[[#This Row],[Ship Date]]-orders[[#This Row],[Order Date]]</f>
        <v>0</v>
      </c>
      <c r="N1250">
        <f>WEEKNUM(orders[[#This Row],[Order Date]])</f>
        <v>8</v>
      </c>
      <c r="O1250" t="str" cm="1">
        <f t="array" ref="O1250">_xlfn.IFS(orders[[#This Row],[Customer Gender]]="M","Male", orders[[#This Row],[Customer Gender]]="F","Female", orders[[#This Row],[Customer Gender]]="O","Other", TRUE,"Unknown")</f>
        <v>Male</v>
      </c>
    </row>
    <row r="1251" spans="1:15" x14ac:dyDescent="0.3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1">
        <v>45706</v>
      </c>
      <c r="G1251" s="1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f>orders[[#This Row],[Ship Date]]-orders[[#This Row],[Order Date]]</f>
        <v>2</v>
      </c>
      <c r="N1251">
        <f>WEEKNUM(orders[[#This Row],[Order Date]])</f>
        <v>8</v>
      </c>
      <c r="O1251" t="str" cm="1">
        <f t="array" ref="O1251">_xlfn.IFS(orders[[#This Row],[Customer Gender]]="M","Male", orders[[#This Row],[Customer Gender]]="F","Female", orders[[#This Row],[Customer Gender]]="O","Other", TRUE,"Unknown")</f>
        <v>Female</v>
      </c>
    </row>
    <row r="1252" spans="1:15" x14ac:dyDescent="0.3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1">
        <v>45706</v>
      </c>
      <c r="G1252" s="1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f>orders[[#This Row],[Ship Date]]-orders[[#This Row],[Order Date]]</f>
        <v>5</v>
      </c>
      <c r="N1252">
        <f>WEEKNUM(orders[[#This Row],[Order Date]])</f>
        <v>8</v>
      </c>
      <c r="O1252" t="str" cm="1">
        <f t="array" ref="O1252">_xlfn.IFS(orders[[#This Row],[Customer Gender]]="M","Male", orders[[#This Row],[Customer Gender]]="F","Female", orders[[#This Row],[Customer Gender]]="O","Other", TRUE,"Unknown")</f>
        <v>Male</v>
      </c>
    </row>
    <row r="1253" spans="1:15" x14ac:dyDescent="0.3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1">
        <v>45706</v>
      </c>
      <c r="G1253" s="1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f>orders[[#This Row],[Ship Date]]-orders[[#This Row],[Order Date]]</f>
        <v>5</v>
      </c>
      <c r="N1253">
        <f>WEEKNUM(orders[[#This Row],[Order Date]])</f>
        <v>8</v>
      </c>
      <c r="O1253" t="str" cm="1">
        <f t="array" ref="O1253">_xlfn.IFS(orders[[#This Row],[Customer Gender]]="M","Male", orders[[#This Row],[Customer Gender]]="F","Female", orders[[#This Row],[Customer Gender]]="O","Other", TRUE,"Unknown")</f>
        <v>Unknown</v>
      </c>
    </row>
    <row r="1254" spans="1:15" x14ac:dyDescent="0.3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1">
        <v>45706</v>
      </c>
      <c r="G1254" s="1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f>orders[[#This Row],[Ship Date]]-orders[[#This Row],[Order Date]]</f>
        <v>1</v>
      </c>
      <c r="N1254">
        <f>WEEKNUM(orders[[#This Row],[Order Date]])</f>
        <v>8</v>
      </c>
      <c r="O1254" t="str" cm="1">
        <f t="array" ref="O1254">_xlfn.IFS(orders[[#This Row],[Customer Gender]]="M","Male", orders[[#This Row],[Customer Gender]]="F","Female", orders[[#This Row],[Customer Gender]]="O","Other", TRUE,"Unknown")</f>
        <v>Female</v>
      </c>
    </row>
    <row r="1255" spans="1:15" x14ac:dyDescent="0.3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1">
        <v>45706</v>
      </c>
      <c r="G1255" s="1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f>orders[[#This Row],[Ship Date]]-orders[[#This Row],[Order Date]]</f>
        <v>0</v>
      </c>
      <c r="N1255">
        <f>WEEKNUM(orders[[#This Row],[Order Date]])</f>
        <v>8</v>
      </c>
      <c r="O1255" t="str" cm="1">
        <f t="array" ref="O1255">_xlfn.IFS(orders[[#This Row],[Customer Gender]]="M","Male", orders[[#This Row],[Customer Gender]]="F","Female", orders[[#This Row],[Customer Gender]]="O","Other", TRUE,"Unknown")</f>
        <v>Female</v>
      </c>
    </row>
    <row r="1256" spans="1:15" x14ac:dyDescent="0.3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1">
        <v>45706</v>
      </c>
      <c r="G1256" s="1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f>orders[[#This Row],[Ship Date]]-orders[[#This Row],[Order Date]]</f>
        <v>1</v>
      </c>
      <c r="N1256">
        <f>WEEKNUM(orders[[#This Row],[Order Date]])</f>
        <v>8</v>
      </c>
      <c r="O1256" t="str" cm="1">
        <f t="array" ref="O1256">_xlfn.IFS(orders[[#This Row],[Customer Gender]]="M","Male", orders[[#This Row],[Customer Gender]]="F","Female", orders[[#This Row],[Customer Gender]]="O","Other", TRUE,"Unknown")</f>
        <v>Female</v>
      </c>
    </row>
    <row r="1257" spans="1:15" x14ac:dyDescent="0.3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1">
        <v>45706</v>
      </c>
      <c r="G1257" s="1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f>orders[[#This Row],[Ship Date]]-orders[[#This Row],[Order Date]]</f>
        <v>1</v>
      </c>
      <c r="N1257">
        <f>WEEKNUM(orders[[#This Row],[Order Date]])</f>
        <v>8</v>
      </c>
      <c r="O1257" t="str" cm="1">
        <f t="array" ref="O1257">_xlfn.IFS(orders[[#This Row],[Customer Gender]]="M","Male", orders[[#This Row],[Customer Gender]]="F","Female", orders[[#This Row],[Customer Gender]]="O","Other", TRUE,"Unknown")</f>
        <v>Female</v>
      </c>
    </row>
    <row r="1258" spans="1:15" x14ac:dyDescent="0.3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1">
        <v>45706</v>
      </c>
      <c r="G1258" s="1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f>orders[[#This Row],[Ship Date]]-orders[[#This Row],[Order Date]]</f>
        <v>2</v>
      </c>
      <c r="N1258">
        <f>WEEKNUM(orders[[#This Row],[Order Date]])</f>
        <v>8</v>
      </c>
      <c r="O1258" t="str" cm="1">
        <f t="array" ref="O1258">_xlfn.IFS(orders[[#This Row],[Customer Gender]]="M","Male", orders[[#This Row],[Customer Gender]]="F","Female", orders[[#This Row],[Customer Gender]]="O","Other", TRUE,"Unknown")</f>
        <v>Male</v>
      </c>
    </row>
    <row r="1259" spans="1:15" x14ac:dyDescent="0.3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1">
        <v>45706</v>
      </c>
      <c r="G1259" s="1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f>orders[[#This Row],[Ship Date]]-orders[[#This Row],[Order Date]]</f>
        <v>1</v>
      </c>
      <c r="N1259">
        <f>WEEKNUM(orders[[#This Row],[Order Date]])</f>
        <v>8</v>
      </c>
      <c r="O1259" t="str" cm="1">
        <f t="array" ref="O1259">_xlfn.IFS(orders[[#This Row],[Customer Gender]]="M","Male", orders[[#This Row],[Customer Gender]]="F","Female", orders[[#This Row],[Customer Gender]]="O","Other", TRUE,"Unknown")</f>
        <v>Male</v>
      </c>
    </row>
    <row r="1260" spans="1:15" x14ac:dyDescent="0.3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1">
        <v>45706</v>
      </c>
      <c r="G1260" s="1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f>orders[[#This Row],[Ship Date]]-orders[[#This Row],[Order Date]]</f>
        <v>1</v>
      </c>
      <c r="N1260">
        <f>WEEKNUM(orders[[#This Row],[Order Date]])</f>
        <v>8</v>
      </c>
      <c r="O1260" t="str" cm="1">
        <f t="array" ref="O1260">_xlfn.IFS(orders[[#This Row],[Customer Gender]]="M","Male", orders[[#This Row],[Customer Gender]]="F","Female", orders[[#This Row],[Customer Gender]]="O","Other", TRUE,"Unknown")</f>
        <v>Male</v>
      </c>
    </row>
    <row r="1261" spans="1:15" x14ac:dyDescent="0.3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1">
        <v>45706</v>
      </c>
      <c r="G1261" s="1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f>orders[[#This Row],[Ship Date]]-orders[[#This Row],[Order Date]]</f>
        <v>2</v>
      </c>
      <c r="N1261">
        <f>WEEKNUM(orders[[#This Row],[Order Date]])</f>
        <v>8</v>
      </c>
      <c r="O1261" t="str" cm="1">
        <f t="array" ref="O1261">_xlfn.IFS(orders[[#This Row],[Customer Gender]]="M","Male", orders[[#This Row],[Customer Gender]]="F","Female", orders[[#This Row],[Customer Gender]]="O","Other", TRUE,"Unknown")</f>
        <v>Male</v>
      </c>
    </row>
    <row r="1262" spans="1:15" x14ac:dyDescent="0.3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1">
        <v>45706</v>
      </c>
      <c r="G1262" s="1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f>orders[[#This Row],[Ship Date]]-orders[[#This Row],[Order Date]]</f>
        <v>1</v>
      </c>
      <c r="N1262">
        <f>WEEKNUM(orders[[#This Row],[Order Date]])</f>
        <v>8</v>
      </c>
      <c r="O1262" t="str" cm="1">
        <f t="array" ref="O1262">_xlfn.IFS(orders[[#This Row],[Customer Gender]]="M","Male", orders[[#This Row],[Customer Gender]]="F","Female", orders[[#This Row],[Customer Gender]]="O","Other", TRUE,"Unknown")</f>
        <v>Male</v>
      </c>
    </row>
    <row r="1263" spans="1:15" x14ac:dyDescent="0.3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1">
        <v>45706</v>
      </c>
      <c r="G1263" s="1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f>orders[[#This Row],[Ship Date]]-orders[[#This Row],[Order Date]]</f>
        <v>1</v>
      </c>
      <c r="N1263">
        <f>WEEKNUM(orders[[#This Row],[Order Date]])</f>
        <v>8</v>
      </c>
      <c r="O1263" t="str" cm="1">
        <f t="array" ref="O1263">_xlfn.IFS(orders[[#This Row],[Customer Gender]]="M","Male", orders[[#This Row],[Customer Gender]]="F","Female", orders[[#This Row],[Customer Gender]]="O","Other", TRUE,"Unknown")</f>
        <v>Male</v>
      </c>
    </row>
    <row r="1264" spans="1:15" x14ac:dyDescent="0.3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1">
        <v>45706</v>
      </c>
      <c r="G1264" s="1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f>orders[[#This Row],[Ship Date]]-orders[[#This Row],[Order Date]]</f>
        <v>2</v>
      </c>
      <c r="N1264">
        <f>WEEKNUM(orders[[#This Row],[Order Date]])</f>
        <v>8</v>
      </c>
      <c r="O1264" t="str" cm="1">
        <f t="array" ref="O1264">_xlfn.IFS(orders[[#This Row],[Customer Gender]]="M","Male", orders[[#This Row],[Customer Gender]]="F","Female", orders[[#This Row],[Customer Gender]]="O","Other", TRUE,"Unknown")</f>
        <v>Male</v>
      </c>
    </row>
    <row r="1265" spans="1:15" x14ac:dyDescent="0.3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1">
        <v>45706</v>
      </c>
      <c r="G1265" s="1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f>orders[[#This Row],[Ship Date]]-orders[[#This Row],[Order Date]]</f>
        <v>0</v>
      </c>
      <c r="N1265">
        <f>WEEKNUM(orders[[#This Row],[Order Date]])</f>
        <v>8</v>
      </c>
      <c r="O1265" t="str" cm="1">
        <f t="array" ref="O1265">_xlfn.IFS(orders[[#This Row],[Customer Gender]]="M","Male", orders[[#This Row],[Customer Gender]]="F","Female", orders[[#This Row],[Customer Gender]]="O","Other", TRUE,"Unknown")</f>
        <v>Male</v>
      </c>
    </row>
    <row r="1266" spans="1:15" x14ac:dyDescent="0.3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1">
        <v>45706</v>
      </c>
      <c r="G1266" s="1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f>orders[[#This Row],[Ship Date]]-orders[[#This Row],[Order Date]]</f>
        <v>3</v>
      </c>
      <c r="N1266">
        <f>WEEKNUM(orders[[#This Row],[Order Date]])</f>
        <v>8</v>
      </c>
      <c r="O1266" t="str" cm="1">
        <f t="array" ref="O1266">_xlfn.IFS(orders[[#This Row],[Customer Gender]]="M","Male", orders[[#This Row],[Customer Gender]]="F","Female", orders[[#This Row],[Customer Gender]]="O","Other", TRUE,"Unknown")</f>
        <v>Female</v>
      </c>
    </row>
    <row r="1267" spans="1:15" x14ac:dyDescent="0.3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1">
        <v>45706</v>
      </c>
      <c r="G1267" s="1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f>orders[[#This Row],[Ship Date]]-orders[[#This Row],[Order Date]]</f>
        <v>2</v>
      </c>
      <c r="N1267">
        <f>WEEKNUM(orders[[#This Row],[Order Date]])</f>
        <v>8</v>
      </c>
      <c r="O1267" t="str" cm="1">
        <f t="array" ref="O1267">_xlfn.IFS(orders[[#This Row],[Customer Gender]]="M","Male", orders[[#This Row],[Customer Gender]]="F","Female", orders[[#This Row],[Customer Gender]]="O","Other", TRUE,"Unknown")</f>
        <v>Female</v>
      </c>
    </row>
    <row r="1268" spans="1:15" x14ac:dyDescent="0.3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1">
        <v>45706</v>
      </c>
      <c r="G1268" s="1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f>orders[[#This Row],[Ship Date]]-orders[[#This Row],[Order Date]]</f>
        <v>2</v>
      </c>
      <c r="N1268">
        <f>WEEKNUM(orders[[#This Row],[Order Date]])</f>
        <v>8</v>
      </c>
      <c r="O1268" t="str" cm="1">
        <f t="array" ref="O1268">_xlfn.IFS(orders[[#This Row],[Customer Gender]]="M","Male", orders[[#This Row],[Customer Gender]]="F","Female", orders[[#This Row],[Customer Gender]]="O","Other", TRUE,"Unknown")</f>
        <v>Male</v>
      </c>
    </row>
    <row r="1269" spans="1:15" x14ac:dyDescent="0.3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1">
        <v>45706</v>
      </c>
      <c r="G1269" s="1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f>orders[[#This Row],[Ship Date]]-orders[[#This Row],[Order Date]]</f>
        <v>3</v>
      </c>
      <c r="N1269">
        <f>WEEKNUM(orders[[#This Row],[Order Date]])</f>
        <v>8</v>
      </c>
      <c r="O1269" t="str" cm="1">
        <f t="array" ref="O1269">_xlfn.IFS(orders[[#This Row],[Customer Gender]]="M","Male", orders[[#This Row],[Customer Gender]]="F","Female", orders[[#This Row],[Customer Gender]]="O","Other", TRUE,"Unknown")</f>
        <v>Male</v>
      </c>
    </row>
    <row r="1270" spans="1:15" x14ac:dyDescent="0.3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1">
        <v>45706</v>
      </c>
      <c r="G1270" s="1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f>orders[[#This Row],[Ship Date]]-orders[[#This Row],[Order Date]]</f>
        <v>4</v>
      </c>
      <c r="N1270">
        <f>WEEKNUM(orders[[#This Row],[Order Date]])</f>
        <v>8</v>
      </c>
      <c r="O1270" t="str" cm="1">
        <f t="array" ref="O1270">_xlfn.IFS(orders[[#This Row],[Customer Gender]]="M","Male", orders[[#This Row],[Customer Gender]]="F","Female", orders[[#This Row],[Customer Gender]]="O","Other", TRUE,"Unknown")</f>
        <v>Female</v>
      </c>
    </row>
    <row r="1271" spans="1:15" x14ac:dyDescent="0.3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1">
        <v>45706</v>
      </c>
      <c r="G1271" s="1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f>orders[[#This Row],[Ship Date]]-orders[[#This Row],[Order Date]]</f>
        <v>3</v>
      </c>
      <c r="N1271">
        <f>WEEKNUM(orders[[#This Row],[Order Date]])</f>
        <v>8</v>
      </c>
      <c r="O1271" t="str" cm="1">
        <f t="array" ref="O1271">_xlfn.IFS(orders[[#This Row],[Customer Gender]]="M","Male", orders[[#This Row],[Customer Gender]]="F","Female", orders[[#This Row],[Customer Gender]]="O","Other", TRUE,"Unknown")</f>
        <v>Female</v>
      </c>
    </row>
    <row r="1272" spans="1:15" x14ac:dyDescent="0.3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1">
        <v>45706</v>
      </c>
      <c r="G1272" s="1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f>orders[[#This Row],[Ship Date]]-orders[[#This Row],[Order Date]]</f>
        <v>1</v>
      </c>
      <c r="N1272">
        <f>WEEKNUM(orders[[#This Row],[Order Date]])</f>
        <v>8</v>
      </c>
      <c r="O1272" t="str" cm="1">
        <f t="array" ref="O1272">_xlfn.IFS(orders[[#This Row],[Customer Gender]]="M","Male", orders[[#This Row],[Customer Gender]]="F","Female", orders[[#This Row],[Customer Gender]]="O","Other", TRUE,"Unknown")</f>
        <v>Female</v>
      </c>
    </row>
    <row r="1273" spans="1:15" x14ac:dyDescent="0.3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1">
        <v>45706</v>
      </c>
      <c r="G1273" s="1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f>orders[[#This Row],[Ship Date]]-orders[[#This Row],[Order Date]]</f>
        <v>0</v>
      </c>
      <c r="N1273">
        <f>WEEKNUM(orders[[#This Row],[Order Date]])</f>
        <v>8</v>
      </c>
      <c r="O1273" t="str" cm="1">
        <f t="array" ref="O1273">_xlfn.IFS(orders[[#This Row],[Customer Gender]]="M","Male", orders[[#This Row],[Customer Gender]]="F","Female", orders[[#This Row],[Customer Gender]]="O","Other", TRUE,"Unknown")</f>
        <v>Male</v>
      </c>
    </row>
    <row r="1274" spans="1:15" x14ac:dyDescent="0.3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1">
        <v>45706</v>
      </c>
      <c r="G1274" s="1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f>orders[[#This Row],[Ship Date]]-orders[[#This Row],[Order Date]]</f>
        <v>3</v>
      </c>
      <c r="N1274">
        <f>WEEKNUM(orders[[#This Row],[Order Date]])</f>
        <v>8</v>
      </c>
      <c r="O1274" t="str" cm="1">
        <f t="array" ref="O1274">_xlfn.IFS(orders[[#This Row],[Customer Gender]]="M","Male", orders[[#This Row],[Customer Gender]]="F","Female", orders[[#This Row],[Customer Gender]]="O","Other", TRUE,"Unknown")</f>
        <v>Male</v>
      </c>
    </row>
    <row r="1275" spans="1:15" x14ac:dyDescent="0.3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1">
        <v>45706</v>
      </c>
      <c r="G1275" s="1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f>orders[[#This Row],[Ship Date]]-orders[[#This Row],[Order Date]]</f>
        <v>0</v>
      </c>
      <c r="N1275">
        <f>WEEKNUM(orders[[#This Row],[Order Date]])</f>
        <v>8</v>
      </c>
      <c r="O1275" t="str" cm="1">
        <f t="array" ref="O1275">_xlfn.IFS(orders[[#This Row],[Customer Gender]]="M","Male", orders[[#This Row],[Customer Gender]]="F","Female", orders[[#This Row],[Customer Gender]]="O","Other", TRUE,"Unknown")</f>
        <v>Female</v>
      </c>
    </row>
    <row r="1276" spans="1:15" x14ac:dyDescent="0.3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1">
        <v>45706</v>
      </c>
      <c r="G1276" s="1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f>orders[[#This Row],[Ship Date]]-orders[[#This Row],[Order Date]]</f>
        <v>2</v>
      </c>
      <c r="N1276">
        <f>WEEKNUM(orders[[#This Row],[Order Date]])</f>
        <v>8</v>
      </c>
      <c r="O1276" t="str" cm="1">
        <f t="array" ref="O1276">_xlfn.IFS(orders[[#This Row],[Customer Gender]]="M","Male", orders[[#This Row],[Customer Gender]]="F","Female", orders[[#This Row],[Customer Gender]]="O","Other", TRUE,"Unknown")</f>
        <v>Female</v>
      </c>
    </row>
    <row r="1277" spans="1:15" x14ac:dyDescent="0.3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1">
        <v>45706</v>
      </c>
      <c r="G1277" s="1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f>orders[[#This Row],[Ship Date]]-orders[[#This Row],[Order Date]]</f>
        <v>1</v>
      </c>
      <c r="N1277">
        <f>WEEKNUM(orders[[#This Row],[Order Date]])</f>
        <v>8</v>
      </c>
      <c r="O1277" t="str" cm="1">
        <f t="array" ref="O1277">_xlfn.IFS(orders[[#This Row],[Customer Gender]]="M","Male", orders[[#This Row],[Customer Gender]]="F","Female", orders[[#This Row],[Customer Gender]]="O","Other", TRUE,"Unknown")</f>
        <v>Female</v>
      </c>
    </row>
    <row r="1278" spans="1:15" x14ac:dyDescent="0.3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1">
        <v>45706</v>
      </c>
      <c r="G1278" s="1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f>orders[[#This Row],[Ship Date]]-orders[[#This Row],[Order Date]]</f>
        <v>2</v>
      </c>
      <c r="N1278">
        <f>WEEKNUM(orders[[#This Row],[Order Date]])</f>
        <v>8</v>
      </c>
      <c r="O1278" t="str" cm="1">
        <f t="array" ref="O1278">_xlfn.IFS(orders[[#This Row],[Customer Gender]]="M","Male", orders[[#This Row],[Customer Gender]]="F","Female", orders[[#This Row],[Customer Gender]]="O","Other", TRUE,"Unknown")</f>
        <v>Female</v>
      </c>
    </row>
    <row r="1279" spans="1:15" x14ac:dyDescent="0.3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1">
        <v>45706</v>
      </c>
      <c r="G1279" s="1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f>orders[[#This Row],[Ship Date]]-orders[[#This Row],[Order Date]]</f>
        <v>1</v>
      </c>
      <c r="N1279">
        <f>WEEKNUM(orders[[#This Row],[Order Date]])</f>
        <v>8</v>
      </c>
      <c r="O1279" t="str" cm="1">
        <f t="array" ref="O1279">_xlfn.IFS(orders[[#This Row],[Customer Gender]]="M","Male", orders[[#This Row],[Customer Gender]]="F","Female", orders[[#This Row],[Customer Gender]]="O","Other", TRUE,"Unknown")</f>
        <v>Unknown</v>
      </c>
    </row>
    <row r="1280" spans="1:15" x14ac:dyDescent="0.3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1">
        <v>45706</v>
      </c>
      <c r="G1280" s="1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f>orders[[#This Row],[Ship Date]]-orders[[#This Row],[Order Date]]</f>
        <v>1</v>
      </c>
      <c r="N1280">
        <f>WEEKNUM(orders[[#This Row],[Order Date]])</f>
        <v>8</v>
      </c>
      <c r="O1280" t="str" cm="1">
        <f t="array" ref="O1280">_xlfn.IFS(orders[[#This Row],[Customer Gender]]="M","Male", orders[[#This Row],[Customer Gender]]="F","Female", orders[[#This Row],[Customer Gender]]="O","Other", TRUE,"Unknown")</f>
        <v>Female</v>
      </c>
    </row>
    <row r="1281" spans="1:15" x14ac:dyDescent="0.3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1">
        <v>45706</v>
      </c>
      <c r="G1281" s="1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f>orders[[#This Row],[Ship Date]]-orders[[#This Row],[Order Date]]</f>
        <v>1</v>
      </c>
      <c r="N1281">
        <f>WEEKNUM(orders[[#This Row],[Order Date]])</f>
        <v>8</v>
      </c>
      <c r="O1281" t="str" cm="1">
        <f t="array" ref="O1281">_xlfn.IFS(orders[[#This Row],[Customer Gender]]="M","Male", orders[[#This Row],[Customer Gender]]="F","Female", orders[[#This Row],[Customer Gender]]="O","Other", TRUE,"Unknown")</f>
        <v>Female</v>
      </c>
    </row>
    <row r="1282" spans="1:15" x14ac:dyDescent="0.3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1">
        <v>45706</v>
      </c>
      <c r="G1282" s="1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f>orders[[#This Row],[Ship Date]]-orders[[#This Row],[Order Date]]</f>
        <v>4</v>
      </c>
      <c r="N1282">
        <f>WEEKNUM(orders[[#This Row],[Order Date]])</f>
        <v>8</v>
      </c>
      <c r="O1282" t="str" cm="1">
        <f t="array" ref="O1282">_xlfn.IFS(orders[[#This Row],[Customer Gender]]="M","Male", orders[[#This Row],[Customer Gender]]="F","Female", orders[[#This Row],[Customer Gender]]="O","Other", TRUE,"Unknown")</f>
        <v>Female</v>
      </c>
    </row>
    <row r="1283" spans="1:15" x14ac:dyDescent="0.3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1">
        <v>45706</v>
      </c>
      <c r="G1283" s="1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f>orders[[#This Row],[Ship Date]]-orders[[#This Row],[Order Date]]</f>
        <v>1</v>
      </c>
      <c r="N1283">
        <f>WEEKNUM(orders[[#This Row],[Order Date]])</f>
        <v>8</v>
      </c>
      <c r="O1283" t="str" cm="1">
        <f t="array" ref="O1283">_xlfn.IFS(orders[[#This Row],[Customer Gender]]="M","Male", orders[[#This Row],[Customer Gender]]="F","Female", orders[[#This Row],[Customer Gender]]="O","Other", TRUE,"Unknown")</f>
        <v>Female</v>
      </c>
    </row>
    <row r="1284" spans="1:15" x14ac:dyDescent="0.3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1">
        <v>45706</v>
      </c>
      <c r="G1284" s="1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f>orders[[#This Row],[Ship Date]]-orders[[#This Row],[Order Date]]</f>
        <v>0</v>
      </c>
      <c r="N1284">
        <f>WEEKNUM(orders[[#This Row],[Order Date]])</f>
        <v>8</v>
      </c>
      <c r="O1284" t="str" cm="1">
        <f t="array" ref="O1284">_xlfn.IFS(orders[[#This Row],[Customer Gender]]="M","Male", orders[[#This Row],[Customer Gender]]="F","Female", orders[[#This Row],[Customer Gender]]="O","Other", TRUE,"Unknown")</f>
        <v>Male</v>
      </c>
    </row>
    <row r="1285" spans="1:15" x14ac:dyDescent="0.3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1">
        <v>45706</v>
      </c>
      <c r="G1285" s="1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f>orders[[#This Row],[Ship Date]]-orders[[#This Row],[Order Date]]</f>
        <v>1</v>
      </c>
      <c r="N1285">
        <f>WEEKNUM(orders[[#This Row],[Order Date]])</f>
        <v>8</v>
      </c>
      <c r="O1285" t="str" cm="1">
        <f t="array" ref="O1285">_xlfn.IFS(orders[[#This Row],[Customer Gender]]="M","Male", orders[[#This Row],[Customer Gender]]="F","Female", orders[[#This Row],[Customer Gender]]="O","Other", TRUE,"Unknown")</f>
        <v>Female</v>
      </c>
    </row>
    <row r="1286" spans="1:15" x14ac:dyDescent="0.3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1">
        <v>45706</v>
      </c>
      <c r="G1286" s="1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f>orders[[#This Row],[Ship Date]]-orders[[#This Row],[Order Date]]</f>
        <v>1</v>
      </c>
      <c r="N1286">
        <f>WEEKNUM(orders[[#This Row],[Order Date]])</f>
        <v>8</v>
      </c>
      <c r="O1286" t="str" cm="1">
        <f t="array" ref="O1286">_xlfn.IFS(orders[[#This Row],[Customer Gender]]="M","Male", orders[[#This Row],[Customer Gender]]="F","Female", orders[[#This Row],[Customer Gender]]="O","Other", TRUE,"Unknown")</f>
        <v>Male</v>
      </c>
    </row>
    <row r="1287" spans="1:15" x14ac:dyDescent="0.3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1">
        <v>45706</v>
      </c>
      <c r="G1287" s="1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f>orders[[#This Row],[Ship Date]]-orders[[#This Row],[Order Date]]</f>
        <v>1</v>
      </c>
      <c r="N1287">
        <f>WEEKNUM(orders[[#This Row],[Order Date]])</f>
        <v>8</v>
      </c>
      <c r="O1287" t="str" cm="1">
        <f t="array" ref="O1287">_xlfn.IFS(orders[[#This Row],[Customer Gender]]="M","Male", orders[[#This Row],[Customer Gender]]="F","Female", orders[[#This Row],[Customer Gender]]="O","Other", TRUE,"Unknown")</f>
        <v>Male</v>
      </c>
    </row>
    <row r="1288" spans="1:15" x14ac:dyDescent="0.3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1">
        <v>45707</v>
      </c>
      <c r="G1288" s="1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f>orders[[#This Row],[Ship Date]]-orders[[#This Row],[Order Date]]</f>
        <v>3</v>
      </c>
      <c r="N1288">
        <f>WEEKNUM(orders[[#This Row],[Order Date]])</f>
        <v>8</v>
      </c>
      <c r="O1288" t="str" cm="1">
        <f t="array" ref="O1288">_xlfn.IFS(orders[[#This Row],[Customer Gender]]="M","Male", orders[[#This Row],[Customer Gender]]="F","Female", orders[[#This Row],[Customer Gender]]="O","Other", TRUE,"Unknown")</f>
        <v>Male</v>
      </c>
    </row>
    <row r="1289" spans="1:15" x14ac:dyDescent="0.3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1">
        <v>45707</v>
      </c>
      <c r="G1289" s="1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f>orders[[#This Row],[Ship Date]]-orders[[#This Row],[Order Date]]</f>
        <v>1</v>
      </c>
      <c r="N1289">
        <f>WEEKNUM(orders[[#This Row],[Order Date]])</f>
        <v>8</v>
      </c>
      <c r="O1289" t="str" cm="1">
        <f t="array" ref="O1289">_xlfn.IFS(orders[[#This Row],[Customer Gender]]="M","Male", orders[[#This Row],[Customer Gender]]="F","Female", orders[[#This Row],[Customer Gender]]="O","Other", TRUE,"Unknown")</f>
        <v>Male</v>
      </c>
    </row>
    <row r="1290" spans="1:15" x14ac:dyDescent="0.3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1">
        <v>45707</v>
      </c>
      <c r="G1290" s="1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f>orders[[#This Row],[Ship Date]]-orders[[#This Row],[Order Date]]</f>
        <v>3</v>
      </c>
      <c r="N1290">
        <f>WEEKNUM(orders[[#This Row],[Order Date]])</f>
        <v>8</v>
      </c>
      <c r="O1290" t="str" cm="1">
        <f t="array" ref="O1290">_xlfn.IFS(orders[[#This Row],[Customer Gender]]="M","Male", orders[[#This Row],[Customer Gender]]="F","Female", orders[[#This Row],[Customer Gender]]="O","Other", TRUE,"Unknown")</f>
        <v>Male</v>
      </c>
    </row>
    <row r="1291" spans="1:15" x14ac:dyDescent="0.3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1">
        <v>45707</v>
      </c>
      <c r="G1291" s="1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f>orders[[#This Row],[Ship Date]]-orders[[#This Row],[Order Date]]</f>
        <v>1</v>
      </c>
      <c r="N1291">
        <f>WEEKNUM(orders[[#This Row],[Order Date]])</f>
        <v>8</v>
      </c>
      <c r="O1291" t="str" cm="1">
        <f t="array" ref="O1291">_xlfn.IFS(orders[[#This Row],[Customer Gender]]="M","Male", orders[[#This Row],[Customer Gender]]="F","Female", orders[[#This Row],[Customer Gender]]="O","Other", TRUE,"Unknown")</f>
        <v>Male</v>
      </c>
    </row>
    <row r="1292" spans="1:15" x14ac:dyDescent="0.3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1">
        <v>45707</v>
      </c>
      <c r="G1292" s="1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f>orders[[#This Row],[Ship Date]]-orders[[#This Row],[Order Date]]</f>
        <v>7</v>
      </c>
      <c r="N1292">
        <f>WEEKNUM(orders[[#This Row],[Order Date]])</f>
        <v>8</v>
      </c>
      <c r="O1292" t="str" cm="1">
        <f t="array" ref="O1292">_xlfn.IFS(orders[[#This Row],[Customer Gender]]="M","Male", orders[[#This Row],[Customer Gender]]="F","Female", orders[[#This Row],[Customer Gender]]="O","Other", TRUE,"Unknown")</f>
        <v>Male</v>
      </c>
    </row>
    <row r="1293" spans="1:15" x14ac:dyDescent="0.3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1">
        <v>45707</v>
      </c>
      <c r="G1293" s="1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f>orders[[#This Row],[Ship Date]]-orders[[#This Row],[Order Date]]</f>
        <v>0</v>
      </c>
      <c r="N1293">
        <f>WEEKNUM(orders[[#This Row],[Order Date]])</f>
        <v>8</v>
      </c>
      <c r="O1293" t="str" cm="1">
        <f t="array" ref="O1293">_xlfn.IFS(orders[[#This Row],[Customer Gender]]="M","Male", orders[[#This Row],[Customer Gender]]="F","Female", orders[[#This Row],[Customer Gender]]="O","Other", TRUE,"Unknown")</f>
        <v>Female</v>
      </c>
    </row>
    <row r="1294" spans="1:15" x14ac:dyDescent="0.3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1">
        <v>45707</v>
      </c>
      <c r="G1294" s="1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f>orders[[#This Row],[Ship Date]]-orders[[#This Row],[Order Date]]</f>
        <v>5</v>
      </c>
      <c r="N1294">
        <f>WEEKNUM(orders[[#This Row],[Order Date]])</f>
        <v>8</v>
      </c>
      <c r="O1294" t="str" cm="1">
        <f t="array" ref="O1294">_xlfn.IFS(orders[[#This Row],[Customer Gender]]="M","Male", orders[[#This Row],[Customer Gender]]="F","Female", orders[[#This Row],[Customer Gender]]="O","Other", TRUE,"Unknown")</f>
        <v>Male</v>
      </c>
    </row>
    <row r="1295" spans="1:15" x14ac:dyDescent="0.3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1">
        <v>45707</v>
      </c>
      <c r="G1295" s="1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f>orders[[#This Row],[Ship Date]]-orders[[#This Row],[Order Date]]</f>
        <v>1</v>
      </c>
      <c r="N1295">
        <f>WEEKNUM(orders[[#This Row],[Order Date]])</f>
        <v>8</v>
      </c>
      <c r="O1295" t="str" cm="1">
        <f t="array" ref="O1295">_xlfn.IFS(orders[[#This Row],[Customer Gender]]="M","Male", orders[[#This Row],[Customer Gender]]="F","Female", orders[[#This Row],[Customer Gender]]="O","Other", TRUE,"Unknown")</f>
        <v>Male</v>
      </c>
    </row>
    <row r="1296" spans="1:15" x14ac:dyDescent="0.3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1">
        <v>45707</v>
      </c>
      <c r="G1296" s="1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f>orders[[#This Row],[Ship Date]]-orders[[#This Row],[Order Date]]</f>
        <v>4</v>
      </c>
      <c r="N1296">
        <f>WEEKNUM(orders[[#This Row],[Order Date]])</f>
        <v>8</v>
      </c>
      <c r="O1296" t="str" cm="1">
        <f t="array" ref="O1296">_xlfn.IFS(orders[[#This Row],[Customer Gender]]="M","Male", orders[[#This Row],[Customer Gender]]="F","Female", orders[[#This Row],[Customer Gender]]="O","Other", TRUE,"Unknown")</f>
        <v>Unknown</v>
      </c>
    </row>
    <row r="1297" spans="1:15" x14ac:dyDescent="0.3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1">
        <v>45707</v>
      </c>
      <c r="G1297" s="1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f>orders[[#This Row],[Ship Date]]-orders[[#This Row],[Order Date]]</f>
        <v>2</v>
      </c>
      <c r="N1297">
        <f>WEEKNUM(orders[[#This Row],[Order Date]])</f>
        <v>8</v>
      </c>
      <c r="O1297" t="str" cm="1">
        <f t="array" ref="O1297">_xlfn.IFS(orders[[#This Row],[Customer Gender]]="M","Male", orders[[#This Row],[Customer Gender]]="F","Female", orders[[#This Row],[Customer Gender]]="O","Other", TRUE,"Unknown")</f>
        <v>Male</v>
      </c>
    </row>
    <row r="1298" spans="1:15" x14ac:dyDescent="0.3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1">
        <v>45707</v>
      </c>
      <c r="G1298" s="1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f>orders[[#This Row],[Ship Date]]-orders[[#This Row],[Order Date]]</f>
        <v>3</v>
      </c>
      <c r="N1298">
        <f>WEEKNUM(orders[[#This Row],[Order Date]])</f>
        <v>8</v>
      </c>
      <c r="O1298" t="str" cm="1">
        <f t="array" ref="O1298">_xlfn.IFS(orders[[#This Row],[Customer Gender]]="M","Male", orders[[#This Row],[Customer Gender]]="F","Female", orders[[#This Row],[Customer Gender]]="O","Other", TRUE,"Unknown")</f>
        <v>Female</v>
      </c>
    </row>
    <row r="1299" spans="1:15" x14ac:dyDescent="0.3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1">
        <v>45707</v>
      </c>
      <c r="G1299" s="1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f>orders[[#This Row],[Ship Date]]-orders[[#This Row],[Order Date]]</f>
        <v>1</v>
      </c>
      <c r="N1299">
        <f>WEEKNUM(orders[[#This Row],[Order Date]])</f>
        <v>8</v>
      </c>
      <c r="O1299" t="str" cm="1">
        <f t="array" ref="O1299">_xlfn.IFS(orders[[#This Row],[Customer Gender]]="M","Male", orders[[#This Row],[Customer Gender]]="F","Female", orders[[#This Row],[Customer Gender]]="O","Other", TRUE,"Unknown")</f>
        <v>Female</v>
      </c>
    </row>
    <row r="1300" spans="1:15" x14ac:dyDescent="0.3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1">
        <v>45707</v>
      </c>
      <c r="G1300" s="1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f>orders[[#This Row],[Ship Date]]-orders[[#This Row],[Order Date]]</f>
        <v>5</v>
      </c>
      <c r="N1300">
        <f>WEEKNUM(orders[[#This Row],[Order Date]])</f>
        <v>8</v>
      </c>
      <c r="O1300" t="str" cm="1">
        <f t="array" ref="O1300">_xlfn.IFS(orders[[#This Row],[Customer Gender]]="M","Male", orders[[#This Row],[Customer Gender]]="F","Female", orders[[#This Row],[Customer Gender]]="O","Other", TRUE,"Unknown")</f>
        <v>Female</v>
      </c>
    </row>
    <row r="1301" spans="1:15" x14ac:dyDescent="0.3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1">
        <v>45707</v>
      </c>
      <c r="G1301" s="1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f>orders[[#This Row],[Ship Date]]-orders[[#This Row],[Order Date]]</f>
        <v>1</v>
      </c>
      <c r="N1301">
        <f>WEEKNUM(orders[[#This Row],[Order Date]])</f>
        <v>8</v>
      </c>
      <c r="O1301" t="str" cm="1">
        <f t="array" ref="O1301">_xlfn.IFS(orders[[#This Row],[Customer Gender]]="M","Male", orders[[#This Row],[Customer Gender]]="F","Female", orders[[#This Row],[Customer Gender]]="O","Other", TRUE,"Unknown")</f>
        <v>Female</v>
      </c>
    </row>
    <row r="1302" spans="1:15" x14ac:dyDescent="0.3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1">
        <v>45707</v>
      </c>
      <c r="G1302" s="1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f>orders[[#This Row],[Ship Date]]-orders[[#This Row],[Order Date]]</f>
        <v>1</v>
      </c>
      <c r="N1302">
        <f>WEEKNUM(orders[[#This Row],[Order Date]])</f>
        <v>8</v>
      </c>
      <c r="O1302" t="str" cm="1">
        <f t="array" ref="O1302">_xlfn.IFS(orders[[#This Row],[Customer Gender]]="M","Male", orders[[#This Row],[Customer Gender]]="F","Female", orders[[#This Row],[Customer Gender]]="O","Other", TRUE,"Unknown")</f>
        <v>Female</v>
      </c>
    </row>
    <row r="1303" spans="1:15" x14ac:dyDescent="0.3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1">
        <v>45707</v>
      </c>
      <c r="G1303" s="1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f>orders[[#This Row],[Ship Date]]-orders[[#This Row],[Order Date]]</f>
        <v>1</v>
      </c>
      <c r="N1303">
        <f>WEEKNUM(orders[[#This Row],[Order Date]])</f>
        <v>8</v>
      </c>
      <c r="O1303" t="str" cm="1">
        <f t="array" ref="O1303">_xlfn.IFS(orders[[#This Row],[Customer Gender]]="M","Male", orders[[#This Row],[Customer Gender]]="F","Female", orders[[#This Row],[Customer Gender]]="O","Other", TRUE,"Unknown")</f>
        <v>Male</v>
      </c>
    </row>
    <row r="1304" spans="1:15" x14ac:dyDescent="0.3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1">
        <v>45707</v>
      </c>
      <c r="G1304" s="1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f>orders[[#This Row],[Ship Date]]-orders[[#This Row],[Order Date]]</f>
        <v>5</v>
      </c>
      <c r="N1304">
        <f>WEEKNUM(orders[[#This Row],[Order Date]])</f>
        <v>8</v>
      </c>
      <c r="O1304" t="str" cm="1">
        <f t="array" ref="O1304">_xlfn.IFS(orders[[#This Row],[Customer Gender]]="M","Male", orders[[#This Row],[Customer Gender]]="F","Female", orders[[#This Row],[Customer Gender]]="O","Other", TRUE,"Unknown")</f>
        <v>Male</v>
      </c>
    </row>
    <row r="1305" spans="1:15" x14ac:dyDescent="0.3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1">
        <v>45707</v>
      </c>
      <c r="G1305" s="1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f>orders[[#This Row],[Ship Date]]-orders[[#This Row],[Order Date]]</f>
        <v>2</v>
      </c>
      <c r="N1305">
        <f>WEEKNUM(orders[[#This Row],[Order Date]])</f>
        <v>8</v>
      </c>
      <c r="O1305" t="str" cm="1">
        <f t="array" ref="O1305">_xlfn.IFS(orders[[#This Row],[Customer Gender]]="M","Male", orders[[#This Row],[Customer Gender]]="F","Female", orders[[#This Row],[Customer Gender]]="O","Other", TRUE,"Unknown")</f>
        <v>Female</v>
      </c>
    </row>
    <row r="1306" spans="1:15" x14ac:dyDescent="0.3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1">
        <v>45707</v>
      </c>
      <c r="G1306" s="1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f>orders[[#This Row],[Ship Date]]-orders[[#This Row],[Order Date]]</f>
        <v>1</v>
      </c>
      <c r="N1306">
        <f>WEEKNUM(orders[[#This Row],[Order Date]])</f>
        <v>8</v>
      </c>
      <c r="O1306" t="str" cm="1">
        <f t="array" ref="O1306">_xlfn.IFS(orders[[#This Row],[Customer Gender]]="M","Male", orders[[#This Row],[Customer Gender]]="F","Female", orders[[#This Row],[Customer Gender]]="O","Other", TRUE,"Unknown")</f>
        <v>Female</v>
      </c>
    </row>
    <row r="1307" spans="1:15" x14ac:dyDescent="0.3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1">
        <v>45707</v>
      </c>
      <c r="G1307" s="1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f>orders[[#This Row],[Ship Date]]-orders[[#This Row],[Order Date]]</f>
        <v>9</v>
      </c>
      <c r="N1307">
        <f>WEEKNUM(orders[[#This Row],[Order Date]])</f>
        <v>8</v>
      </c>
      <c r="O1307" t="str" cm="1">
        <f t="array" ref="O1307">_xlfn.IFS(orders[[#This Row],[Customer Gender]]="M","Male", orders[[#This Row],[Customer Gender]]="F","Female", orders[[#This Row],[Customer Gender]]="O","Other", TRUE,"Unknown")</f>
        <v>Female</v>
      </c>
    </row>
    <row r="1308" spans="1:15" x14ac:dyDescent="0.3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1">
        <v>45707</v>
      </c>
      <c r="G1308" s="1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f>orders[[#This Row],[Ship Date]]-orders[[#This Row],[Order Date]]</f>
        <v>2</v>
      </c>
      <c r="N1308">
        <f>WEEKNUM(orders[[#This Row],[Order Date]])</f>
        <v>8</v>
      </c>
      <c r="O1308" t="str" cm="1">
        <f t="array" ref="O1308">_xlfn.IFS(orders[[#This Row],[Customer Gender]]="M","Male", orders[[#This Row],[Customer Gender]]="F","Female", orders[[#This Row],[Customer Gender]]="O","Other", TRUE,"Unknown")</f>
        <v>Male</v>
      </c>
    </row>
    <row r="1309" spans="1:15" x14ac:dyDescent="0.3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1">
        <v>45707</v>
      </c>
      <c r="G1309" s="1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f>orders[[#This Row],[Ship Date]]-orders[[#This Row],[Order Date]]</f>
        <v>1</v>
      </c>
      <c r="N1309">
        <f>WEEKNUM(orders[[#This Row],[Order Date]])</f>
        <v>8</v>
      </c>
      <c r="O1309" t="str" cm="1">
        <f t="array" ref="O1309">_xlfn.IFS(orders[[#This Row],[Customer Gender]]="M","Male", orders[[#This Row],[Customer Gender]]="F","Female", orders[[#This Row],[Customer Gender]]="O","Other", TRUE,"Unknown")</f>
        <v>Female</v>
      </c>
    </row>
    <row r="1310" spans="1:15" x14ac:dyDescent="0.3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1">
        <v>45707</v>
      </c>
      <c r="G1310" s="1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f>orders[[#This Row],[Ship Date]]-orders[[#This Row],[Order Date]]</f>
        <v>2</v>
      </c>
      <c r="N1310">
        <f>WEEKNUM(orders[[#This Row],[Order Date]])</f>
        <v>8</v>
      </c>
      <c r="O1310" t="str" cm="1">
        <f t="array" ref="O1310">_xlfn.IFS(orders[[#This Row],[Customer Gender]]="M","Male", orders[[#This Row],[Customer Gender]]="F","Female", orders[[#This Row],[Customer Gender]]="O","Other", TRUE,"Unknown")</f>
        <v>Male</v>
      </c>
    </row>
    <row r="1311" spans="1:15" x14ac:dyDescent="0.3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1">
        <v>45707</v>
      </c>
      <c r="G1311" s="1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f>orders[[#This Row],[Ship Date]]-orders[[#This Row],[Order Date]]</f>
        <v>4</v>
      </c>
      <c r="N1311">
        <f>WEEKNUM(orders[[#This Row],[Order Date]])</f>
        <v>8</v>
      </c>
      <c r="O1311" t="str" cm="1">
        <f t="array" ref="O1311">_xlfn.IFS(orders[[#This Row],[Customer Gender]]="M","Male", orders[[#This Row],[Customer Gender]]="F","Female", orders[[#This Row],[Customer Gender]]="O","Other", TRUE,"Unknown")</f>
        <v>Male</v>
      </c>
    </row>
    <row r="1312" spans="1:15" x14ac:dyDescent="0.3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1">
        <v>45707</v>
      </c>
      <c r="G1312" s="1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f>orders[[#This Row],[Ship Date]]-orders[[#This Row],[Order Date]]</f>
        <v>6</v>
      </c>
      <c r="N1312">
        <f>WEEKNUM(orders[[#This Row],[Order Date]])</f>
        <v>8</v>
      </c>
      <c r="O1312" t="str" cm="1">
        <f t="array" ref="O1312">_xlfn.IFS(orders[[#This Row],[Customer Gender]]="M","Male", orders[[#This Row],[Customer Gender]]="F","Female", orders[[#This Row],[Customer Gender]]="O","Other", TRUE,"Unknown")</f>
        <v>Male</v>
      </c>
    </row>
    <row r="1313" spans="1:15" x14ac:dyDescent="0.3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1">
        <v>45707</v>
      </c>
      <c r="G1313" s="1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f>orders[[#This Row],[Ship Date]]-orders[[#This Row],[Order Date]]</f>
        <v>2</v>
      </c>
      <c r="N1313">
        <f>WEEKNUM(orders[[#This Row],[Order Date]])</f>
        <v>8</v>
      </c>
      <c r="O1313" t="str" cm="1">
        <f t="array" ref="O1313">_xlfn.IFS(orders[[#This Row],[Customer Gender]]="M","Male", orders[[#This Row],[Customer Gender]]="F","Female", orders[[#This Row],[Customer Gender]]="O","Other", TRUE,"Unknown")</f>
        <v>Male</v>
      </c>
    </row>
    <row r="1314" spans="1:15" x14ac:dyDescent="0.3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1">
        <v>45707</v>
      </c>
      <c r="G1314" s="1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f>orders[[#This Row],[Ship Date]]-orders[[#This Row],[Order Date]]</f>
        <v>2</v>
      </c>
      <c r="N1314">
        <f>WEEKNUM(orders[[#This Row],[Order Date]])</f>
        <v>8</v>
      </c>
      <c r="O1314" t="str" cm="1">
        <f t="array" ref="O1314">_xlfn.IFS(orders[[#This Row],[Customer Gender]]="M","Male", orders[[#This Row],[Customer Gender]]="F","Female", orders[[#This Row],[Customer Gender]]="O","Other", TRUE,"Unknown")</f>
        <v>Female</v>
      </c>
    </row>
    <row r="1315" spans="1:15" x14ac:dyDescent="0.3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1">
        <v>45707</v>
      </c>
      <c r="G1315" s="1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f>orders[[#This Row],[Ship Date]]-orders[[#This Row],[Order Date]]</f>
        <v>1</v>
      </c>
      <c r="N1315">
        <f>WEEKNUM(orders[[#This Row],[Order Date]])</f>
        <v>8</v>
      </c>
      <c r="O1315" t="str" cm="1">
        <f t="array" ref="O1315">_xlfn.IFS(orders[[#This Row],[Customer Gender]]="M","Male", orders[[#This Row],[Customer Gender]]="F","Female", orders[[#This Row],[Customer Gender]]="O","Other", TRUE,"Unknown")</f>
        <v>Female</v>
      </c>
    </row>
    <row r="1316" spans="1:15" x14ac:dyDescent="0.3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1">
        <v>45707</v>
      </c>
      <c r="G1316" s="1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f>orders[[#This Row],[Ship Date]]-orders[[#This Row],[Order Date]]</f>
        <v>3</v>
      </c>
      <c r="N1316">
        <f>WEEKNUM(orders[[#This Row],[Order Date]])</f>
        <v>8</v>
      </c>
      <c r="O1316" t="str" cm="1">
        <f t="array" ref="O1316">_xlfn.IFS(orders[[#This Row],[Customer Gender]]="M","Male", orders[[#This Row],[Customer Gender]]="F","Female", orders[[#This Row],[Customer Gender]]="O","Other", TRUE,"Unknown")</f>
        <v>Female</v>
      </c>
    </row>
    <row r="1317" spans="1:15" x14ac:dyDescent="0.3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1">
        <v>45707</v>
      </c>
      <c r="G1317" s="1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f>orders[[#This Row],[Ship Date]]-orders[[#This Row],[Order Date]]</f>
        <v>5</v>
      </c>
      <c r="N1317">
        <f>WEEKNUM(orders[[#This Row],[Order Date]])</f>
        <v>8</v>
      </c>
      <c r="O1317" t="str" cm="1">
        <f t="array" ref="O1317">_xlfn.IFS(orders[[#This Row],[Customer Gender]]="M","Male", orders[[#This Row],[Customer Gender]]="F","Female", orders[[#This Row],[Customer Gender]]="O","Other", TRUE,"Unknown")</f>
        <v>Unknown</v>
      </c>
    </row>
    <row r="1318" spans="1:15" x14ac:dyDescent="0.3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1">
        <v>45707</v>
      </c>
      <c r="G1318" s="1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f>orders[[#This Row],[Ship Date]]-orders[[#This Row],[Order Date]]</f>
        <v>1</v>
      </c>
      <c r="N1318">
        <f>WEEKNUM(orders[[#This Row],[Order Date]])</f>
        <v>8</v>
      </c>
      <c r="O1318" t="str" cm="1">
        <f t="array" ref="O1318">_xlfn.IFS(orders[[#This Row],[Customer Gender]]="M","Male", orders[[#This Row],[Customer Gender]]="F","Female", orders[[#This Row],[Customer Gender]]="O","Other", TRUE,"Unknown")</f>
        <v>Female</v>
      </c>
    </row>
    <row r="1319" spans="1:15" x14ac:dyDescent="0.3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1">
        <v>45708</v>
      </c>
      <c r="G1319" s="1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f>orders[[#This Row],[Ship Date]]-orders[[#This Row],[Order Date]]</f>
        <v>2</v>
      </c>
      <c r="N1319">
        <f>WEEKNUM(orders[[#This Row],[Order Date]])</f>
        <v>8</v>
      </c>
      <c r="O1319" t="str" cm="1">
        <f t="array" ref="O1319">_xlfn.IFS(orders[[#This Row],[Customer Gender]]="M","Male", orders[[#This Row],[Customer Gender]]="F","Female", orders[[#This Row],[Customer Gender]]="O","Other", TRUE,"Unknown")</f>
        <v>Female</v>
      </c>
    </row>
    <row r="1320" spans="1:15" x14ac:dyDescent="0.3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1">
        <v>45708</v>
      </c>
      <c r="G1320" s="1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f>orders[[#This Row],[Ship Date]]-orders[[#This Row],[Order Date]]</f>
        <v>1</v>
      </c>
      <c r="N1320">
        <f>WEEKNUM(orders[[#This Row],[Order Date]])</f>
        <v>8</v>
      </c>
      <c r="O1320" t="str" cm="1">
        <f t="array" ref="O1320">_xlfn.IFS(orders[[#This Row],[Customer Gender]]="M","Male", orders[[#This Row],[Customer Gender]]="F","Female", orders[[#This Row],[Customer Gender]]="O","Other", TRUE,"Unknown")</f>
        <v>Male</v>
      </c>
    </row>
    <row r="1321" spans="1:15" x14ac:dyDescent="0.3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1">
        <v>45708</v>
      </c>
      <c r="G1321" s="1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f>orders[[#This Row],[Ship Date]]-orders[[#This Row],[Order Date]]</f>
        <v>1</v>
      </c>
      <c r="N1321">
        <f>WEEKNUM(orders[[#This Row],[Order Date]])</f>
        <v>8</v>
      </c>
      <c r="O1321" t="str" cm="1">
        <f t="array" ref="O1321">_xlfn.IFS(orders[[#This Row],[Customer Gender]]="M","Male", orders[[#This Row],[Customer Gender]]="F","Female", orders[[#This Row],[Customer Gender]]="O","Other", TRUE,"Unknown")</f>
        <v>Male</v>
      </c>
    </row>
    <row r="1322" spans="1:15" x14ac:dyDescent="0.3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1">
        <v>45708</v>
      </c>
      <c r="G1322" s="1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f>orders[[#This Row],[Ship Date]]-orders[[#This Row],[Order Date]]</f>
        <v>7</v>
      </c>
      <c r="N1322">
        <f>WEEKNUM(orders[[#This Row],[Order Date]])</f>
        <v>8</v>
      </c>
      <c r="O1322" t="str" cm="1">
        <f t="array" ref="O1322">_xlfn.IFS(orders[[#This Row],[Customer Gender]]="M","Male", orders[[#This Row],[Customer Gender]]="F","Female", orders[[#This Row],[Customer Gender]]="O","Other", TRUE,"Unknown")</f>
        <v>Male</v>
      </c>
    </row>
    <row r="1323" spans="1:15" x14ac:dyDescent="0.3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1">
        <v>45708</v>
      </c>
      <c r="G1323" s="1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f>orders[[#This Row],[Ship Date]]-orders[[#This Row],[Order Date]]</f>
        <v>2</v>
      </c>
      <c r="N1323">
        <f>WEEKNUM(orders[[#This Row],[Order Date]])</f>
        <v>8</v>
      </c>
      <c r="O1323" t="str" cm="1">
        <f t="array" ref="O1323">_xlfn.IFS(orders[[#This Row],[Customer Gender]]="M","Male", orders[[#This Row],[Customer Gender]]="F","Female", orders[[#This Row],[Customer Gender]]="O","Other", TRUE,"Unknown")</f>
        <v>Male</v>
      </c>
    </row>
    <row r="1324" spans="1:15" x14ac:dyDescent="0.3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1">
        <v>45708</v>
      </c>
      <c r="G1324" s="1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f>orders[[#This Row],[Ship Date]]-orders[[#This Row],[Order Date]]</f>
        <v>3</v>
      </c>
      <c r="N1324">
        <f>WEEKNUM(orders[[#This Row],[Order Date]])</f>
        <v>8</v>
      </c>
      <c r="O1324" t="str" cm="1">
        <f t="array" ref="O1324">_xlfn.IFS(orders[[#This Row],[Customer Gender]]="M","Male", orders[[#This Row],[Customer Gender]]="F","Female", orders[[#This Row],[Customer Gender]]="O","Other", TRUE,"Unknown")</f>
        <v>Female</v>
      </c>
    </row>
    <row r="1325" spans="1:15" x14ac:dyDescent="0.3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1">
        <v>45708</v>
      </c>
      <c r="G1325" s="1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f>orders[[#This Row],[Ship Date]]-orders[[#This Row],[Order Date]]</f>
        <v>1</v>
      </c>
      <c r="N1325">
        <f>WEEKNUM(orders[[#This Row],[Order Date]])</f>
        <v>8</v>
      </c>
      <c r="O1325" t="str" cm="1">
        <f t="array" ref="O1325">_xlfn.IFS(orders[[#This Row],[Customer Gender]]="M","Male", orders[[#This Row],[Customer Gender]]="F","Female", orders[[#This Row],[Customer Gender]]="O","Other", TRUE,"Unknown")</f>
        <v>Male</v>
      </c>
    </row>
    <row r="1326" spans="1:15" x14ac:dyDescent="0.3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1">
        <v>45708</v>
      </c>
      <c r="G1326" s="1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f>orders[[#This Row],[Ship Date]]-orders[[#This Row],[Order Date]]</f>
        <v>1</v>
      </c>
      <c r="N1326">
        <f>WEEKNUM(orders[[#This Row],[Order Date]])</f>
        <v>8</v>
      </c>
      <c r="O1326" t="str" cm="1">
        <f t="array" ref="O1326">_xlfn.IFS(orders[[#This Row],[Customer Gender]]="M","Male", orders[[#This Row],[Customer Gender]]="F","Female", orders[[#This Row],[Customer Gender]]="O","Other", TRUE,"Unknown")</f>
        <v>Male</v>
      </c>
    </row>
    <row r="1327" spans="1:15" x14ac:dyDescent="0.3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1">
        <v>45708</v>
      </c>
      <c r="G1327" s="1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f>orders[[#This Row],[Ship Date]]-orders[[#This Row],[Order Date]]</f>
        <v>2</v>
      </c>
      <c r="N1327">
        <f>WEEKNUM(orders[[#This Row],[Order Date]])</f>
        <v>8</v>
      </c>
      <c r="O1327" t="str" cm="1">
        <f t="array" ref="O1327">_xlfn.IFS(orders[[#This Row],[Customer Gender]]="M","Male", orders[[#This Row],[Customer Gender]]="F","Female", orders[[#This Row],[Customer Gender]]="O","Other", TRUE,"Unknown")</f>
        <v>Male</v>
      </c>
    </row>
    <row r="1328" spans="1:15" x14ac:dyDescent="0.3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1">
        <v>45708</v>
      </c>
      <c r="G1328" s="1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f>orders[[#This Row],[Ship Date]]-orders[[#This Row],[Order Date]]</f>
        <v>6</v>
      </c>
      <c r="N1328">
        <f>WEEKNUM(orders[[#This Row],[Order Date]])</f>
        <v>8</v>
      </c>
      <c r="O1328" t="str" cm="1">
        <f t="array" ref="O1328">_xlfn.IFS(orders[[#This Row],[Customer Gender]]="M","Male", orders[[#This Row],[Customer Gender]]="F","Female", orders[[#This Row],[Customer Gender]]="O","Other", TRUE,"Unknown")</f>
        <v>Male</v>
      </c>
    </row>
    <row r="1329" spans="1:15" x14ac:dyDescent="0.3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1">
        <v>45708</v>
      </c>
      <c r="G1329" s="1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f>orders[[#This Row],[Ship Date]]-orders[[#This Row],[Order Date]]</f>
        <v>1</v>
      </c>
      <c r="N1329">
        <f>WEEKNUM(orders[[#This Row],[Order Date]])</f>
        <v>8</v>
      </c>
      <c r="O1329" t="str" cm="1">
        <f t="array" ref="O1329">_xlfn.IFS(orders[[#This Row],[Customer Gender]]="M","Male", orders[[#This Row],[Customer Gender]]="F","Female", orders[[#This Row],[Customer Gender]]="O","Other", TRUE,"Unknown")</f>
        <v>Female</v>
      </c>
    </row>
    <row r="1330" spans="1:15" x14ac:dyDescent="0.3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1">
        <v>45708</v>
      </c>
      <c r="G1330" s="1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f>orders[[#This Row],[Ship Date]]-orders[[#This Row],[Order Date]]</f>
        <v>1</v>
      </c>
      <c r="N1330">
        <f>WEEKNUM(orders[[#This Row],[Order Date]])</f>
        <v>8</v>
      </c>
      <c r="O1330" t="str" cm="1">
        <f t="array" ref="O1330">_xlfn.IFS(orders[[#This Row],[Customer Gender]]="M","Male", orders[[#This Row],[Customer Gender]]="F","Female", orders[[#This Row],[Customer Gender]]="O","Other", TRUE,"Unknown")</f>
        <v>Male</v>
      </c>
    </row>
    <row r="1331" spans="1:15" x14ac:dyDescent="0.3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1">
        <v>45708</v>
      </c>
      <c r="G1331" s="1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f>orders[[#This Row],[Ship Date]]-orders[[#This Row],[Order Date]]</f>
        <v>1</v>
      </c>
      <c r="N1331">
        <f>WEEKNUM(orders[[#This Row],[Order Date]])</f>
        <v>8</v>
      </c>
      <c r="O1331" t="str" cm="1">
        <f t="array" ref="O1331">_xlfn.IFS(orders[[#This Row],[Customer Gender]]="M","Male", orders[[#This Row],[Customer Gender]]="F","Female", orders[[#This Row],[Customer Gender]]="O","Other", TRUE,"Unknown")</f>
        <v>Unknown</v>
      </c>
    </row>
    <row r="1332" spans="1:15" x14ac:dyDescent="0.3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1">
        <v>45708</v>
      </c>
      <c r="G1332" s="1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f>orders[[#This Row],[Ship Date]]-orders[[#This Row],[Order Date]]</f>
        <v>1</v>
      </c>
      <c r="N1332">
        <f>WEEKNUM(orders[[#This Row],[Order Date]])</f>
        <v>8</v>
      </c>
      <c r="O1332" t="str" cm="1">
        <f t="array" ref="O1332">_xlfn.IFS(orders[[#This Row],[Customer Gender]]="M","Male", orders[[#This Row],[Customer Gender]]="F","Female", orders[[#This Row],[Customer Gender]]="O","Other", TRUE,"Unknown")</f>
        <v>Male</v>
      </c>
    </row>
    <row r="1333" spans="1:15" x14ac:dyDescent="0.3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1">
        <v>45708</v>
      </c>
      <c r="G1333" s="1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f>orders[[#This Row],[Ship Date]]-orders[[#This Row],[Order Date]]</f>
        <v>4</v>
      </c>
      <c r="N1333">
        <f>WEEKNUM(orders[[#This Row],[Order Date]])</f>
        <v>8</v>
      </c>
      <c r="O1333" t="str" cm="1">
        <f t="array" ref="O1333">_xlfn.IFS(orders[[#This Row],[Customer Gender]]="M","Male", orders[[#This Row],[Customer Gender]]="F","Female", orders[[#This Row],[Customer Gender]]="O","Other", TRUE,"Unknown")</f>
        <v>Female</v>
      </c>
    </row>
    <row r="1334" spans="1:15" x14ac:dyDescent="0.3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1">
        <v>45708</v>
      </c>
      <c r="G1334" s="1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f>orders[[#This Row],[Ship Date]]-orders[[#This Row],[Order Date]]</f>
        <v>3</v>
      </c>
      <c r="N1334">
        <f>WEEKNUM(orders[[#This Row],[Order Date]])</f>
        <v>8</v>
      </c>
      <c r="O1334" t="str" cm="1">
        <f t="array" ref="O1334">_xlfn.IFS(orders[[#This Row],[Customer Gender]]="M","Male", orders[[#This Row],[Customer Gender]]="F","Female", orders[[#This Row],[Customer Gender]]="O","Other", TRUE,"Unknown")</f>
        <v>Female</v>
      </c>
    </row>
    <row r="1335" spans="1:15" x14ac:dyDescent="0.3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1">
        <v>45708</v>
      </c>
      <c r="G1335" s="1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f>orders[[#This Row],[Ship Date]]-orders[[#This Row],[Order Date]]</f>
        <v>2</v>
      </c>
      <c r="N1335">
        <f>WEEKNUM(orders[[#This Row],[Order Date]])</f>
        <v>8</v>
      </c>
      <c r="O1335" t="str" cm="1">
        <f t="array" ref="O1335">_xlfn.IFS(orders[[#This Row],[Customer Gender]]="M","Male", orders[[#This Row],[Customer Gender]]="F","Female", orders[[#This Row],[Customer Gender]]="O","Other", TRUE,"Unknown")</f>
        <v>Male</v>
      </c>
    </row>
    <row r="1336" spans="1:15" x14ac:dyDescent="0.3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1">
        <v>45708</v>
      </c>
      <c r="G1336" s="1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f>orders[[#This Row],[Ship Date]]-orders[[#This Row],[Order Date]]</f>
        <v>1</v>
      </c>
      <c r="N1336">
        <f>WEEKNUM(orders[[#This Row],[Order Date]])</f>
        <v>8</v>
      </c>
      <c r="O1336" t="str" cm="1">
        <f t="array" ref="O1336">_xlfn.IFS(orders[[#This Row],[Customer Gender]]="M","Male", orders[[#This Row],[Customer Gender]]="F","Female", orders[[#This Row],[Customer Gender]]="O","Other", TRUE,"Unknown")</f>
        <v>Female</v>
      </c>
    </row>
    <row r="1337" spans="1:15" x14ac:dyDescent="0.3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1">
        <v>45708</v>
      </c>
      <c r="G1337" s="1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f>orders[[#This Row],[Ship Date]]-orders[[#This Row],[Order Date]]</f>
        <v>2</v>
      </c>
      <c r="N1337">
        <f>WEEKNUM(orders[[#This Row],[Order Date]])</f>
        <v>8</v>
      </c>
      <c r="O1337" t="str" cm="1">
        <f t="array" ref="O1337">_xlfn.IFS(orders[[#This Row],[Customer Gender]]="M","Male", orders[[#This Row],[Customer Gender]]="F","Female", orders[[#This Row],[Customer Gender]]="O","Other", TRUE,"Unknown")</f>
        <v>Male</v>
      </c>
    </row>
    <row r="1338" spans="1:15" x14ac:dyDescent="0.3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1">
        <v>45708</v>
      </c>
      <c r="G1338" s="1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f>orders[[#This Row],[Ship Date]]-orders[[#This Row],[Order Date]]</f>
        <v>2</v>
      </c>
      <c r="N1338">
        <f>WEEKNUM(orders[[#This Row],[Order Date]])</f>
        <v>8</v>
      </c>
      <c r="O1338" t="str" cm="1">
        <f t="array" ref="O1338">_xlfn.IFS(orders[[#This Row],[Customer Gender]]="M","Male", orders[[#This Row],[Customer Gender]]="F","Female", orders[[#This Row],[Customer Gender]]="O","Other", TRUE,"Unknown")</f>
        <v>Male</v>
      </c>
    </row>
    <row r="1339" spans="1:15" x14ac:dyDescent="0.3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1">
        <v>45708</v>
      </c>
      <c r="G1339" s="1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f>orders[[#This Row],[Ship Date]]-orders[[#This Row],[Order Date]]</f>
        <v>1</v>
      </c>
      <c r="N1339">
        <f>WEEKNUM(orders[[#This Row],[Order Date]])</f>
        <v>8</v>
      </c>
      <c r="O1339" t="str" cm="1">
        <f t="array" ref="O1339">_xlfn.IFS(orders[[#This Row],[Customer Gender]]="M","Male", orders[[#This Row],[Customer Gender]]="F","Female", orders[[#This Row],[Customer Gender]]="O","Other", TRUE,"Unknown")</f>
        <v>Male</v>
      </c>
    </row>
    <row r="1340" spans="1:15" x14ac:dyDescent="0.3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1">
        <v>45708</v>
      </c>
      <c r="G1340" s="1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f>orders[[#This Row],[Ship Date]]-orders[[#This Row],[Order Date]]</f>
        <v>5</v>
      </c>
      <c r="N1340">
        <f>WEEKNUM(orders[[#This Row],[Order Date]])</f>
        <v>8</v>
      </c>
      <c r="O1340" t="str" cm="1">
        <f t="array" ref="O1340">_xlfn.IFS(orders[[#This Row],[Customer Gender]]="M","Male", orders[[#This Row],[Customer Gender]]="F","Female", orders[[#This Row],[Customer Gender]]="O","Other", TRUE,"Unknown")</f>
        <v>Male</v>
      </c>
    </row>
    <row r="1341" spans="1:15" x14ac:dyDescent="0.3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1">
        <v>45708</v>
      </c>
      <c r="G1341" s="1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f>orders[[#This Row],[Ship Date]]-orders[[#This Row],[Order Date]]</f>
        <v>1</v>
      </c>
      <c r="N1341">
        <f>WEEKNUM(orders[[#This Row],[Order Date]])</f>
        <v>8</v>
      </c>
      <c r="O1341" t="str" cm="1">
        <f t="array" ref="O1341">_xlfn.IFS(orders[[#This Row],[Customer Gender]]="M","Male", orders[[#This Row],[Customer Gender]]="F","Female", orders[[#This Row],[Customer Gender]]="O","Other", TRUE,"Unknown")</f>
        <v>Female</v>
      </c>
    </row>
    <row r="1342" spans="1:15" x14ac:dyDescent="0.3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1">
        <v>45708</v>
      </c>
      <c r="G1342" s="1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f>orders[[#This Row],[Ship Date]]-orders[[#This Row],[Order Date]]</f>
        <v>2</v>
      </c>
      <c r="N1342">
        <f>WEEKNUM(orders[[#This Row],[Order Date]])</f>
        <v>8</v>
      </c>
      <c r="O1342" t="str" cm="1">
        <f t="array" ref="O1342">_xlfn.IFS(orders[[#This Row],[Customer Gender]]="M","Male", orders[[#This Row],[Customer Gender]]="F","Female", orders[[#This Row],[Customer Gender]]="O","Other", TRUE,"Unknown")</f>
        <v>Male</v>
      </c>
    </row>
    <row r="1343" spans="1:15" x14ac:dyDescent="0.3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1">
        <v>45708</v>
      </c>
      <c r="G1343" s="1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f>orders[[#This Row],[Ship Date]]-orders[[#This Row],[Order Date]]</f>
        <v>3</v>
      </c>
      <c r="N1343">
        <f>WEEKNUM(orders[[#This Row],[Order Date]])</f>
        <v>8</v>
      </c>
      <c r="O1343" t="str" cm="1">
        <f t="array" ref="O1343">_xlfn.IFS(orders[[#This Row],[Customer Gender]]="M","Male", orders[[#This Row],[Customer Gender]]="F","Female", orders[[#This Row],[Customer Gender]]="O","Other", TRUE,"Unknown")</f>
        <v>Male</v>
      </c>
    </row>
    <row r="1344" spans="1:15" x14ac:dyDescent="0.3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1">
        <v>45708</v>
      </c>
      <c r="G1344" s="1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f>orders[[#This Row],[Ship Date]]-orders[[#This Row],[Order Date]]</f>
        <v>3</v>
      </c>
      <c r="N1344">
        <f>WEEKNUM(orders[[#This Row],[Order Date]])</f>
        <v>8</v>
      </c>
      <c r="O1344" t="str" cm="1">
        <f t="array" ref="O1344">_xlfn.IFS(orders[[#This Row],[Customer Gender]]="M","Male", orders[[#This Row],[Customer Gender]]="F","Female", orders[[#This Row],[Customer Gender]]="O","Other", TRUE,"Unknown")</f>
        <v>Male</v>
      </c>
    </row>
    <row r="1345" spans="1:15" x14ac:dyDescent="0.3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1">
        <v>45708</v>
      </c>
      <c r="G1345" s="1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f>orders[[#This Row],[Ship Date]]-orders[[#This Row],[Order Date]]</f>
        <v>1</v>
      </c>
      <c r="N1345">
        <f>WEEKNUM(orders[[#This Row],[Order Date]])</f>
        <v>8</v>
      </c>
      <c r="O1345" t="str" cm="1">
        <f t="array" ref="O1345">_xlfn.IFS(orders[[#This Row],[Customer Gender]]="M","Male", orders[[#This Row],[Customer Gender]]="F","Female", orders[[#This Row],[Customer Gender]]="O","Other", TRUE,"Unknown")</f>
        <v>Female</v>
      </c>
    </row>
    <row r="1346" spans="1:15" x14ac:dyDescent="0.3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1">
        <v>45708</v>
      </c>
      <c r="G1346" s="1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f>orders[[#This Row],[Ship Date]]-orders[[#This Row],[Order Date]]</f>
        <v>3</v>
      </c>
      <c r="N1346">
        <f>WEEKNUM(orders[[#This Row],[Order Date]])</f>
        <v>8</v>
      </c>
      <c r="O1346" t="str" cm="1">
        <f t="array" ref="O1346">_xlfn.IFS(orders[[#This Row],[Customer Gender]]="M","Male", orders[[#This Row],[Customer Gender]]="F","Female", orders[[#This Row],[Customer Gender]]="O","Other", TRUE,"Unknown")</f>
        <v>Male</v>
      </c>
    </row>
    <row r="1347" spans="1:15" x14ac:dyDescent="0.3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1">
        <v>45708</v>
      </c>
      <c r="G1347" s="1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f>orders[[#This Row],[Ship Date]]-orders[[#This Row],[Order Date]]</f>
        <v>3</v>
      </c>
      <c r="N1347">
        <f>WEEKNUM(orders[[#This Row],[Order Date]])</f>
        <v>8</v>
      </c>
      <c r="O1347" t="str" cm="1">
        <f t="array" ref="O1347">_xlfn.IFS(orders[[#This Row],[Customer Gender]]="M","Male", orders[[#This Row],[Customer Gender]]="F","Female", orders[[#This Row],[Customer Gender]]="O","Other", TRUE,"Unknown")</f>
        <v>Female</v>
      </c>
    </row>
    <row r="1348" spans="1:15" x14ac:dyDescent="0.3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1">
        <v>45708</v>
      </c>
      <c r="G1348" s="1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f>orders[[#This Row],[Ship Date]]-orders[[#This Row],[Order Date]]</f>
        <v>3</v>
      </c>
      <c r="N1348">
        <f>WEEKNUM(orders[[#This Row],[Order Date]])</f>
        <v>8</v>
      </c>
      <c r="O1348" t="str" cm="1">
        <f t="array" ref="O1348">_xlfn.IFS(orders[[#This Row],[Customer Gender]]="M","Male", orders[[#This Row],[Customer Gender]]="F","Female", orders[[#This Row],[Customer Gender]]="O","Other", TRUE,"Unknown")</f>
        <v>Female</v>
      </c>
    </row>
    <row r="1349" spans="1:15" x14ac:dyDescent="0.3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1">
        <v>45708</v>
      </c>
      <c r="G1349" s="1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f>orders[[#This Row],[Ship Date]]-orders[[#This Row],[Order Date]]</f>
        <v>2</v>
      </c>
      <c r="N1349">
        <f>WEEKNUM(orders[[#This Row],[Order Date]])</f>
        <v>8</v>
      </c>
      <c r="O1349" t="str" cm="1">
        <f t="array" ref="O1349">_xlfn.IFS(orders[[#This Row],[Customer Gender]]="M","Male", orders[[#This Row],[Customer Gender]]="F","Female", orders[[#This Row],[Customer Gender]]="O","Other", TRUE,"Unknown")</f>
        <v>Female</v>
      </c>
    </row>
    <row r="1350" spans="1:15" x14ac:dyDescent="0.3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1">
        <v>45708</v>
      </c>
      <c r="G1350" s="1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f>orders[[#This Row],[Ship Date]]-orders[[#This Row],[Order Date]]</f>
        <v>2</v>
      </c>
      <c r="N1350">
        <f>WEEKNUM(orders[[#This Row],[Order Date]])</f>
        <v>8</v>
      </c>
      <c r="O1350" t="str" cm="1">
        <f t="array" ref="O1350">_xlfn.IFS(orders[[#This Row],[Customer Gender]]="M","Male", orders[[#This Row],[Customer Gender]]="F","Female", orders[[#This Row],[Customer Gender]]="O","Other", TRUE,"Unknown")</f>
        <v>Male</v>
      </c>
    </row>
    <row r="1351" spans="1:15" x14ac:dyDescent="0.3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1">
        <v>45709</v>
      </c>
      <c r="G1351" s="1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f>orders[[#This Row],[Ship Date]]-orders[[#This Row],[Order Date]]</f>
        <v>2</v>
      </c>
      <c r="N1351">
        <f>WEEKNUM(orders[[#This Row],[Order Date]])</f>
        <v>8</v>
      </c>
      <c r="O1351" t="str" cm="1">
        <f t="array" ref="O1351">_xlfn.IFS(orders[[#This Row],[Customer Gender]]="M","Male", orders[[#This Row],[Customer Gender]]="F","Female", orders[[#This Row],[Customer Gender]]="O","Other", TRUE,"Unknown")</f>
        <v>Other</v>
      </c>
    </row>
    <row r="1352" spans="1:15" x14ac:dyDescent="0.3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1">
        <v>45709</v>
      </c>
      <c r="G1352" s="1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f>orders[[#This Row],[Ship Date]]-orders[[#This Row],[Order Date]]</f>
        <v>4</v>
      </c>
      <c r="N1352">
        <f>WEEKNUM(orders[[#This Row],[Order Date]])</f>
        <v>8</v>
      </c>
      <c r="O1352" t="str" cm="1">
        <f t="array" ref="O1352">_xlfn.IFS(orders[[#This Row],[Customer Gender]]="M","Male", orders[[#This Row],[Customer Gender]]="F","Female", orders[[#This Row],[Customer Gender]]="O","Other", TRUE,"Unknown")</f>
        <v>Female</v>
      </c>
    </row>
    <row r="1353" spans="1:15" x14ac:dyDescent="0.3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1">
        <v>45709</v>
      </c>
      <c r="G1353" s="1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f>orders[[#This Row],[Ship Date]]-orders[[#This Row],[Order Date]]</f>
        <v>2</v>
      </c>
      <c r="N1353">
        <f>WEEKNUM(orders[[#This Row],[Order Date]])</f>
        <v>8</v>
      </c>
      <c r="O1353" t="str" cm="1">
        <f t="array" ref="O1353">_xlfn.IFS(orders[[#This Row],[Customer Gender]]="M","Male", orders[[#This Row],[Customer Gender]]="F","Female", orders[[#This Row],[Customer Gender]]="O","Other", TRUE,"Unknown")</f>
        <v>Male</v>
      </c>
    </row>
    <row r="1354" spans="1:15" x14ac:dyDescent="0.3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1">
        <v>45709</v>
      </c>
      <c r="G1354" s="1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f>orders[[#This Row],[Ship Date]]-orders[[#This Row],[Order Date]]</f>
        <v>8</v>
      </c>
      <c r="N1354">
        <f>WEEKNUM(orders[[#This Row],[Order Date]])</f>
        <v>8</v>
      </c>
      <c r="O1354" t="str" cm="1">
        <f t="array" ref="O1354">_xlfn.IFS(orders[[#This Row],[Customer Gender]]="M","Male", orders[[#This Row],[Customer Gender]]="F","Female", orders[[#This Row],[Customer Gender]]="O","Other", TRUE,"Unknown")</f>
        <v>Female</v>
      </c>
    </row>
    <row r="1355" spans="1:15" x14ac:dyDescent="0.3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1">
        <v>45709</v>
      </c>
      <c r="G1355" s="1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f>orders[[#This Row],[Ship Date]]-orders[[#This Row],[Order Date]]</f>
        <v>1</v>
      </c>
      <c r="N1355">
        <f>WEEKNUM(orders[[#This Row],[Order Date]])</f>
        <v>8</v>
      </c>
      <c r="O1355" t="str" cm="1">
        <f t="array" ref="O1355">_xlfn.IFS(orders[[#This Row],[Customer Gender]]="M","Male", orders[[#This Row],[Customer Gender]]="F","Female", orders[[#This Row],[Customer Gender]]="O","Other", TRUE,"Unknown")</f>
        <v>Male</v>
      </c>
    </row>
    <row r="1356" spans="1:15" x14ac:dyDescent="0.3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1">
        <v>45709</v>
      </c>
      <c r="G1356" s="1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f>orders[[#This Row],[Ship Date]]-orders[[#This Row],[Order Date]]</f>
        <v>1</v>
      </c>
      <c r="N1356">
        <f>WEEKNUM(orders[[#This Row],[Order Date]])</f>
        <v>8</v>
      </c>
      <c r="O1356" t="str" cm="1">
        <f t="array" ref="O1356">_xlfn.IFS(orders[[#This Row],[Customer Gender]]="M","Male", orders[[#This Row],[Customer Gender]]="F","Female", orders[[#This Row],[Customer Gender]]="O","Other", TRUE,"Unknown")</f>
        <v>Male</v>
      </c>
    </row>
    <row r="1357" spans="1:15" x14ac:dyDescent="0.3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1">
        <v>45709</v>
      </c>
      <c r="G1357" s="1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f>orders[[#This Row],[Ship Date]]-orders[[#This Row],[Order Date]]</f>
        <v>5</v>
      </c>
      <c r="N1357">
        <f>WEEKNUM(orders[[#This Row],[Order Date]])</f>
        <v>8</v>
      </c>
      <c r="O1357" t="str" cm="1">
        <f t="array" ref="O1357">_xlfn.IFS(orders[[#This Row],[Customer Gender]]="M","Male", orders[[#This Row],[Customer Gender]]="F","Female", orders[[#This Row],[Customer Gender]]="O","Other", TRUE,"Unknown")</f>
        <v>Female</v>
      </c>
    </row>
    <row r="1358" spans="1:15" x14ac:dyDescent="0.3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1">
        <v>45709</v>
      </c>
      <c r="G1358" s="1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f>orders[[#This Row],[Ship Date]]-orders[[#This Row],[Order Date]]</f>
        <v>1</v>
      </c>
      <c r="N1358">
        <f>WEEKNUM(orders[[#This Row],[Order Date]])</f>
        <v>8</v>
      </c>
      <c r="O1358" t="str" cm="1">
        <f t="array" ref="O1358">_xlfn.IFS(orders[[#This Row],[Customer Gender]]="M","Male", orders[[#This Row],[Customer Gender]]="F","Female", orders[[#This Row],[Customer Gender]]="O","Other", TRUE,"Unknown")</f>
        <v>Female</v>
      </c>
    </row>
    <row r="1359" spans="1:15" x14ac:dyDescent="0.3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1">
        <v>45709</v>
      </c>
      <c r="G1359" s="1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f>orders[[#This Row],[Ship Date]]-orders[[#This Row],[Order Date]]</f>
        <v>4</v>
      </c>
      <c r="N1359">
        <f>WEEKNUM(orders[[#This Row],[Order Date]])</f>
        <v>8</v>
      </c>
      <c r="O1359" t="str" cm="1">
        <f t="array" ref="O1359">_xlfn.IFS(orders[[#This Row],[Customer Gender]]="M","Male", orders[[#This Row],[Customer Gender]]="F","Female", orders[[#This Row],[Customer Gender]]="O","Other", TRUE,"Unknown")</f>
        <v>Male</v>
      </c>
    </row>
    <row r="1360" spans="1:15" x14ac:dyDescent="0.3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1">
        <v>45709</v>
      </c>
      <c r="G1360" s="1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f>orders[[#This Row],[Ship Date]]-orders[[#This Row],[Order Date]]</f>
        <v>1</v>
      </c>
      <c r="N1360">
        <f>WEEKNUM(orders[[#This Row],[Order Date]])</f>
        <v>8</v>
      </c>
      <c r="O1360" t="str" cm="1">
        <f t="array" ref="O1360">_xlfn.IFS(orders[[#This Row],[Customer Gender]]="M","Male", orders[[#This Row],[Customer Gender]]="F","Female", orders[[#This Row],[Customer Gender]]="O","Other", TRUE,"Unknown")</f>
        <v>Unknown</v>
      </c>
    </row>
    <row r="1361" spans="1:15" x14ac:dyDescent="0.3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1">
        <v>45709</v>
      </c>
      <c r="G1361" s="1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f>orders[[#This Row],[Ship Date]]-orders[[#This Row],[Order Date]]</f>
        <v>1</v>
      </c>
      <c r="N1361">
        <f>WEEKNUM(orders[[#This Row],[Order Date]])</f>
        <v>8</v>
      </c>
      <c r="O1361" t="str" cm="1">
        <f t="array" ref="O1361">_xlfn.IFS(orders[[#This Row],[Customer Gender]]="M","Male", orders[[#This Row],[Customer Gender]]="F","Female", orders[[#This Row],[Customer Gender]]="O","Other", TRUE,"Unknown")</f>
        <v>Male</v>
      </c>
    </row>
    <row r="1362" spans="1:15" x14ac:dyDescent="0.3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1">
        <v>45709</v>
      </c>
      <c r="G1362" s="1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f>orders[[#This Row],[Ship Date]]-orders[[#This Row],[Order Date]]</f>
        <v>1</v>
      </c>
      <c r="N1362">
        <f>WEEKNUM(orders[[#This Row],[Order Date]])</f>
        <v>8</v>
      </c>
      <c r="O1362" t="str" cm="1">
        <f t="array" ref="O1362">_xlfn.IFS(orders[[#This Row],[Customer Gender]]="M","Male", orders[[#This Row],[Customer Gender]]="F","Female", orders[[#This Row],[Customer Gender]]="O","Other", TRUE,"Unknown")</f>
        <v>Female</v>
      </c>
    </row>
    <row r="1363" spans="1:15" x14ac:dyDescent="0.3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1">
        <v>45709</v>
      </c>
      <c r="G1363" s="1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f>orders[[#This Row],[Ship Date]]-orders[[#This Row],[Order Date]]</f>
        <v>1</v>
      </c>
      <c r="N1363">
        <f>WEEKNUM(orders[[#This Row],[Order Date]])</f>
        <v>8</v>
      </c>
      <c r="O1363" t="str" cm="1">
        <f t="array" ref="O1363">_xlfn.IFS(orders[[#This Row],[Customer Gender]]="M","Male", orders[[#This Row],[Customer Gender]]="F","Female", orders[[#This Row],[Customer Gender]]="O","Other", TRUE,"Unknown")</f>
        <v>Male</v>
      </c>
    </row>
    <row r="1364" spans="1:15" x14ac:dyDescent="0.3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1">
        <v>45709</v>
      </c>
      <c r="G1364" s="1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f>orders[[#This Row],[Ship Date]]-orders[[#This Row],[Order Date]]</f>
        <v>1</v>
      </c>
      <c r="N1364">
        <f>WEEKNUM(orders[[#This Row],[Order Date]])</f>
        <v>8</v>
      </c>
      <c r="O1364" t="str" cm="1">
        <f t="array" ref="O1364">_xlfn.IFS(orders[[#This Row],[Customer Gender]]="M","Male", orders[[#This Row],[Customer Gender]]="F","Female", orders[[#This Row],[Customer Gender]]="O","Other", TRUE,"Unknown")</f>
        <v>Unknown</v>
      </c>
    </row>
    <row r="1365" spans="1:15" x14ac:dyDescent="0.3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1">
        <v>45709</v>
      </c>
      <c r="G1365" s="1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f>orders[[#This Row],[Ship Date]]-orders[[#This Row],[Order Date]]</f>
        <v>6</v>
      </c>
      <c r="N1365">
        <f>WEEKNUM(orders[[#This Row],[Order Date]])</f>
        <v>8</v>
      </c>
      <c r="O1365" t="str" cm="1">
        <f t="array" ref="O1365">_xlfn.IFS(orders[[#This Row],[Customer Gender]]="M","Male", orders[[#This Row],[Customer Gender]]="F","Female", orders[[#This Row],[Customer Gender]]="O","Other", TRUE,"Unknown")</f>
        <v>Male</v>
      </c>
    </row>
    <row r="1366" spans="1:15" x14ac:dyDescent="0.3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1">
        <v>45709</v>
      </c>
      <c r="G1366" s="1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f>orders[[#This Row],[Ship Date]]-orders[[#This Row],[Order Date]]</f>
        <v>0</v>
      </c>
      <c r="N1366">
        <f>WEEKNUM(orders[[#This Row],[Order Date]])</f>
        <v>8</v>
      </c>
      <c r="O1366" t="str" cm="1">
        <f t="array" ref="O1366">_xlfn.IFS(orders[[#This Row],[Customer Gender]]="M","Male", orders[[#This Row],[Customer Gender]]="F","Female", orders[[#This Row],[Customer Gender]]="O","Other", TRUE,"Unknown")</f>
        <v>Male</v>
      </c>
    </row>
    <row r="1367" spans="1:15" x14ac:dyDescent="0.3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1">
        <v>45709</v>
      </c>
      <c r="G1367" s="1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f>orders[[#This Row],[Ship Date]]-orders[[#This Row],[Order Date]]</f>
        <v>2</v>
      </c>
      <c r="N1367">
        <f>WEEKNUM(orders[[#This Row],[Order Date]])</f>
        <v>8</v>
      </c>
      <c r="O1367" t="str" cm="1">
        <f t="array" ref="O1367">_xlfn.IFS(orders[[#This Row],[Customer Gender]]="M","Male", orders[[#This Row],[Customer Gender]]="F","Female", orders[[#This Row],[Customer Gender]]="O","Other", TRUE,"Unknown")</f>
        <v>Unknown</v>
      </c>
    </row>
    <row r="1368" spans="1:15" x14ac:dyDescent="0.3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1">
        <v>45709</v>
      </c>
      <c r="G1368" s="1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f>orders[[#This Row],[Ship Date]]-orders[[#This Row],[Order Date]]</f>
        <v>0</v>
      </c>
      <c r="N1368">
        <f>WEEKNUM(orders[[#This Row],[Order Date]])</f>
        <v>8</v>
      </c>
      <c r="O1368" t="str" cm="1">
        <f t="array" ref="O1368">_xlfn.IFS(orders[[#This Row],[Customer Gender]]="M","Male", orders[[#This Row],[Customer Gender]]="F","Female", orders[[#This Row],[Customer Gender]]="O","Other", TRUE,"Unknown")</f>
        <v>Female</v>
      </c>
    </row>
    <row r="1369" spans="1:15" x14ac:dyDescent="0.3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1">
        <v>45709</v>
      </c>
      <c r="G1369" s="1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f>orders[[#This Row],[Ship Date]]-orders[[#This Row],[Order Date]]</f>
        <v>4</v>
      </c>
      <c r="N1369">
        <f>WEEKNUM(orders[[#This Row],[Order Date]])</f>
        <v>8</v>
      </c>
      <c r="O1369" t="str" cm="1">
        <f t="array" ref="O1369">_xlfn.IFS(orders[[#This Row],[Customer Gender]]="M","Male", orders[[#This Row],[Customer Gender]]="F","Female", orders[[#This Row],[Customer Gender]]="O","Other", TRUE,"Unknown")</f>
        <v>Male</v>
      </c>
    </row>
    <row r="1370" spans="1:15" x14ac:dyDescent="0.3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1">
        <v>45709</v>
      </c>
      <c r="G1370" s="1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f>orders[[#This Row],[Ship Date]]-orders[[#This Row],[Order Date]]</f>
        <v>5</v>
      </c>
      <c r="N1370">
        <f>WEEKNUM(orders[[#This Row],[Order Date]])</f>
        <v>8</v>
      </c>
      <c r="O1370" t="str" cm="1">
        <f t="array" ref="O1370">_xlfn.IFS(orders[[#This Row],[Customer Gender]]="M","Male", orders[[#This Row],[Customer Gender]]="F","Female", orders[[#This Row],[Customer Gender]]="O","Other", TRUE,"Unknown")</f>
        <v>Male</v>
      </c>
    </row>
    <row r="1371" spans="1:15" x14ac:dyDescent="0.3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1">
        <v>45709</v>
      </c>
      <c r="G1371" s="1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f>orders[[#This Row],[Ship Date]]-orders[[#This Row],[Order Date]]</f>
        <v>5</v>
      </c>
      <c r="N1371">
        <f>WEEKNUM(orders[[#This Row],[Order Date]])</f>
        <v>8</v>
      </c>
      <c r="O1371" t="str" cm="1">
        <f t="array" ref="O1371">_xlfn.IFS(orders[[#This Row],[Customer Gender]]="M","Male", orders[[#This Row],[Customer Gender]]="F","Female", orders[[#This Row],[Customer Gender]]="O","Other", TRUE,"Unknown")</f>
        <v>Male</v>
      </c>
    </row>
    <row r="1372" spans="1:15" x14ac:dyDescent="0.3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1">
        <v>45709</v>
      </c>
      <c r="G1372" s="1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f>orders[[#This Row],[Ship Date]]-orders[[#This Row],[Order Date]]</f>
        <v>4</v>
      </c>
      <c r="N1372">
        <f>WEEKNUM(orders[[#This Row],[Order Date]])</f>
        <v>8</v>
      </c>
      <c r="O1372" t="str" cm="1">
        <f t="array" ref="O1372">_xlfn.IFS(orders[[#This Row],[Customer Gender]]="M","Male", orders[[#This Row],[Customer Gender]]="F","Female", orders[[#This Row],[Customer Gender]]="O","Other", TRUE,"Unknown")</f>
        <v>Male</v>
      </c>
    </row>
    <row r="1373" spans="1:15" x14ac:dyDescent="0.3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1">
        <v>45709</v>
      </c>
      <c r="G1373" s="1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f>orders[[#This Row],[Ship Date]]-orders[[#This Row],[Order Date]]</f>
        <v>1</v>
      </c>
      <c r="N1373">
        <f>WEEKNUM(orders[[#This Row],[Order Date]])</f>
        <v>8</v>
      </c>
      <c r="O1373" t="str" cm="1">
        <f t="array" ref="O1373">_xlfn.IFS(orders[[#This Row],[Customer Gender]]="M","Male", orders[[#This Row],[Customer Gender]]="F","Female", orders[[#This Row],[Customer Gender]]="O","Other", TRUE,"Unknown")</f>
        <v>Female</v>
      </c>
    </row>
    <row r="1374" spans="1:15" x14ac:dyDescent="0.3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1">
        <v>45709</v>
      </c>
      <c r="G1374" s="1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f>orders[[#This Row],[Ship Date]]-orders[[#This Row],[Order Date]]</f>
        <v>1</v>
      </c>
      <c r="N1374">
        <f>WEEKNUM(orders[[#This Row],[Order Date]])</f>
        <v>8</v>
      </c>
      <c r="O1374" t="str" cm="1">
        <f t="array" ref="O1374">_xlfn.IFS(orders[[#This Row],[Customer Gender]]="M","Male", orders[[#This Row],[Customer Gender]]="F","Female", orders[[#This Row],[Customer Gender]]="O","Other", TRUE,"Unknown")</f>
        <v>Other</v>
      </c>
    </row>
    <row r="1375" spans="1:15" x14ac:dyDescent="0.3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1">
        <v>45709</v>
      </c>
      <c r="G1375" s="1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f>orders[[#This Row],[Ship Date]]-orders[[#This Row],[Order Date]]</f>
        <v>2</v>
      </c>
      <c r="N1375">
        <f>WEEKNUM(orders[[#This Row],[Order Date]])</f>
        <v>8</v>
      </c>
      <c r="O1375" t="str" cm="1">
        <f t="array" ref="O1375">_xlfn.IFS(orders[[#This Row],[Customer Gender]]="M","Male", orders[[#This Row],[Customer Gender]]="F","Female", orders[[#This Row],[Customer Gender]]="O","Other", TRUE,"Unknown")</f>
        <v>Female</v>
      </c>
    </row>
    <row r="1376" spans="1:15" x14ac:dyDescent="0.3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1">
        <v>45709</v>
      </c>
      <c r="G1376" s="1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f>orders[[#This Row],[Ship Date]]-orders[[#This Row],[Order Date]]</f>
        <v>5</v>
      </c>
      <c r="N1376">
        <f>WEEKNUM(orders[[#This Row],[Order Date]])</f>
        <v>8</v>
      </c>
      <c r="O1376" t="str" cm="1">
        <f t="array" ref="O1376">_xlfn.IFS(orders[[#This Row],[Customer Gender]]="M","Male", orders[[#This Row],[Customer Gender]]="F","Female", orders[[#This Row],[Customer Gender]]="O","Other", TRUE,"Unknown")</f>
        <v>Female</v>
      </c>
    </row>
    <row r="1377" spans="1:15" x14ac:dyDescent="0.3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1">
        <v>45709</v>
      </c>
      <c r="G1377" s="1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f>orders[[#This Row],[Ship Date]]-orders[[#This Row],[Order Date]]</f>
        <v>1</v>
      </c>
      <c r="N1377">
        <f>WEEKNUM(orders[[#This Row],[Order Date]])</f>
        <v>8</v>
      </c>
      <c r="O1377" t="str" cm="1">
        <f t="array" ref="O1377">_xlfn.IFS(orders[[#This Row],[Customer Gender]]="M","Male", orders[[#This Row],[Customer Gender]]="F","Female", orders[[#This Row],[Customer Gender]]="O","Other", TRUE,"Unknown")</f>
        <v>Male</v>
      </c>
    </row>
    <row r="1378" spans="1:15" x14ac:dyDescent="0.3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1">
        <v>45709</v>
      </c>
      <c r="G1378" s="1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f>orders[[#This Row],[Ship Date]]-orders[[#This Row],[Order Date]]</f>
        <v>1</v>
      </c>
      <c r="N1378">
        <f>WEEKNUM(orders[[#This Row],[Order Date]])</f>
        <v>8</v>
      </c>
      <c r="O1378" t="str" cm="1">
        <f t="array" ref="O1378">_xlfn.IFS(orders[[#This Row],[Customer Gender]]="M","Male", orders[[#This Row],[Customer Gender]]="F","Female", orders[[#This Row],[Customer Gender]]="O","Other", TRUE,"Unknown")</f>
        <v>Male</v>
      </c>
    </row>
    <row r="1379" spans="1:15" x14ac:dyDescent="0.3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1">
        <v>45709</v>
      </c>
      <c r="G1379" s="1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f>orders[[#This Row],[Ship Date]]-orders[[#This Row],[Order Date]]</f>
        <v>3</v>
      </c>
      <c r="N1379">
        <f>WEEKNUM(orders[[#This Row],[Order Date]])</f>
        <v>8</v>
      </c>
      <c r="O1379" t="str" cm="1">
        <f t="array" ref="O1379">_xlfn.IFS(orders[[#This Row],[Customer Gender]]="M","Male", orders[[#This Row],[Customer Gender]]="F","Female", orders[[#This Row],[Customer Gender]]="O","Other", TRUE,"Unknown")</f>
        <v>Male</v>
      </c>
    </row>
    <row r="1380" spans="1:15" x14ac:dyDescent="0.3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1">
        <v>45709</v>
      </c>
      <c r="G1380" s="1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f>orders[[#This Row],[Ship Date]]-orders[[#This Row],[Order Date]]</f>
        <v>4</v>
      </c>
      <c r="N1380">
        <f>WEEKNUM(orders[[#This Row],[Order Date]])</f>
        <v>8</v>
      </c>
      <c r="O1380" t="str" cm="1">
        <f t="array" ref="O1380">_xlfn.IFS(orders[[#This Row],[Customer Gender]]="M","Male", orders[[#This Row],[Customer Gender]]="F","Female", orders[[#This Row],[Customer Gender]]="O","Other", TRUE,"Unknown")</f>
        <v>Female</v>
      </c>
    </row>
    <row r="1381" spans="1:15" x14ac:dyDescent="0.3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1">
        <v>45709</v>
      </c>
      <c r="G1381" s="1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f>orders[[#This Row],[Ship Date]]-orders[[#This Row],[Order Date]]</f>
        <v>1</v>
      </c>
      <c r="N1381">
        <f>WEEKNUM(orders[[#This Row],[Order Date]])</f>
        <v>8</v>
      </c>
      <c r="O1381" t="str" cm="1">
        <f t="array" ref="O1381">_xlfn.IFS(orders[[#This Row],[Customer Gender]]="M","Male", orders[[#This Row],[Customer Gender]]="F","Female", orders[[#This Row],[Customer Gender]]="O","Other", TRUE,"Unknown")</f>
        <v>Male</v>
      </c>
    </row>
    <row r="1382" spans="1:15" x14ac:dyDescent="0.3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1">
        <v>45709</v>
      </c>
      <c r="G1382" s="1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f>orders[[#This Row],[Ship Date]]-orders[[#This Row],[Order Date]]</f>
        <v>1</v>
      </c>
      <c r="N1382">
        <f>WEEKNUM(orders[[#This Row],[Order Date]])</f>
        <v>8</v>
      </c>
      <c r="O1382" t="str" cm="1">
        <f t="array" ref="O1382">_xlfn.IFS(orders[[#This Row],[Customer Gender]]="M","Male", orders[[#This Row],[Customer Gender]]="F","Female", orders[[#This Row],[Customer Gender]]="O","Other", TRUE,"Unknown")</f>
        <v>Male</v>
      </c>
    </row>
    <row r="1383" spans="1:15" x14ac:dyDescent="0.3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1">
        <v>45709</v>
      </c>
      <c r="G1383" s="1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f>orders[[#This Row],[Ship Date]]-orders[[#This Row],[Order Date]]</f>
        <v>5</v>
      </c>
      <c r="N1383">
        <f>WEEKNUM(orders[[#This Row],[Order Date]])</f>
        <v>8</v>
      </c>
      <c r="O1383" t="str" cm="1">
        <f t="array" ref="O1383">_xlfn.IFS(orders[[#This Row],[Customer Gender]]="M","Male", orders[[#This Row],[Customer Gender]]="F","Female", orders[[#This Row],[Customer Gender]]="O","Other", TRUE,"Unknown")</f>
        <v>Male</v>
      </c>
    </row>
    <row r="1384" spans="1:15" x14ac:dyDescent="0.3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1">
        <v>45709</v>
      </c>
      <c r="G1384" s="1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f>orders[[#This Row],[Ship Date]]-orders[[#This Row],[Order Date]]</f>
        <v>2</v>
      </c>
      <c r="N1384">
        <f>WEEKNUM(orders[[#This Row],[Order Date]])</f>
        <v>8</v>
      </c>
      <c r="O1384" t="str" cm="1">
        <f t="array" ref="O1384">_xlfn.IFS(orders[[#This Row],[Customer Gender]]="M","Male", orders[[#This Row],[Customer Gender]]="F","Female", orders[[#This Row],[Customer Gender]]="O","Other", TRUE,"Unknown")</f>
        <v>Male</v>
      </c>
    </row>
    <row r="1385" spans="1:15" x14ac:dyDescent="0.3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1">
        <v>45709</v>
      </c>
      <c r="G1385" s="1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f>orders[[#This Row],[Ship Date]]-orders[[#This Row],[Order Date]]</f>
        <v>3</v>
      </c>
      <c r="N1385">
        <f>WEEKNUM(orders[[#This Row],[Order Date]])</f>
        <v>8</v>
      </c>
      <c r="O1385" t="str" cm="1">
        <f t="array" ref="O1385">_xlfn.IFS(orders[[#This Row],[Customer Gender]]="M","Male", orders[[#This Row],[Customer Gender]]="F","Female", orders[[#This Row],[Customer Gender]]="O","Other", TRUE,"Unknown")</f>
        <v>Male</v>
      </c>
    </row>
    <row r="1386" spans="1:15" x14ac:dyDescent="0.3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1">
        <v>45709</v>
      </c>
      <c r="G1386" s="1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f>orders[[#This Row],[Ship Date]]-orders[[#This Row],[Order Date]]</f>
        <v>2</v>
      </c>
      <c r="N1386">
        <f>WEEKNUM(orders[[#This Row],[Order Date]])</f>
        <v>8</v>
      </c>
      <c r="O1386" t="str" cm="1">
        <f t="array" ref="O1386">_xlfn.IFS(orders[[#This Row],[Customer Gender]]="M","Male", orders[[#This Row],[Customer Gender]]="F","Female", orders[[#This Row],[Customer Gender]]="O","Other", TRUE,"Unknown")</f>
        <v>Female</v>
      </c>
    </row>
    <row r="1387" spans="1:15" x14ac:dyDescent="0.3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1">
        <v>45709</v>
      </c>
      <c r="G1387" s="1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f>orders[[#This Row],[Ship Date]]-orders[[#This Row],[Order Date]]</f>
        <v>2</v>
      </c>
      <c r="N1387">
        <f>WEEKNUM(orders[[#This Row],[Order Date]])</f>
        <v>8</v>
      </c>
      <c r="O1387" t="str" cm="1">
        <f t="array" ref="O1387">_xlfn.IFS(orders[[#This Row],[Customer Gender]]="M","Male", orders[[#This Row],[Customer Gender]]="F","Female", orders[[#This Row],[Customer Gender]]="O","Other", TRUE,"Unknown")</f>
        <v>Male</v>
      </c>
    </row>
    <row r="1388" spans="1:15" x14ac:dyDescent="0.3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1">
        <v>45709</v>
      </c>
      <c r="G1388" s="1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f>orders[[#This Row],[Ship Date]]-orders[[#This Row],[Order Date]]</f>
        <v>3</v>
      </c>
      <c r="N1388">
        <f>WEEKNUM(orders[[#This Row],[Order Date]])</f>
        <v>8</v>
      </c>
      <c r="O1388" t="str" cm="1">
        <f t="array" ref="O1388">_xlfn.IFS(orders[[#This Row],[Customer Gender]]="M","Male", orders[[#This Row],[Customer Gender]]="F","Female", orders[[#This Row],[Customer Gender]]="O","Other", TRUE,"Unknown")</f>
        <v>Male</v>
      </c>
    </row>
    <row r="1389" spans="1:15" x14ac:dyDescent="0.3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1">
        <v>45710</v>
      </c>
      <c r="G1389" s="1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f>orders[[#This Row],[Ship Date]]-orders[[#This Row],[Order Date]]</f>
        <v>1</v>
      </c>
      <c r="N1389">
        <f>WEEKNUM(orders[[#This Row],[Order Date]])</f>
        <v>8</v>
      </c>
      <c r="O1389" t="str" cm="1">
        <f t="array" ref="O1389">_xlfn.IFS(orders[[#This Row],[Customer Gender]]="M","Male", orders[[#This Row],[Customer Gender]]="F","Female", orders[[#This Row],[Customer Gender]]="O","Other", TRUE,"Unknown")</f>
        <v>Male</v>
      </c>
    </row>
    <row r="1390" spans="1:15" x14ac:dyDescent="0.3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1">
        <v>45710</v>
      </c>
      <c r="G1390" s="1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f>orders[[#This Row],[Ship Date]]-orders[[#This Row],[Order Date]]</f>
        <v>2</v>
      </c>
      <c r="N1390">
        <f>WEEKNUM(orders[[#This Row],[Order Date]])</f>
        <v>8</v>
      </c>
      <c r="O1390" t="str" cm="1">
        <f t="array" ref="O1390">_xlfn.IFS(orders[[#This Row],[Customer Gender]]="M","Male", orders[[#This Row],[Customer Gender]]="F","Female", orders[[#This Row],[Customer Gender]]="O","Other", TRUE,"Unknown")</f>
        <v>Unknown</v>
      </c>
    </row>
    <row r="1391" spans="1:15" x14ac:dyDescent="0.3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1">
        <v>45710</v>
      </c>
      <c r="G1391" s="1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f>orders[[#This Row],[Ship Date]]-orders[[#This Row],[Order Date]]</f>
        <v>2</v>
      </c>
      <c r="N1391">
        <f>WEEKNUM(orders[[#This Row],[Order Date]])</f>
        <v>8</v>
      </c>
      <c r="O1391" t="str" cm="1">
        <f t="array" ref="O1391">_xlfn.IFS(orders[[#This Row],[Customer Gender]]="M","Male", orders[[#This Row],[Customer Gender]]="F","Female", orders[[#This Row],[Customer Gender]]="O","Other", TRUE,"Unknown")</f>
        <v>Male</v>
      </c>
    </row>
    <row r="1392" spans="1:15" x14ac:dyDescent="0.3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1">
        <v>45710</v>
      </c>
      <c r="G1392" s="1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f>orders[[#This Row],[Ship Date]]-orders[[#This Row],[Order Date]]</f>
        <v>5</v>
      </c>
      <c r="N1392">
        <f>WEEKNUM(orders[[#This Row],[Order Date]])</f>
        <v>8</v>
      </c>
      <c r="O1392" t="str" cm="1">
        <f t="array" ref="O1392">_xlfn.IFS(orders[[#This Row],[Customer Gender]]="M","Male", orders[[#This Row],[Customer Gender]]="F","Female", orders[[#This Row],[Customer Gender]]="O","Other", TRUE,"Unknown")</f>
        <v>Male</v>
      </c>
    </row>
    <row r="1393" spans="1:15" x14ac:dyDescent="0.3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1">
        <v>45710</v>
      </c>
      <c r="G1393" s="1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f>orders[[#This Row],[Ship Date]]-orders[[#This Row],[Order Date]]</f>
        <v>2</v>
      </c>
      <c r="N1393">
        <f>WEEKNUM(orders[[#This Row],[Order Date]])</f>
        <v>8</v>
      </c>
      <c r="O1393" t="str" cm="1">
        <f t="array" ref="O1393">_xlfn.IFS(orders[[#This Row],[Customer Gender]]="M","Male", orders[[#This Row],[Customer Gender]]="F","Female", orders[[#This Row],[Customer Gender]]="O","Other", TRUE,"Unknown")</f>
        <v>Female</v>
      </c>
    </row>
    <row r="1394" spans="1:15" x14ac:dyDescent="0.3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1">
        <v>45710</v>
      </c>
      <c r="G1394" s="1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f>orders[[#This Row],[Ship Date]]-orders[[#This Row],[Order Date]]</f>
        <v>1</v>
      </c>
      <c r="N1394">
        <f>WEEKNUM(orders[[#This Row],[Order Date]])</f>
        <v>8</v>
      </c>
      <c r="O1394" t="str" cm="1">
        <f t="array" ref="O1394">_xlfn.IFS(orders[[#This Row],[Customer Gender]]="M","Male", orders[[#This Row],[Customer Gender]]="F","Female", orders[[#This Row],[Customer Gender]]="O","Other", TRUE,"Unknown")</f>
        <v>Male</v>
      </c>
    </row>
    <row r="1395" spans="1:15" x14ac:dyDescent="0.3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1">
        <v>45710</v>
      </c>
      <c r="G1395" s="1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f>orders[[#This Row],[Ship Date]]-orders[[#This Row],[Order Date]]</f>
        <v>3</v>
      </c>
      <c r="N1395">
        <f>WEEKNUM(orders[[#This Row],[Order Date]])</f>
        <v>8</v>
      </c>
      <c r="O1395" t="str" cm="1">
        <f t="array" ref="O1395">_xlfn.IFS(orders[[#This Row],[Customer Gender]]="M","Male", orders[[#This Row],[Customer Gender]]="F","Female", orders[[#This Row],[Customer Gender]]="O","Other", TRUE,"Unknown")</f>
        <v>Male</v>
      </c>
    </row>
    <row r="1396" spans="1:15" x14ac:dyDescent="0.3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1">
        <v>45710</v>
      </c>
      <c r="G1396" s="1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f>orders[[#This Row],[Ship Date]]-orders[[#This Row],[Order Date]]</f>
        <v>1</v>
      </c>
      <c r="N1396">
        <f>WEEKNUM(orders[[#This Row],[Order Date]])</f>
        <v>8</v>
      </c>
      <c r="O1396" t="str" cm="1">
        <f t="array" ref="O1396">_xlfn.IFS(orders[[#This Row],[Customer Gender]]="M","Male", orders[[#This Row],[Customer Gender]]="F","Female", orders[[#This Row],[Customer Gender]]="O","Other", TRUE,"Unknown")</f>
        <v>Male</v>
      </c>
    </row>
    <row r="1397" spans="1:15" x14ac:dyDescent="0.3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1">
        <v>45710</v>
      </c>
      <c r="G1397" s="1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f>orders[[#This Row],[Ship Date]]-orders[[#This Row],[Order Date]]</f>
        <v>1</v>
      </c>
      <c r="N1397">
        <f>WEEKNUM(orders[[#This Row],[Order Date]])</f>
        <v>8</v>
      </c>
      <c r="O1397" t="str" cm="1">
        <f t="array" ref="O1397">_xlfn.IFS(orders[[#This Row],[Customer Gender]]="M","Male", orders[[#This Row],[Customer Gender]]="F","Female", orders[[#This Row],[Customer Gender]]="O","Other", TRUE,"Unknown")</f>
        <v>Male</v>
      </c>
    </row>
    <row r="1398" spans="1:15" x14ac:dyDescent="0.3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1">
        <v>45710</v>
      </c>
      <c r="G1398" s="1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f>orders[[#This Row],[Ship Date]]-orders[[#This Row],[Order Date]]</f>
        <v>1</v>
      </c>
      <c r="N1398">
        <f>WEEKNUM(orders[[#This Row],[Order Date]])</f>
        <v>8</v>
      </c>
      <c r="O1398" t="str" cm="1">
        <f t="array" ref="O1398">_xlfn.IFS(orders[[#This Row],[Customer Gender]]="M","Male", orders[[#This Row],[Customer Gender]]="F","Female", orders[[#This Row],[Customer Gender]]="O","Other", TRUE,"Unknown")</f>
        <v>Male</v>
      </c>
    </row>
    <row r="1399" spans="1:15" x14ac:dyDescent="0.3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1">
        <v>45710</v>
      </c>
      <c r="G1399" s="1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f>orders[[#This Row],[Ship Date]]-orders[[#This Row],[Order Date]]</f>
        <v>3</v>
      </c>
      <c r="N1399">
        <f>WEEKNUM(orders[[#This Row],[Order Date]])</f>
        <v>8</v>
      </c>
      <c r="O1399" t="str" cm="1">
        <f t="array" ref="O1399">_xlfn.IFS(orders[[#This Row],[Customer Gender]]="M","Male", orders[[#This Row],[Customer Gender]]="F","Female", orders[[#This Row],[Customer Gender]]="O","Other", TRUE,"Unknown")</f>
        <v>Female</v>
      </c>
    </row>
    <row r="1400" spans="1:15" x14ac:dyDescent="0.3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1">
        <v>45710</v>
      </c>
      <c r="G1400" s="1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f>orders[[#This Row],[Ship Date]]-orders[[#This Row],[Order Date]]</f>
        <v>0</v>
      </c>
      <c r="N1400">
        <f>WEEKNUM(orders[[#This Row],[Order Date]])</f>
        <v>8</v>
      </c>
      <c r="O1400" t="str" cm="1">
        <f t="array" ref="O1400">_xlfn.IFS(orders[[#This Row],[Customer Gender]]="M","Male", orders[[#This Row],[Customer Gender]]="F","Female", orders[[#This Row],[Customer Gender]]="O","Other", TRUE,"Unknown")</f>
        <v>Female</v>
      </c>
    </row>
    <row r="1401" spans="1:15" x14ac:dyDescent="0.3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1">
        <v>45710</v>
      </c>
      <c r="G1401" s="1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f>orders[[#This Row],[Ship Date]]-orders[[#This Row],[Order Date]]</f>
        <v>3</v>
      </c>
      <c r="N1401">
        <f>WEEKNUM(orders[[#This Row],[Order Date]])</f>
        <v>8</v>
      </c>
      <c r="O1401" t="str" cm="1">
        <f t="array" ref="O1401">_xlfn.IFS(orders[[#This Row],[Customer Gender]]="M","Male", orders[[#This Row],[Customer Gender]]="F","Female", orders[[#This Row],[Customer Gender]]="O","Other", TRUE,"Unknown")</f>
        <v>Male</v>
      </c>
    </row>
    <row r="1402" spans="1:15" x14ac:dyDescent="0.3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1">
        <v>45710</v>
      </c>
      <c r="G1402" s="1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f>orders[[#This Row],[Ship Date]]-orders[[#This Row],[Order Date]]</f>
        <v>1</v>
      </c>
      <c r="N1402">
        <f>WEEKNUM(orders[[#This Row],[Order Date]])</f>
        <v>8</v>
      </c>
      <c r="O1402" t="str" cm="1">
        <f t="array" ref="O1402">_xlfn.IFS(orders[[#This Row],[Customer Gender]]="M","Male", orders[[#This Row],[Customer Gender]]="F","Female", orders[[#This Row],[Customer Gender]]="O","Other", TRUE,"Unknown")</f>
        <v>Female</v>
      </c>
    </row>
    <row r="1403" spans="1:15" x14ac:dyDescent="0.3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1">
        <v>45710</v>
      </c>
      <c r="G1403" s="1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f>orders[[#This Row],[Ship Date]]-orders[[#This Row],[Order Date]]</f>
        <v>1</v>
      </c>
      <c r="N1403">
        <f>WEEKNUM(orders[[#This Row],[Order Date]])</f>
        <v>8</v>
      </c>
      <c r="O1403" t="str" cm="1">
        <f t="array" ref="O1403">_xlfn.IFS(orders[[#This Row],[Customer Gender]]="M","Male", orders[[#This Row],[Customer Gender]]="F","Female", orders[[#This Row],[Customer Gender]]="O","Other", TRUE,"Unknown")</f>
        <v>Female</v>
      </c>
    </row>
    <row r="1404" spans="1:15" x14ac:dyDescent="0.3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1">
        <v>45710</v>
      </c>
      <c r="G1404" s="1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f>orders[[#This Row],[Ship Date]]-orders[[#This Row],[Order Date]]</f>
        <v>5</v>
      </c>
      <c r="N1404">
        <f>WEEKNUM(orders[[#This Row],[Order Date]])</f>
        <v>8</v>
      </c>
      <c r="O1404" t="str" cm="1">
        <f t="array" ref="O1404">_xlfn.IFS(orders[[#This Row],[Customer Gender]]="M","Male", orders[[#This Row],[Customer Gender]]="F","Female", orders[[#This Row],[Customer Gender]]="O","Other", TRUE,"Unknown")</f>
        <v>Male</v>
      </c>
    </row>
    <row r="1405" spans="1:15" x14ac:dyDescent="0.3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1">
        <v>45710</v>
      </c>
      <c r="G1405" s="1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f>orders[[#This Row],[Ship Date]]-orders[[#This Row],[Order Date]]</f>
        <v>3</v>
      </c>
      <c r="N1405">
        <f>WEEKNUM(orders[[#This Row],[Order Date]])</f>
        <v>8</v>
      </c>
      <c r="O1405" t="str" cm="1">
        <f t="array" ref="O1405">_xlfn.IFS(orders[[#This Row],[Customer Gender]]="M","Male", orders[[#This Row],[Customer Gender]]="F","Female", orders[[#This Row],[Customer Gender]]="O","Other", TRUE,"Unknown")</f>
        <v>Male</v>
      </c>
    </row>
    <row r="1406" spans="1:15" x14ac:dyDescent="0.3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1">
        <v>45710</v>
      </c>
      <c r="G1406" s="1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f>orders[[#This Row],[Ship Date]]-orders[[#This Row],[Order Date]]</f>
        <v>4</v>
      </c>
      <c r="N1406">
        <f>WEEKNUM(orders[[#This Row],[Order Date]])</f>
        <v>8</v>
      </c>
      <c r="O1406" t="str" cm="1">
        <f t="array" ref="O1406">_xlfn.IFS(orders[[#This Row],[Customer Gender]]="M","Male", orders[[#This Row],[Customer Gender]]="F","Female", orders[[#This Row],[Customer Gender]]="O","Other", TRUE,"Unknown")</f>
        <v>Female</v>
      </c>
    </row>
    <row r="1407" spans="1:15" x14ac:dyDescent="0.3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1">
        <v>45710</v>
      </c>
      <c r="G1407" s="1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f>orders[[#This Row],[Ship Date]]-orders[[#This Row],[Order Date]]</f>
        <v>1</v>
      </c>
      <c r="N1407">
        <f>WEEKNUM(orders[[#This Row],[Order Date]])</f>
        <v>8</v>
      </c>
      <c r="O1407" t="str" cm="1">
        <f t="array" ref="O1407">_xlfn.IFS(orders[[#This Row],[Customer Gender]]="M","Male", orders[[#This Row],[Customer Gender]]="F","Female", orders[[#This Row],[Customer Gender]]="O","Other", TRUE,"Unknown")</f>
        <v>Female</v>
      </c>
    </row>
    <row r="1408" spans="1:15" x14ac:dyDescent="0.3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1">
        <v>45710</v>
      </c>
      <c r="G1408" s="1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f>orders[[#This Row],[Ship Date]]-orders[[#This Row],[Order Date]]</f>
        <v>5</v>
      </c>
      <c r="N1408">
        <f>WEEKNUM(orders[[#This Row],[Order Date]])</f>
        <v>8</v>
      </c>
      <c r="O1408" t="str" cm="1">
        <f t="array" ref="O1408">_xlfn.IFS(orders[[#This Row],[Customer Gender]]="M","Male", orders[[#This Row],[Customer Gender]]="F","Female", orders[[#This Row],[Customer Gender]]="O","Other", TRUE,"Unknown")</f>
        <v>Female</v>
      </c>
    </row>
    <row r="1409" spans="1:15" x14ac:dyDescent="0.3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1">
        <v>45710</v>
      </c>
      <c r="G1409" s="1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f>orders[[#This Row],[Ship Date]]-orders[[#This Row],[Order Date]]</f>
        <v>0</v>
      </c>
      <c r="N1409">
        <f>WEEKNUM(orders[[#This Row],[Order Date]])</f>
        <v>8</v>
      </c>
      <c r="O1409" t="str" cm="1">
        <f t="array" ref="O1409">_xlfn.IFS(orders[[#This Row],[Customer Gender]]="M","Male", orders[[#This Row],[Customer Gender]]="F","Female", orders[[#This Row],[Customer Gender]]="O","Other", TRUE,"Unknown")</f>
        <v>Male</v>
      </c>
    </row>
    <row r="1410" spans="1:15" x14ac:dyDescent="0.3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1">
        <v>45710</v>
      </c>
      <c r="G1410" s="1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f>orders[[#This Row],[Ship Date]]-orders[[#This Row],[Order Date]]</f>
        <v>2</v>
      </c>
      <c r="N1410">
        <f>WEEKNUM(orders[[#This Row],[Order Date]])</f>
        <v>8</v>
      </c>
      <c r="O1410" t="str" cm="1">
        <f t="array" ref="O1410">_xlfn.IFS(orders[[#This Row],[Customer Gender]]="M","Male", orders[[#This Row],[Customer Gender]]="F","Female", orders[[#This Row],[Customer Gender]]="O","Other", TRUE,"Unknown")</f>
        <v>Male</v>
      </c>
    </row>
    <row r="1411" spans="1:15" x14ac:dyDescent="0.3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1">
        <v>45710</v>
      </c>
      <c r="G1411" s="1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f>orders[[#This Row],[Ship Date]]-orders[[#This Row],[Order Date]]</f>
        <v>1</v>
      </c>
      <c r="N1411">
        <f>WEEKNUM(orders[[#This Row],[Order Date]])</f>
        <v>8</v>
      </c>
      <c r="O1411" t="str" cm="1">
        <f t="array" ref="O1411">_xlfn.IFS(orders[[#This Row],[Customer Gender]]="M","Male", orders[[#This Row],[Customer Gender]]="F","Female", orders[[#This Row],[Customer Gender]]="O","Other", TRUE,"Unknown")</f>
        <v>Other</v>
      </c>
    </row>
    <row r="1412" spans="1:15" x14ac:dyDescent="0.3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1">
        <v>45710</v>
      </c>
      <c r="G1412" s="1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f>orders[[#This Row],[Ship Date]]-orders[[#This Row],[Order Date]]</f>
        <v>0</v>
      </c>
      <c r="N1412">
        <f>WEEKNUM(orders[[#This Row],[Order Date]])</f>
        <v>8</v>
      </c>
      <c r="O1412" t="str" cm="1">
        <f t="array" ref="O1412">_xlfn.IFS(orders[[#This Row],[Customer Gender]]="M","Male", orders[[#This Row],[Customer Gender]]="F","Female", orders[[#This Row],[Customer Gender]]="O","Other", TRUE,"Unknown")</f>
        <v>Female</v>
      </c>
    </row>
    <row r="1413" spans="1:15" x14ac:dyDescent="0.3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1">
        <v>45711</v>
      </c>
      <c r="G1413" s="1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f>orders[[#This Row],[Ship Date]]-orders[[#This Row],[Order Date]]</f>
        <v>2</v>
      </c>
      <c r="N1413">
        <f>WEEKNUM(orders[[#This Row],[Order Date]])</f>
        <v>9</v>
      </c>
      <c r="O1413" t="str" cm="1">
        <f t="array" ref="O1413">_xlfn.IFS(orders[[#This Row],[Customer Gender]]="M","Male", orders[[#This Row],[Customer Gender]]="F","Female", orders[[#This Row],[Customer Gender]]="O","Other", TRUE,"Unknown")</f>
        <v>Other</v>
      </c>
    </row>
    <row r="1414" spans="1:15" x14ac:dyDescent="0.3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1">
        <v>45711</v>
      </c>
      <c r="G1414" s="1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f>orders[[#This Row],[Ship Date]]-orders[[#This Row],[Order Date]]</f>
        <v>1</v>
      </c>
      <c r="N1414">
        <f>WEEKNUM(orders[[#This Row],[Order Date]])</f>
        <v>9</v>
      </c>
      <c r="O1414" t="str" cm="1">
        <f t="array" ref="O1414">_xlfn.IFS(orders[[#This Row],[Customer Gender]]="M","Male", orders[[#This Row],[Customer Gender]]="F","Female", orders[[#This Row],[Customer Gender]]="O","Other", TRUE,"Unknown")</f>
        <v>Female</v>
      </c>
    </row>
    <row r="1415" spans="1:15" x14ac:dyDescent="0.3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1">
        <v>45711</v>
      </c>
      <c r="G1415" s="1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f>orders[[#This Row],[Ship Date]]-orders[[#This Row],[Order Date]]</f>
        <v>1</v>
      </c>
      <c r="N1415">
        <f>WEEKNUM(orders[[#This Row],[Order Date]])</f>
        <v>9</v>
      </c>
      <c r="O1415" t="str" cm="1">
        <f t="array" ref="O1415">_xlfn.IFS(orders[[#This Row],[Customer Gender]]="M","Male", orders[[#This Row],[Customer Gender]]="F","Female", orders[[#This Row],[Customer Gender]]="O","Other", TRUE,"Unknown")</f>
        <v>Female</v>
      </c>
    </row>
    <row r="1416" spans="1:15" x14ac:dyDescent="0.3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1">
        <v>45711</v>
      </c>
      <c r="G1416" s="1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f>orders[[#This Row],[Ship Date]]-orders[[#This Row],[Order Date]]</f>
        <v>2</v>
      </c>
      <c r="N1416">
        <f>WEEKNUM(orders[[#This Row],[Order Date]])</f>
        <v>9</v>
      </c>
      <c r="O1416" t="str" cm="1">
        <f t="array" ref="O1416">_xlfn.IFS(orders[[#This Row],[Customer Gender]]="M","Male", orders[[#This Row],[Customer Gender]]="F","Female", orders[[#This Row],[Customer Gender]]="O","Other", TRUE,"Unknown")</f>
        <v>Female</v>
      </c>
    </row>
    <row r="1417" spans="1:15" x14ac:dyDescent="0.3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1">
        <v>45711</v>
      </c>
      <c r="G1417" s="1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f>orders[[#This Row],[Ship Date]]-orders[[#This Row],[Order Date]]</f>
        <v>2</v>
      </c>
      <c r="N1417">
        <f>WEEKNUM(orders[[#This Row],[Order Date]])</f>
        <v>9</v>
      </c>
      <c r="O1417" t="str" cm="1">
        <f t="array" ref="O1417">_xlfn.IFS(orders[[#This Row],[Customer Gender]]="M","Male", orders[[#This Row],[Customer Gender]]="F","Female", orders[[#This Row],[Customer Gender]]="O","Other", TRUE,"Unknown")</f>
        <v>Female</v>
      </c>
    </row>
    <row r="1418" spans="1:15" x14ac:dyDescent="0.3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1">
        <v>45711</v>
      </c>
      <c r="G1418" s="1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f>orders[[#This Row],[Ship Date]]-orders[[#This Row],[Order Date]]</f>
        <v>1</v>
      </c>
      <c r="N1418">
        <f>WEEKNUM(orders[[#This Row],[Order Date]])</f>
        <v>9</v>
      </c>
      <c r="O1418" t="str" cm="1">
        <f t="array" ref="O1418">_xlfn.IFS(orders[[#This Row],[Customer Gender]]="M","Male", orders[[#This Row],[Customer Gender]]="F","Female", orders[[#This Row],[Customer Gender]]="O","Other", TRUE,"Unknown")</f>
        <v>Female</v>
      </c>
    </row>
    <row r="1419" spans="1:15" x14ac:dyDescent="0.3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1">
        <v>45711</v>
      </c>
      <c r="G1419" s="1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f>orders[[#This Row],[Ship Date]]-orders[[#This Row],[Order Date]]</f>
        <v>4</v>
      </c>
      <c r="N1419">
        <f>WEEKNUM(orders[[#This Row],[Order Date]])</f>
        <v>9</v>
      </c>
      <c r="O1419" t="str" cm="1">
        <f t="array" ref="O1419">_xlfn.IFS(orders[[#This Row],[Customer Gender]]="M","Male", orders[[#This Row],[Customer Gender]]="F","Female", orders[[#This Row],[Customer Gender]]="O","Other", TRUE,"Unknown")</f>
        <v>Male</v>
      </c>
    </row>
    <row r="1420" spans="1:15" x14ac:dyDescent="0.3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1">
        <v>45711</v>
      </c>
      <c r="G1420" s="1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f>orders[[#This Row],[Ship Date]]-orders[[#This Row],[Order Date]]</f>
        <v>2</v>
      </c>
      <c r="N1420">
        <f>WEEKNUM(orders[[#This Row],[Order Date]])</f>
        <v>9</v>
      </c>
      <c r="O1420" t="str" cm="1">
        <f t="array" ref="O1420">_xlfn.IFS(orders[[#This Row],[Customer Gender]]="M","Male", orders[[#This Row],[Customer Gender]]="F","Female", orders[[#This Row],[Customer Gender]]="O","Other", TRUE,"Unknown")</f>
        <v>Female</v>
      </c>
    </row>
    <row r="1421" spans="1:15" x14ac:dyDescent="0.3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1">
        <v>45711</v>
      </c>
      <c r="G1421" s="1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f>orders[[#This Row],[Ship Date]]-orders[[#This Row],[Order Date]]</f>
        <v>1</v>
      </c>
      <c r="N1421">
        <f>WEEKNUM(orders[[#This Row],[Order Date]])</f>
        <v>9</v>
      </c>
      <c r="O1421" t="str" cm="1">
        <f t="array" ref="O1421">_xlfn.IFS(orders[[#This Row],[Customer Gender]]="M","Male", orders[[#This Row],[Customer Gender]]="F","Female", orders[[#This Row],[Customer Gender]]="O","Other", TRUE,"Unknown")</f>
        <v>Female</v>
      </c>
    </row>
    <row r="1422" spans="1:15" x14ac:dyDescent="0.3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1">
        <v>45711</v>
      </c>
      <c r="G1422" s="1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f>orders[[#This Row],[Ship Date]]-orders[[#This Row],[Order Date]]</f>
        <v>2</v>
      </c>
      <c r="N1422">
        <f>WEEKNUM(orders[[#This Row],[Order Date]])</f>
        <v>9</v>
      </c>
      <c r="O1422" t="str" cm="1">
        <f t="array" ref="O1422">_xlfn.IFS(orders[[#This Row],[Customer Gender]]="M","Male", orders[[#This Row],[Customer Gender]]="F","Female", orders[[#This Row],[Customer Gender]]="O","Other", TRUE,"Unknown")</f>
        <v>Male</v>
      </c>
    </row>
    <row r="1423" spans="1:15" x14ac:dyDescent="0.3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1">
        <v>45711</v>
      </c>
      <c r="G1423" s="1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f>orders[[#This Row],[Ship Date]]-orders[[#This Row],[Order Date]]</f>
        <v>4</v>
      </c>
      <c r="N1423">
        <f>WEEKNUM(orders[[#This Row],[Order Date]])</f>
        <v>9</v>
      </c>
      <c r="O1423" t="str" cm="1">
        <f t="array" ref="O1423">_xlfn.IFS(orders[[#This Row],[Customer Gender]]="M","Male", orders[[#This Row],[Customer Gender]]="F","Female", orders[[#This Row],[Customer Gender]]="O","Other", TRUE,"Unknown")</f>
        <v>Female</v>
      </c>
    </row>
    <row r="1424" spans="1:15" x14ac:dyDescent="0.3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1">
        <v>45711</v>
      </c>
      <c r="G1424" s="1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f>orders[[#This Row],[Ship Date]]-orders[[#This Row],[Order Date]]</f>
        <v>1</v>
      </c>
      <c r="N1424">
        <f>WEEKNUM(orders[[#This Row],[Order Date]])</f>
        <v>9</v>
      </c>
      <c r="O1424" t="str" cm="1">
        <f t="array" ref="O1424">_xlfn.IFS(orders[[#This Row],[Customer Gender]]="M","Male", orders[[#This Row],[Customer Gender]]="F","Female", orders[[#This Row],[Customer Gender]]="O","Other", TRUE,"Unknown")</f>
        <v>Female</v>
      </c>
    </row>
    <row r="1425" spans="1:15" x14ac:dyDescent="0.3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1">
        <v>45711</v>
      </c>
      <c r="G1425" s="1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f>orders[[#This Row],[Ship Date]]-orders[[#This Row],[Order Date]]</f>
        <v>0</v>
      </c>
      <c r="N1425">
        <f>WEEKNUM(orders[[#This Row],[Order Date]])</f>
        <v>9</v>
      </c>
      <c r="O1425" t="str" cm="1">
        <f t="array" ref="O1425">_xlfn.IFS(orders[[#This Row],[Customer Gender]]="M","Male", orders[[#This Row],[Customer Gender]]="F","Female", orders[[#This Row],[Customer Gender]]="O","Other", TRUE,"Unknown")</f>
        <v>Female</v>
      </c>
    </row>
    <row r="1426" spans="1:15" x14ac:dyDescent="0.3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1">
        <v>45711</v>
      </c>
      <c r="G1426" s="1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f>orders[[#This Row],[Ship Date]]-orders[[#This Row],[Order Date]]</f>
        <v>0</v>
      </c>
      <c r="N1426">
        <f>WEEKNUM(orders[[#This Row],[Order Date]])</f>
        <v>9</v>
      </c>
      <c r="O1426" t="str" cm="1">
        <f t="array" ref="O1426">_xlfn.IFS(orders[[#This Row],[Customer Gender]]="M","Male", orders[[#This Row],[Customer Gender]]="F","Female", orders[[#This Row],[Customer Gender]]="O","Other", TRUE,"Unknown")</f>
        <v>Unknown</v>
      </c>
    </row>
    <row r="1427" spans="1:15" x14ac:dyDescent="0.3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1">
        <v>45711</v>
      </c>
      <c r="G1427" s="1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f>orders[[#This Row],[Ship Date]]-orders[[#This Row],[Order Date]]</f>
        <v>1</v>
      </c>
      <c r="N1427">
        <f>WEEKNUM(orders[[#This Row],[Order Date]])</f>
        <v>9</v>
      </c>
      <c r="O1427" t="str" cm="1">
        <f t="array" ref="O1427">_xlfn.IFS(orders[[#This Row],[Customer Gender]]="M","Male", orders[[#This Row],[Customer Gender]]="F","Female", orders[[#This Row],[Customer Gender]]="O","Other", TRUE,"Unknown")</f>
        <v>Female</v>
      </c>
    </row>
    <row r="1428" spans="1:15" x14ac:dyDescent="0.3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1">
        <v>45711</v>
      </c>
      <c r="G1428" s="1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f>orders[[#This Row],[Ship Date]]-orders[[#This Row],[Order Date]]</f>
        <v>2</v>
      </c>
      <c r="N1428">
        <f>WEEKNUM(orders[[#This Row],[Order Date]])</f>
        <v>9</v>
      </c>
      <c r="O1428" t="str" cm="1">
        <f t="array" ref="O1428">_xlfn.IFS(orders[[#This Row],[Customer Gender]]="M","Male", orders[[#This Row],[Customer Gender]]="F","Female", orders[[#This Row],[Customer Gender]]="O","Other", TRUE,"Unknown")</f>
        <v>Male</v>
      </c>
    </row>
    <row r="1429" spans="1:15" x14ac:dyDescent="0.3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1">
        <v>45711</v>
      </c>
      <c r="G1429" s="1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f>orders[[#This Row],[Ship Date]]-orders[[#This Row],[Order Date]]</f>
        <v>3</v>
      </c>
      <c r="N1429">
        <f>WEEKNUM(orders[[#This Row],[Order Date]])</f>
        <v>9</v>
      </c>
      <c r="O1429" t="str" cm="1">
        <f t="array" ref="O1429">_xlfn.IFS(orders[[#This Row],[Customer Gender]]="M","Male", orders[[#This Row],[Customer Gender]]="F","Female", orders[[#This Row],[Customer Gender]]="O","Other", TRUE,"Unknown")</f>
        <v>Male</v>
      </c>
    </row>
    <row r="1430" spans="1:15" x14ac:dyDescent="0.3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1">
        <v>45711</v>
      </c>
      <c r="G1430" s="1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f>orders[[#This Row],[Ship Date]]-orders[[#This Row],[Order Date]]</f>
        <v>2</v>
      </c>
      <c r="N1430">
        <f>WEEKNUM(orders[[#This Row],[Order Date]])</f>
        <v>9</v>
      </c>
      <c r="O1430" t="str" cm="1">
        <f t="array" ref="O1430">_xlfn.IFS(orders[[#This Row],[Customer Gender]]="M","Male", orders[[#This Row],[Customer Gender]]="F","Female", orders[[#This Row],[Customer Gender]]="O","Other", TRUE,"Unknown")</f>
        <v>Male</v>
      </c>
    </row>
    <row r="1431" spans="1:15" x14ac:dyDescent="0.3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1">
        <v>45711</v>
      </c>
      <c r="G1431" s="1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f>orders[[#This Row],[Ship Date]]-orders[[#This Row],[Order Date]]</f>
        <v>3</v>
      </c>
      <c r="N1431">
        <f>WEEKNUM(orders[[#This Row],[Order Date]])</f>
        <v>9</v>
      </c>
      <c r="O1431" t="str" cm="1">
        <f t="array" ref="O1431">_xlfn.IFS(orders[[#This Row],[Customer Gender]]="M","Male", orders[[#This Row],[Customer Gender]]="F","Female", orders[[#This Row],[Customer Gender]]="O","Other", TRUE,"Unknown")</f>
        <v>Male</v>
      </c>
    </row>
    <row r="1432" spans="1:15" x14ac:dyDescent="0.3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1">
        <v>45711</v>
      </c>
      <c r="G1432" s="1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f>orders[[#This Row],[Ship Date]]-orders[[#This Row],[Order Date]]</f>
        <v>1</v>
      </c>
      <c r="N1432">
        <f>WEEKNUM(orders[[#This Row],[Order Date]])</f>
        <v>9</v>
      </c>
      <c r="O1432" t="str" cm="1">
        <f t="array" ref="O1432">_xlfn.IFS(orders[[#This Row],[Customer Gender]]="M","Male", orders[[#This Row],[Customer Gender]]="F","Female", orders[[#This Row],[Customer Gender]]="O","Other", TRUE,"Unknown")</f>
        <v>Female</v>
      </c>
    </row>
    <row r="1433" spans="1:15" x14ac:dyDescent="0.3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1">
        <v>45711</v>
      </c>
      <c r="G1433" s="1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f>orders[[#This Row],[Ship Date]]-orders[[#This Row],[Order Date]]</f>
        <v>2</v>
      </c>
      <c r="N1433">
        <f>WEEKNUM(orders[[#This Row],[Order Date]])</f>
        <v>9</v>
      </c>
      <c r="O1433" t="str" cm="1">
        <f t="array" ref="O1433">_xlfn.IFS(orders[[#This Row],[Customer Gender]]="M","Male", orders[[#This Row],[Customer Gender]]="F","Female", orders[[#This Row],[Customer Gender]]="O","Other", TRUE,"Unknown")</f>
        <v>Female</v>
      </c>
    </row>
    <row r="1434" spans="1:15" x14ac:dyDescent="0.3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1">
        <v>45711</v>
      </c>
      <c r="G1434" s="1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f>orders[[#This Row],[Ship Date]]-orders[[#This Row],[Order Date]]</f>
        <v>2</v>
      </c>
      <c r="N1434">
        <f>WEEKNUM(orders[[#This Row],[Order Date]])</f>
        <v>9</v>
      </c>
      <c r="O1434" t="str" cm="1">
        <f t="array" ref="O1434">_xlfn.IFS(orders[[#This Row],[Customer Gender]]="M","Male", orders[[#This Row],[Customer Gender]]="F","Female", orders[[#This Row],[Customer Gender]]="O","Other", TRUE,"Unknown")</f>
        <v>Female</v>
      </c>
    </row>
    <row r="1435" spans="1:15" x14ac:dyDescent="0.3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1">
        <v>45711</v>
      </c>
      <c r="G1435" s="1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f>orders[[#This Row],[Ship Date]]-orders[[#This Row],[Order Date]]</f>
        <v>2</v>
      </c>
      <c r="N1435">
        <f>WEEKNUM(orders[[#This Row],[Order Date]])</f>
        <v>9</v>
      </c>
      <c r="O1435" t="str" cm="1">
        <f t="array" ref="O1435">_xlfn.IFS(orders[[#This Row],[Customer Gender]]="M","Male", orders[[#This Row],[Customer Gender]]="F","Female", orders[[#This Row],[Customer Gender]]="O","Other", TRUE,"Unknown")</f>
        <v>Male</v>
      </c>
    </row>
    <row r="1436" spans="1:15" x14ac:dyDescent="0.3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1">
        <v>45711</v>
      </c>
      <c r="G1436" s="1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f>orders[[#This Row],[Ship Date]]-orders[[#This Row],[Order Date]]</f>
        <v>2</v>
      </c>
      <c r="N1436">
        <f>WEEKNUM(orders[[#This Row],[Order Date]])</f>
        <v>9</v>
      </c>
      <c r="O1436" t="str" cm="1">
        <f t="array" ref="O1436">_xlfn.IFS(orders[[#This Row],[Customer Gender]]="M","Male", orders[[#This Row],[Customer Gender]]="F","Female", orders[[#This Row],[Customer Gender]]="O","Other", TRUE,"Unknown")</f>
        <v>Female</v>
      </c>
    </row>
    <row r="1437" spans="1:15" x14ac:dyDescent="0.3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1">
        <v>45711</v>
      </c>
      <c r="G1437" s="1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f>orders[[#This Row],[Ship Date]]-orders[[#This Row],[Order Date]]</f>
        <v>1</v>
      </c>
      <c r="N1437">
        <f>WEEKNUM(orders[[#This Row],[Order Date]])</f>
        <v>9</v>
      </c>
      <c r="O1437" t="str" cm="1">
        <f t="array" ref="O1437">_xlfn.IFS(orders[[#This Row],[Customer Gender]]="M","Male", orders[[#This Row],[Customer Gender]]="F","Female", orders[[#This Row],[Customer Gender]]="O","Other", TRUE,"Unknown")</f>
        <v>Female</v>
      </c>
    </row>
    <row r="1438" spans="1:15" x14ac:dyDescent="0.3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1">
        <v>45711</v>
      </c>
      <c r="G1438" s="1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f>orders[[#This Row],[Ship Date]]-orders[[#This Row],[Order Date]]</f>
        <v>14</v>
      </c>
      <c r="N1438">
        <f>WEEKNUM(orders[[#This Row],[Order Date]])</f>
        <v>9</v>
      </c>
      <c r="O1438" t="str" cm="1">
        <f t="array" ref="O1438">_xlfn.IFS(orders[[#This Row],[Customer Gender]]="M","Male", orders[[#This Row],[Customer Gender]]="F","Female", orders[[#This Row],[Customer Gender]]="O","Other", TRUE,"Unknown")</f>
        <v>Female</v>
      </c>
    </row>
    <row r="1439" spans="1:15" x14ac:dyDescent="0.3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1">
        <v>45711</v>
      </c>
      <c r="G1439" s="1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f>orders[[#This Row],[Ship Date]]-orders[[#This Row],[Order Date]]</f>
        <v>4</v>
      </c>
      <c r="N1439">
        <f>WEEKNUM(orders[[#This Row],[Order Date]])</f>
        <v>9</v>
      </c>
      <c r="O1439" t="str" cm="1">
        <f t="array" ref="O1439">_xlfn.IFS(orders[[#This Row],[Customer Gender]]="M","Male", orders[[#This Row],[Customer Gender]]="F","Female", orders[[#This Row],[Customer Gender]]="O","Other", TRUE,"Unknown")</f>
        <v>Female</v>
      </c>
    </row>
    <row r="1440" spans="1:15" x14ac:dyDescent="0.3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1">
        <v>45711</v>
      </c>
      <c r="G1440" s="1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f>orders[[#This Row],[Ship Date]]-orders[[#This Row],[Order Date]]</f>
        <v>2</v>
      </c>
      <c r="N1440">
        <f>WEEKNUM(orders[[#This Row],[Order Date]])</f>
        <v>9</v>
      </c>
      <c r="O1440" t="str" cm="1">
        <f t="array" ref="O1440">_xlfn.IFS(orders[[#This Row],[Customer Gender]]="M","Male", orders[[#This Row],[Customer Gender]]="F","Female", orders[[#This Row],[Customer Gender]]="O","Other", TRUE,"Unknown")</f>
        <v>Male</v>
      </c>
    </row>
    <row r="1441" spans="1:15" x14ac:dyDescent="0.3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1">
        <v>45711</v>
      </c>
      <c r="G1441" s="1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f>orders[[#This Row],[Ship Date]]-orders[[#This Row],[Order Date]]</f>
        <v>1</v>
      </c>
      <c r="N1441">
        <f>WEEKNUM(orders[[#This Row],[Order Date]])</f>
        <v>9</v>
      </c>
      <c r="O1441" t="str" cm="1">
        <f t="array" ref="O1441">_xlfn.IFS(orders[[#This Row],[Customer Gender]]="M","Male", orders[[#This Row],[Customer Gender]]="F","Female", orders[[#This Row],[Customer Gender]]="O","Other", TRUE,"Unknown")</f>
        <v>Male</v>
      </c>
    </row>
    <row r="1442" spans="1:15" x14ac:dyDescent="0.3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1">
        <v>45711</v>
      </c>
      <c r="G1442" s="1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f>orders[[#This Row],[Ship Date]]-orders[[#This Row],[Order Date]]</f>
        <v>0</v>
      </c>
      <c r="N1442">
        <f>WEEKNUM(orders[[#This Row],[Order Date]])</f>
        <v>9</v>
      </c>
      <c r="O1442" t="str" cm="1">
        <f t="array" ref="O1442">_xlfn.IFS(orders[[#This Row],[Customer Gender]]="M","Male", orders[[#This Row],[Customer Gender]]="F","Female", orders[[#This Row],[Customer Gender]]="O","Other", TRUE,"Unknown")</f>
        <v>Other</v>
      </c>
    </row>
    <row r="1443" spans="1:15" x14ac:dyDescent="0.3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1">
        <v>45711</v>
      </c>
      <c r="G1443" s="1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f>orders[[#This Row],[Ship Date]]-orders[[#This Row],[Order Date]]</f>
        <v>4</v>
      </c>
      <c r="N1443">
        <f>WEEKNUM(orders[[#This Row],[Order Date]])</f>
        <v>9</v>
      </c>
      <c r="O1443" t="str" cm="1">
        <f t="array" ref="O1443">_xlfn.IFS(orders[[#This Row],[Customer Gender]]="M","Male", orders[[#This Row],[Customer Gender]]="F","Female", orders[[#This Row],[Customer Gender]]="O","Other", TRUE,"Unknown")</f>
        <v>Female</v>
      </c>
    </row>
    <row r="1444" spans="1:15" x14ac:dyDescent="0.3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1">
        <v>45711</v>
      </c>
      <c r="G1444" s="1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f>orders[[#This Row],[Ship Date]]-orders[[#This Row],[Order Date]]</f>
        <v>2</v>
      </c>
      <c r="N1444">
        <f>WEEKNUM(orders[[#This Row],[Order Date]])</f>
        <v>9</v>
      </c>
      <c r="O1444" t="str" cm="1">
        <f t="array" ref="O1444">_xlfn.IFS(orders[[#This Row],[Customer Gender]]="M","Male", orders[[#This Row],[Customer Gender]]="F","Female", orders[[#This Row],[Customer Gender]]="O","Other", TRUE,"Unknown")</f>
        <v>Female</v>
      </c>
    </row>
    <row r="1445" spans="1:15" x14ac:dyDescent="0.3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1">
        <v>45711</v>
      </c>
      <c r="G1445" s="1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f>orders[[#This Row],[Ship Date]]-orders[[#This Row],[Order Date]]</f>
        <v>4</v>
      </c>
      <c r="N1445">
        <f>WEEKNUM(orders[[#This Row],[Order Date]])</f>
        <v>9</v>
      </c>
      <c r="O1445" t="str" cm="1">
        <f t="array" ref="O1445">_xlfn.IFS(orders[[#This Row],[Customer Gender]]="M","Male", orders[[#This Row],[Customer Gender]]="F","Female", orders[[#This Row],[Customer Gender]]="O","Other", TRUE,"Unknown")</f>
        <v>Female</v>
      </c>
    </row>
    <row r="1446" spans="1:15" x14ac:dyDescent="0.3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1">
        <v>45711</v>
      </c>
      <c r="G1446" s="1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f>orders[[#This Row],[Ship Date]]-orders[[#This Row],[Order Date]]</f>
        <v>1</v>
      </c>
      <c r="N1446">
        <f>WEEKNUM(orders[[#This Row],[Order Date]])</f>
        <v>9</v>
      </c>
      <c r="O1446" t="str" cm="1">
        <f t="array" ref="O1446">_xlfn.IFS(orders[[#This Row],[Customer Gender]]="M","Male", orders[[#This Row],[Customer Gender]]="F","Female", orders[[#This Row],[Customer Gender]]="O","Other", TRUE,"Unknown")</f>
        <v>Male</v>
      </c>
    </row>
    <row r="1447" spans="1:15" x14ac:dyDescent="0.3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1">
        <v>45711</v>
      </c>
      <c r="G1447" s="1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f>orders[[#This Row],[Ship Date]]-orders[[#This Row],[Order Date]]</f>
        <v>0</v>
      </c>
      <c r="N1447">
        <f>WEEKNUM(orders[[#This Row],[Order Date]])</f>
        <v>9</v>
      </c>
      <c r="O1447" t="str" cm="1">
        <f t="array" ref="O1447">_xlfn.IFS(orders[[#This Row],[Customer Gender]]="M","Male", orders[[#This Row],[Customer Gender]]="F","Female", orders[[#This Row],[Customer Gender]]="O","Other", TRUE,"Unknown")</f>
        <v>Female</v>
      </c>
    </row>
    <row r="1448" spans="1:15" x14ac:dyDescent="0.3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1">
        <v>45711</v>
      </c>
      <c r="G1448" s="1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f>orders[[#This Row],[Ship Date]]-orders[[#This Row],[Order Date]]</f>
        <v>3</v>
      </c>
      <c r="N1448">
        <f>WEEKNUM(orders[[#This Row],[Order Date]])</f>
        <v>9</v>
      </c>
      <c r="O1448" t="str" cm="1">
        <f t="array" ref="O1448">_xlfn.IFS(orders[[#This Row],[Customer Gender]]="M","Male", orders[[#This Row],[Customer Gender]]="F","Female", orders[[#This Row],[Customer Gender]]="O","Other", TRUE,"Unknown")</f>
        <v>Male</v>
      </c>
    </row>
    <row r="1449" spans="1:15" x14ac:dyDescent="0.3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1">
        <v>45711</v>
      </c>
      <c r="G1449" s="1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f>orders[[#This Row],[Ship Date]]-orders[[#This Row],[Order Date]]</f>
        <v>1</v>
      </c>
      <c r="N1449">
        <f>WEEKNUM(orders[[#This Row],[Order Date]])</f>
        <v>9</v>
      </c>
      <c r="O1449" t="str" cm="1">
        <f t="array" ref="O1449">_xlfn.IFS(orders[[#This Row],[Customer Gender]]="M","Male", orders[[#This Row],[Customer Gender]]="F","Female", orders[[#This Row],[Customer Gender]]="O","Other", TRUE,"Unknown")</f>
        <v>Unknown</v>
      </c>
    </row>
    <row r="1450" spans="1:15" x14ac:dyDescent="0.3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1">
        <v>45712</v>
      </c>
      <c r="G1450" s="1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f>orders[[#This Row],[Ship Date]]-orders[[#This Row],[Order Date]]</f>
        <v>5</v>
      </c>
      <c r="N1450">
        <f>WEEKNUM(orders[[#This Row],[Order Date]])</f>
        <v>9</v>
      </c>
      <c r="O1450" t="str" cm="1">
        <f t="array" ref="O1450">_xlfn.IFS(orders[[#This Row],[Customer Gender]]="M","Male", orders[[#This Row],[Customer Gender]]="F","Female", orders[[#This Row],[Customer Gender]]="O","Other", TRUE,"Unknown")</f>
        <v>Male</v>
      </c>
    </row>
    <row r="1451" spans="1:15" x14ac:dyDescent="0.3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1">
        <v>45712</v>
      </c>
      <c r="G1451" s="1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f>orders[[#This Row],[Ship Date]]-orders[[#This Row],[Order Date]]</f>
        <v>1</v>
      </c>
      <c r="N1451">
        <f>WEEKNUM(orders[[#This Row],[Order Date]])</f>
        <v>9</v>
      </c>
      <c r="O1451" t="str" cm="1">
        <f t="array" ref="O1451">_xlfn.IFS(orders[[#This Row],[Customer Gender]]="M","Male", orders[[#This Row],[Customer Gender]]="F","Female", orders[[#This Row],[Customer Gender]]="O","Other", TRUE,"Unknown")</f>
        <v>Male</v>
      </c>
    </row>
    <row r="1452" spans="1:15" x14ac:dyDescent="0.3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1">
        <v>45712</v>
      </c>
      <c r="G1452" s="1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f>orders[[#This Row],[Ship Date]]-orders[[#This Row],[Order Date]]</f>
        <v>2</v>
      </c>
      <c r="N1452">
        <f>WEEKNUM(orders[[#This Row],[Order Date]])</f>
        <v>9</v>
      </c>
      <c r="O1452" t="str" cm="1">
        <f t="array" ref="O1452">_xlfn.IFS(orders[[#This Row],[Customer Gender]]="M","Male", orders[[#This Row],[Customer Gender]]="F","Female", orders[[#This Row],[Customer Gender]]="O","Other", TRUE,"Unknown")</f>
        <v>Female</v>
      </c>
    </row>
    <row r="1453" spans="1:15" x14ac:dyDescent="0.3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1">
        <v>45712</v>
      </c>
      <c r="G1453" s="1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f>orders[[#This Row],[Ship Date]]-orders[[#This Row],[Order Date]]</f>
        <v>2</v>
      </c>
      <c r="N1453">
        <f>WEEKNUM(orders[[#This Row],[Order Date]])</f>
        <v>9</v>
      </c>
      <c r="O1453" t="str" cm="1">
        <f t="array" ref="O1453">_xlfn.IFS(orders[[#This Row],[Customer Gender]]="M","Male", orders[[#This Row],[Customer Gender]]="F","Female", orders[[#This Row],[Customer Gender]]="O","Other", TRUE,"Unknown")</f>
        <v>Male</v>
      </c>
    </row>
    <row r="1454" spans="1:15" x14ac:dyDescent="0.3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1">
        <v>45712</v>
      </c>
      <c r="G1454" s="1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f>orders[[#This Row],[Ship Date]]-orders[[#This Row],[Order Date]]</f>
        <v>0</v>
      </c>
      <c r="N1454">
        <f>WEEKNUM(orders[[#This Row],[Order Date]])</f>
        <v>9</v>
      </c>
      <c r="O1454" t="str" cm="1">
        <f t="array" ref="O1454">_xlfn.IFS(orders[[#This Row],[Customer Gender]]="M","Male", orders[[#This Row],[Customer Gender]]="F","Female", orders[[#This Row],[Customer Gender]]="O","Other", TRUE,"Unknown")</f>
        <v>Male</v>
      </c>
    </row>
    <row r="1455" spans="1:15" x14ac:dyDescent="0.3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1">
        <v>45712</v>
      </c>
      <c r="G1455" s="1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f>orders[[#This Row],[Ship Date]]-orders[[#This Row],[Order Date]]</f>
        <v>3</v>
      </c>
      <c r="N1455">
        <f>WEEKNUM(orders[[#This Row],[Order Date]])</f>
        <v>9</v>
      </c>
      <c r="O1455" t="str" cm="1">
        <f t="array" ref="O1455">_xlfn.IFS(orders[[#This Row],[Customer Gender]]="M","Male", orders[[#This Row],[Customer Gender]]="F","Female", orders[[#This Row],[Customer Gender]]="O","Other", TRUE,"Unknown")</f>
        <v>Male</v>
      </c>
    </row>
    <row r="1456" spans="1:15" x14ac:dyDescent="0.3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1">
        <v>45712</v>
      </c>
      <c r="G1456" s="1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f>orders[[#This Row],[Ship Date]]-orders[[#This Row],[Order Date]]</f>
        <v>1</v>
      </c>
      <c r="N1456">
        <f>WEEKNUM(orders[[#This Row],[Order Date]])</f>
        <v>9</v>
      </c>
      <c r="O1456" t="str" cm="1">
        <f t="array" ref="O1456">_xlfn.IFS(orders[[#This Row],[Customer Gender]]="M","Male", orders[[#This Row],[Customer Gender]]="F","Female", orders[[#This Row],[Customer Gender]]="O","Other", TRUE,"Unknown")</f>
        <v>Male</v>
      </c>
    </row>
    <row r="1457" spans="1:15" x14ac:dyDescent="0.3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1">
        <v>45712</v>
      </c>
      <c r="G1457" s="1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f>orders[[#This Row],[Ship Date]]-orders[[#This Row],[Order Date]]</f>
        <v>2</v>
      </c>
      <c r="N1457">
        <f>WEEKNUM(orders[[#This Row],[Order Date]])</f>
        <v>9</v>
      </c>
      <c r="O1457" t="str" cm="1">
        <f t="array" ref="O1457">_xlfn.IFS(orders[[#This Row],[Customer Gender]]="M","Male", orders[[#This Row],[Customer Gender]]="F","Female", orders[[#This Row],[Customer Gender]]="O","Other", TRUE,"Unknown")</f>
        <v>Female</v>
      </c>
    </row>
    <row r="1458" spans="1:15" x14ac:dyDescent="0.3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1">
        <v>45712</v>
      </c>
      <c r="G1458" s="1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f>orders[[#This Row],[Ship Date]]-orders[[#This Row],[Order Date]]</f>
        <v>1</v>
      </c>
      <c r="N1458">
        <f>WEEKNUM(orders[[#This Row],[Order Date]])</f>
        <v>9</v>
      </c>
      <c r="O1458" t="str" cm="1">
        <f t="array" ref="O1458">_xlfn.IFS(orders[[#This Row],[Customer Gender]]="M","Male", orders[[#This Row],[Customer Gender]]="F","Female", orders[[#This Row],[Customer Gender]]="O","Other", TRUE,"Unknown")</f>
        <v>Female</v>
      </c>
    </row>
    <row r="1459" spans="1:15" x14ac:dyDescent="0.3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1">
        <v>45712</v>
      </c>
      <c r="G1459" s="1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f>orders[[#This Row],[Ship Date]]-orders[[#This Row],[Order Date]]</f>
        <v>1</v>
      </c>
      <c r="N1459">
        <f>WEEKNUM(orders[[#This Row],[Order Date]])</f>
        <v>9</v>
      </c>
      <c r="O1459" t="str" cm="1">
        <f t="array" ref="O1459">_xlfn.IFS(orders[[#This Row],[Customer Gender]]="M","Male", orders[[#This Row],[Customer Gender]]="F","Female", orders[[#This Row],[Customer Gender]]="O","Other", TRUE,"Unknown")</f>
        <v>Male</v>
      </c>
    </row>
    <row r="1460" spans="1:15" x14ac:dyDescent="0.3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1">
        <v>45712</v>
      </c>
      <c r="G1460" s="1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f>orders[[#This Row],[Ship Date]]-orders[[#This Row],[Order Date]]</f>
        <v>1</v>
      </c>
      <c r="N1460">
        <f>WEEKNUM(orders[[#This Row],[Order Date]])</f>
        <v>9</v>
      </c>
      <c r="O1460" t="str" cm="1">
        <f t="array" ref="O1460">_xlfn.IFS(orders[[#This Row],[Customer Gender]]="M","Male", orders[[#This Row],[Customer Gender]]="F","Female", orders[[#This Row],[Customer Gender]]="O","Other", TRUE,"Unknown")</f>
        <v>Female</v>
      </c>
    </row>
    <row r="1461" spans="1:15" x14ac:dyDescent="0.3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1">
        <v>45712</v>
      </c>
      <c r="G1461" s="1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f>orders[[#This Row],[Ship Date]]-orders[[#This Row],[Order Date]]</f>
        <v>8</v>
      </c>
      <c r="N1461">
        <f>WEEKNUM(orders[[#This Row],[Order Date]])</f>
        <v>9</v>
      </c>
      <c r="O1461" t="str" cm="1">
        <f t="array" ref="O1461">_xlfn.IFS(orders[[#This Row],[Customer Gender]]="M","Male", orders[[#This Row],[Customer Gender]]="F","Female", orders[[#This Row],[Customer Gender]]="O","Other", TRUE,"Unknown")</f>
        <v>Female</v>
      </c>
    </row>
    <row r="1462" spans="1:15" x14ac:dyDescent="0.3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1">
        <v>45712</v>
      </c>
      <c r="G1462" s="1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f>orders[[#This Row],[Ship Date]]-orders[[#This Row],[Order Date]]</f>
        <v>4</v>
      </c>
      <c r="N1462">
        <f>WEEKNUM(orders[[#This Row],[Order Date]])</f>
        <v>9</v>
      </c>
      <c r="O1462" t="str" cm="1">
        <f t="array" ref="O1462">_xlfn.IFS(orders[[#This Row],[Customer Gender]]="M","Male", orders[[#This Row],[Customer Gender]]="F","Female", orders[[#This Row],[Customer Gender]]="O","Other", TRUE,"Unknown")</f>
        <v>Male</v>
      </c>
    </row>
    <row r="1463" spans="1:15" x14ac:dyDescent="0.3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1">
        <v>45712</v>
      </c>
      <c r="G1463" s="1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f>orders[[#This Row],[Ship Date]]-orders[[#This Row],[Order Date]]</f>
        <v>3</v>
      </c>
      <c r="N1463">
        <f>WEEKNUM(orders[[#This Row],[Order Date]])</f>
        <v>9</v>
      </c>
      <c r="O1463" t="str" cm="1">
        <f t="array" ref="O1463">_xlfn.IFS(orders[[#This Row],[Customer Gender]]="M","Male", orders[[#This Row],[Customer Gender]]="F","Female", orders[[#This Row],[Customer Gender]]="O","Other", TRUE,"Unknown")</f>
        <v>Male</v>
      </c>
    </row>
    <row r="1464" spans="1:15" x14ac:dyDescent="0.3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1">
        <v>45712</v>
      </c>
      <c r="G1464" s="1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f>orders[[#This Row],[Ship Date]]-orders[[#This Row],[Order Date]]</f>
        <v>3</v>
      </c>
      <c r="N1464">
        <f>WEEKNUM(orders[[#This Row],[Order Date]])</f>
        <v>9</v>
      </c>
      <c r="O1464" t="str" cm="1">
        <f t="array" ref="O1464">_xlfn.IFS(orders[[#This Row],[Customer Gender]]="M","Male", orders[[#This Row],[Customer Gender]]="F","Female", orders[[#This Row],[Customer Gender]]="O","Other", TRUE,"Unknown")</f>
        <v>Female</v>
      </c>
    </row>
    <row r="1465" spans="1:15" x14ac:dyDescent="0.3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1">
        <v>45712</v>
      </c>
      <c r="G1465" s="1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f>orders[[#This Row],[Ship Date]]-orders[[#This Row],[Order Date]]</f>
        <v>5</v>
      </c>
      <c r="N1465">
        <f>WEEKNUM(orders[[#This Row],[Order Date]])</f>
        <v>9</v>
      </c>
      <c r="O1465" t="str" cm="1">
        <f t="array" ref="O1465">_xlfn.IFS(orders[[#This Row],[Customer Gender]]="M","Male", orders[[#This Row],[Customer Gender]]="F","Female", orders[[#This Row],[Customer Gender]]="O","Other", TRUE,"Unknown")</f>
        <v>Unknown</v>
      </c>
    </row>
    <row r="1466" spans="1:15" x14ac:dyDescent="0.3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1">
        <v>45712</v>
      </c>
      <c r="G1466" s="1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f>orders[[#This Row],[Ship Date]]-orders[[#This Row],[Order Date]]</f>
        <v>1</v>
      </c>
      <c r="N1466">
        <f>WEEKNUM(orders[[#This Row],[Order Date]])</f>
        <v>9</v>
      </c>
      <c r="O1466" t="str" cm="1">
        <f t="array" ref="O1466">_xlfn.IFS(orders[[#This Row],[Customer Gender]]="M","Male", orders[[#This Row],[Customer Gender]]="F","Female", orders[[#This Row],[Customer Gender]]="O","Other", TRUE,"Unknown")</f>
        <v>Unknown</v>
      </c>
    </row>
    <row r="1467" spans="1:15" x14ac:dyDescent="0.3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1">
        <v>45712</v>
      </c>
      <c r="G1467" s="1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f>orders[[#This Row],[Ship Date]]-orders[[#This Row],[Order Date]]</f>
        <v>0</v>
      </c>
      <c r="N1467">
        <f>WEEKNUM(orders[[#This Row],[Order Date]])</f>
        <v>9</v>
      </c>
      <c r="O1467" t="str" cm="1">
        <f t="array" ref="O1467">_xlfn.IFS(orders[[#This Row],[Customer Gender]]="M","Male", orders[[#This Row],[Customer Gender]]="F","Female", orders[[#This Row],[Customer Gender]]="O","Other", TRUE,"Unknown")</f>
        <v>Male</v>
      </c>
    </row>
    <row r="1468" spans="1:15" x14ac:dyDescent="0.3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1">
        <v>45712</v>
      </c>
      <c r="G1468" s="1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f>orders[[#This Row],[Ship Date]]-orders[[#This Row],[Order Date]]</f>
        <v>1</v>
      </c>
      <c r="N1468">
        <f>WEEKNUM(orders[[#This Row],[Order Date]])</f>
        <v>9</v>
      </c>
      <c r="O1468" t="str" cm="1">
        <f t="array" ref="O1468">_xlfn.IFS(orders[[#This Row],[Customer Gender]]="M","Male", orders[[#This Row],[Customer Gender]]="F","Female", orders[[#This Row],[Customer Gender]]="O","Other", TRUE,"Unknown")</f>
        <v>Male</v>
      </c>
    </row>
    <row r="1469" spans="1:15" x14ac:dyDescent="0.3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1">
        <v>45712</v>
      </c>
      <c r="G1469" s="1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f>orders[[#This Row],[Ship Date]]-orders[[#This Row],[Order Date]]</f>
        <v>4</v>
      </c>
      <c r="N1469">
        <f>WEEKNUM(orders[[#This Row],[Order Date]])</f>
        <v>9</v>
      </c>
      <c r="O1469" t="str" cm="1">
        <f t="array" ref="O1469">_xlfn.IFS(orders[[#This Row],[Customer Gender]]="M","Male", orders[[#This Row],[Customer Gender]]="F","Female", orders[[#This Row],[Customer Gender]]="O","Other", TRUE,"Unknown")</f>
        <v>Male</v>
      </c>
    </row>
    <row r="1470" spans="1:15" x14ac:dyDescent="0.3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1">
        <v>45712</v>
      </c>
      <c r="G1470" s="1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f>orders[[#This Row],[Ship Date]]-orders[[#This Row],[Order Date]]</f>
        <v>1</v>
      </c>
      <c r="N1470">
        <f>WEEKNUM(orders[[#This Row],[Order Date]])</f>
        <v>9</v>
      </c>
      <c r="O1470" t="str" cm="1">
        <f t="array" ref="O1470">_xlfn.IFS(orders[[#This Row],[Customer Gender]]="M","Male", orders[[#This Row],[Customer Gender]]="F","Female", orders[[#This Row],[Customer Gender]]="O","Other", TRUE,"Unknown")</f>
        <v>Female</v>
      </c>
    </row>
    <row r="1471" spans="1:15" x14ac:dyDescent="0.3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1">
        <v>45712</v>
      </c>
      <c r="G1471" s="1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f>orders[[#This Row],[Ship Date]]-orders[[#This Row],[Order Date]]</f>
        <v>1</v>
      </c>
      <c r="N1471">
        <f>WEEKNUM(orders[[#This Row],[Order Date]])</f>
        <v>9</v>
      </c>
      <c r="O1471" t="str" cm="1">
        <f t="array" ref="O1471">_xlfn.IFS(orders[[#This Row],[Customer Gender]]="M","Male", orders[[#This Row],[Customer Gender]]="F","Female", orders[[#This Row],[Customer Gender]]="O","Other", TRUE,"Unknown")</f>
        <v>Female</v>
      </c>
    </row>
    <row r="1472" spans="1:15" x14ac:dyDescent="0.3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1">
        <v>45712</v>
      </c>
      <c r="G1472" s="1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f>orders[[#This Row],[Ship Date]]-orders[[#This Row],[Order Date]]</f>
        <v>3</v>
      </c>
      <c r="N1472">
        <f>WEEKNUM(orders[[#This Row],[Order Date]])</f>
        <v>9</v>
      </c>
      <c r="O1472" t="str" cm="1">
        <f t="array" ref="O1472">_xlfn.IFS(orders[[#This Row],[Customer Gender]]="M","Male", orders[[#This Row],[Customer Gender]]="F","Female", orders[[#This Row],[Customer Gender]]="O","Other", TRUE,"Unknown")</f>
        <v>Male</v>
      </c>
    </row>
    <row r="1473" spans="1:15" x14ac:dyDescent="0.3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1">
        <v>45712</v>
      </c>
      <c r="G1473" s="1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f>orders[[#This Row],[Ship Date]]-orders[[#This Row],[Order Date]]</f>
        <v>2</v>
      </c>
      <c r="N1473">
        <f>WEEKNUM(orders[[#This Row],[Order Date]])</f>
        <v>9</v>
      </c>
      <c r="O1473" t="str" cm="1">
        <f t="array" ref="O1473">_xlfn.IFS(orders[[#This Row],[Customer Gender]]="M","Male", orders[[#This Row],[Customer Gender]]="F","Female", orders[[#This Row],[Customer Gender]]="O","Other", TRUE,"Unknown")</f>
        <v>Female</v>
      </c>
    </row>
    <row r="1474" spans="1:15" x14ac:dyDescent="0.3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1">
        <v>45712</v>
      </c>
      <c r="G1474" s="1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f>orders[[#This Row],[Ship Date]]-orders[[#This Row],[Order Date]]</f>
        <v>4</v>
      </c>
      <c r="N1474">
        <f>WEEKNUM(orders[[#This Row],[Order Date]])</f>
        <v>9</v>
      </c>
      <c r="O1474" t="str" cm="1">
        <f t="array" ref="O1474">_xlfn.IFS(orders[[#This Row],[Customer Gender]]="M","Male", orders[[#This Row],[Customer Gender]]="F","Female", orders[[#This Row],[Customer Gender]]="O","Other", TRUE,"Unknown")</f>
        <v>Male</v>
      </c>
    </row>
    <row r="1475" spans="1:15" x14ac:dyDescent="0.3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1">
        <v>45712</v>
      </c>
      <c r="G1475" s="1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f>orders[[#This Row],[Ship Date]]-orders[[#This Row],[Order Date]]</f>
        <v>0</v>
      </c>
      <c r="N1475">
        <f>WEEKNUM(orders[[#This Row],[Order Date]])</f>
        <v>9</v>
      </c>
      <c r="O1475" t="str" cm="1">
        <f t="array" ref="O1475">_xlfn.IFS(orders[[#This Row],[Customer Gender]]="M","Male", orders[[#This Row],[Customer Gender]]="F","Female", orders[[#This Row],[Customer Gender]]="O","Other", TRUE,"Unknown")</f>
        <v>Male</v>
      </c>
    </row>
    <row r="1476" spans="1:15" x14ac:dyDescent="0.3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1">
        <v>45712</v>
      </c>
      <c r="G1476" s="1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f>orders[[#This Row],[Ship Date]]-orders[[#This Row],[Order Date]]</f>
        <v>3</v>
      </c>
      <c r="N1476">
        <f>WEEKNUM(orders[[#This Row],[Order Date]])</f>
        <v>9</v>
      </c>
      <c r="O1476" t="str" cm="1">
        <f t="array" ref="O1476">_xlfn.IFS(orders[[#This Row],[Customer Gender]]="M","Male", orders[[#This Row],[Customer Gender]]="F","Female", orders[[#This Row],[Customer Gender]]="O","Other", TRUE,"Unknown")</f>
        <v>Female</v>
      </c>
    </row>
    <row r="1477" spans="1:15" x14ac:dyDescent="0.3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1">
        <v>45712</v>
      </c>
      <c r="G1477" s="1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f>orders[[#This Row],[Ship Date]]-orders[[#This Row],[Order Date]]</f>
        <v>1</v>
      </c>
      <c r="N1477">
        <f>WEEKNUM(orders[[#This Row],[Order Date]])</f>
        <v>9</v>
      </c>
      <c r="O1477" t="str" cm="1">
        <f t="array" ref="O1477">_xlfn.IFS(orders[[#This Row],[Customer Gender]]="M","Male", orders[[#This Row],[Customer Gender]]="F","Female", orders[[#This Row],[Customer Gender]]="O","Other", TRUE,"Unknown")</f>
        <v>Male</v>
      </c>
    </row>
    <row r="1478" spans="1:15" x14ac:dyDescent="0.3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1">
        <v>45712</v>
      </c>
      <c r="G1478" s="1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f>orders[[#This Row],[Ship Date]]-orders[[#This Row],[Order Date]]</f>
        <v>7</v>
      </c>
      <c r="N1478">
        <f>WEEKNUM(orders[[#This Row],[Order Date]])</f>
        <v>9</v>
      </c>
      <c r="O1478" t="str" cm="1">
        <f t="array" ref="O1478">_xlfn.IFS(orders[[#This Row],[Customer Gender]]="M","Male", orders[[#This Row],[Customer Gender]]="F","Female", orders[[#This Row],[Customer Gender]]="O","Other", TRUE,"Unknown")</f>
        <v>Female</v>
      </c>
    </row>
    <row r="1479" spans="1:15" x14ac:dyDescent="0.3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1">
        <v>45713</v>
      </c>
      <c r="G1479" s="1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f>orders[[#This Row],[Ship Date]]-orders[[#This Row],[Order Date]]</f>
        <v>4</v>
      </c>
      <c r="N1479">
        <f>WEEKNUM(orders[[#This Row],[Order Date]])</f>
        <v>9</v>
      </c>
      <c r="O1479" t="str" cm="1">
        <f t="array" ref="O1479">_xlfn.IFS(orders[[#This Row],[Customer Gender]]="M","Male", orders[[#This Row],[Customer Gender]]="F","Female", orders[[#This Row],[Customer Gender]]="O","Other", TRUE,"Unknown")</f>
        <v>Male</v>
      </c>
    </row>
    <row r="1480" spans="1:15" x14ac:dyDescent="0.3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1">
        <v>45713</v>
      </c>
      <c r="G1480" s="1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f>orders[[#This Row],[Ship Date]]-orders[[#This Row],[Order Date]]</f>
        <v>2</v>
      </c>
      <c r="N1480">
        <f>WEEKNUM(orders[[#This Row],[Order Date]])</f>
        <v>9</v>
      </c>
      <c r="O1480" t="str" cm="1">
        <f t="array" ref="O1480">_xlfn.IFS(orders[[#This Row],[Customer Gender]]="M","Male", orders[[#This Row],[Customer Gender]]="F","Female", orders[[#This Row],[Customer Gender]]="O","Other", TRUE,"Unknown")</f>
        <v>Female</v>
      </c>
    </row>
    <row r="1481" spans="1:15" x14ac:dyDescent="0.3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1">
        <v>45713</v>
      </c>
      <c r="G1481" s="1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f>orders[[#This Row],[Ship Date]]-orders[[#This Row],[Order Date]]</f>
        <v>5</v>
      </c>
      <c r="N1481">
        <f>WEEKNUM(orders[[#This Row],[Order Date]])</f>
        <v>9</v>
      </c>
      <c r="O1481" t="str" cm="1">
        <f t="array" ref="O1481">_xlfn.IFS(orders[[#This Row],[Customer Gender]]="M","Male", orders[[#This Row],[Customer Gender]]="F","Female", orders[[#This Row],[Customer Gender]]="O","Other", TRUE,"Unknown")</f>
        <v>Female</v>
      </c>
    </row>
    <row r="1482" spans="1:15" x14ac:dyDescent="0.3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1">
        <v>45713</v>
      </c>
      <c r="G1482" s="1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f>orders[[#This Row],[Ship Date]]-orders[[#This Row],[Order Date]]</f>
        <v>0</v>
      </c>
      <c r="N1482">
        <f>WEEKNUM(orders[[#This Row],[Order Date]])</f>
        <v>9</v>
      </c>
      <c r="O1482" t="str" cm="1">
        <f t="array" ref="O1482">_xlfn.IFS(orders[[#This Row],[Customer Gender]]="M","Male", orders[[#This Row],[Customer Gender]]="F","Female", orders[[#This Row],[Customer Gender]]="O","Other", TRUE,"Unknown")</f>
        <v>Male</v>
      </c>
    </row>
    <row r="1483" spans="1:15" x14ac:dyDescent="0.3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1">
        <v>45713</v>
      </c>
      <c r="G1483" s="1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f>orders[[#This Row],[Ship Date]]-orders[[#This Row],[Order Date]]</f>
        <v>3</v>
      </c>
      <c r="N1483">
        <f>WEEKNUM(orders[[#This Row],[Order Date]])</f>
        <v>9</v>
      </c>
      <c r="O1483" t="str" cm="1">
        <f t="array" ref="O1483">_xlfn.IFS(orders[[#This Row],[Customer Gender]]="M","Male", orders[[#This Row],[Customer Gender]]="F","Female", orders[[#This Row],[Customer Gender]]="O","Other", TRUE,"Unknown")</f>
        <v>Female</v>
      </c>
    </row>
    <row r="1484" spans="1:15" x14ac:dyDescent="0.3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1">
        <v>45713</v>
      </c>
      <c r="G1484" s="1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f>orders[[#This Row],[Ship Date]]-orders[[#This Row],[Order Date]]</f>
        <v>1</v>
      </c>
      <c r="N1484">
        <f>WEEKNUM(orders[[#This Row],[Order Date]])</f>
        <v>9</v>
      </c>
      <c r="O1484" t="str" cm="1">
        <f t="array" ref="O1484">_xlfn.IFS(orders[[#This Row],[Customer Gender]]="M","Male", orders[[#This Row],[Customer Gender]]="F","Female", orders[[#This Row],[Customer Gender]]="O","Other", TRUE,"Unknown")</f>
        <v>Male</v>
      </c>
    </row>
    <row r="1485" spans="1:15" x14ac:dyDescent="0.3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1">
        <v>45713</v>
      </c>
      <c r="G1485" s="1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f>orders[[#This Row],[Ship Date]]-orders[[#This Row],[Order Date]]</f>
        <v>1</v>
      </c>
      <c r="N1485">
        <f>WEEKNUM(orders[[#This Row],[Order Date]])</f>
        <v>9</v>
      </c>
      <c r="O1485" t="str" cm="1">
        <f t="array" ref="O1485">_xlfn.IFS(orders[[#This Row],[Customer Gender]]="M","Male", orders[[#This Row],[Customer Gender]]="F","Female", orders[[#This Row],[Customer Gender]]="O","Other", TRUE,"Unknown")</f>
        <v>Female</v>
      </c>
    </row>
    <row r="1486" spans="1:15" x14ac:dyDescent="0.3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1">
        <v>45713</v>
      </c>
      <c r="G1486" s="1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f>orders[[#This Row],[Ship Date]]-orders[[#This Row],[Order Date]]</f>
        <v>1</v>
      </c>
      <c r="N1486">
        <f>WEEKNUM(orders[[#This Row],[Order Date]])</f>
        <v>9</v>
      </c>
      <c r="O1486" t="str" cm="1">
        <f t="array" ref="O1486">_xlfn.IFS(orders[[#This Row],[Customer Gender]]="M","Male", orders[[#This Row],[Customer Gender]]="F","Female", orders[[#This Row],[Customer Gender]]="O","Other", TRUE,"Unknown")</f>
        <v>Other</v>
      </c>
    </row>
    <row r="1487" spans="1:15" x14ac:dyDescent="0.3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1">
        <v>45713</v>
      </c>
      <c r="G1487" s="1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f>orders[[#This Row],[Ship Date]]-orders[[#This Row],[Order Date]]</f>
        <v>2</v>
      </c>
      <c r="N1487">
        <f>WEEKNUM(orders[[#This Row],[Order Date]])</f>
        <v>9</v>
      </c>
      <c r="O1487" t="str" cm="1">
        <f t="array" ref="O1487">_xlfn.IFS(orders[[#This Row],[Customer Gender]]="M","Male", orders[[#This Row],[Customer Gender]]="F","Female", orders[[#This Row],[Customer Gender]]="O","Other", TRUE,"Unknown")</f>
        <v>Female</v>
      </c>
    </row>
    <row r="1488" spans="1:15" x14ac:dyDescent="0.3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1">
        <v>45713</v>
      </c>
      <c r="G1488" s="1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f>orders[[#This Row],[Ship Date]]-orders[[#This Row],[Order Date]]</f>
        <v>2</v>
      </c>
      <c r="N1488">
        <f>WEEKNUM(orders[[#This Row],[Order Date]])</f>
        <v>9</v>
      </c>
      <c r="O1488" t="str" cm="1">
        <f t="array" ref="O1488">_xlfn.IFS(orders[[#This Row],[Customer Gender]]="M","Male", orders[[#This Row],[Customer Gender]]="F","Female", orders[[#This Row],[Customer Gender]]="O","Other", TRUE,"Unknown")</f>
        <v>Female</v>
      </c>
    </row>
    <row r="1489" spans="1:15" x14ac:dyDescent="0.3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1">
        <v>45713</v>
      </c>
      <c r="G1489" s="1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f>orders[[#This Row],[Ship Date]]-orders[[#This Row],[Order Date]]</f>
        <v>3</v>
      </c>
      <c r="N1489">
        <f>WEEKNUM(orders[[#This Row],[Order Date]])</f>
        <v>9</v>
      </c>
      <c r="O1489" t="str" cm="1">
        <f t="array" ref="O1489">_xlfn.IFS(orders[[#This Row],[Customer Gender]]="M","Male", orders[[#This Row],[Customer Gender]]="F","Female", orders[[#This Row],[Customer Gender]]="O","Other", TRUE,"Unknown")</f>
        <v>Female</v>
      </c>
    </row>
    <row r="1490" spans="1:15" x14ac:dyDescent="0.3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1">
        <v>45713</v>
      </c>
      <c r="G1490" s="1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f>orders[[#This Row],[Ship Date]]-orders[[#This Row],[Order Date]]</f>
        <v>2</v>
      </c>
      <c r="N1490">
        <f>WEEKNUM(orders[[#This Row],[Order Date]])</f>
        <v>9</v>
      </c>
      <c r="O1490" t="str" cm="1">
        <f t="array" ref="O1490">_xlfn.IFS(orders[[#This Row],[Customer Gender]]="M","Male", orders[[#This Row],[Customer Gender]]="F","Female", orders[[#This Row],[Customer Gender]]="O","Other", TRUE,"Unknown")</f>
        <v>Female</v>
      </c>
    </row>
    <row r="1491" spans="1:15" x14ac:dyDescent="0.3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1">
        <v>45713</v>
      </c>
      <c r="G1491" s="1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f>orders[[#This Row],[Ship Date]]-orders[[#This Row],[Order Date]]</f>
        <v>5</v>
      </c>
      <c r="N1491">
        <f>WEEKNUM(orders[[#This Row],[Order Date]])</f>
        <v>9</v>
      </c>
      <c r="O1491" t="str" cm="1">
        <f t="array" ref="O1491">_xlfn.IFS(orders[[#This Row],[Customer Gender]]="M","Male", orders[[#This Row],[Customer Gender]]="F","Female", orders[[#This Row],[Customer Gender]]="O","Other", TRUE,"Unknown")</f>
        <v>Male</v>
      </c>
    </row>
    <row r="1492" spans="1:15" x14ac:dyDescent="0.3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1">
        <v>45713</v>
      </c>
      <c r="G1492" s="1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f>orders[[#This Row],[Ship Date]]-orders[[#This Row],[Order Date]]</f>
        <v>3</v>
      </c>
      <c r="N1492">
        <f>WEEKNUM(orders[[#This Row],[Order Date]])</f>
        <v>9</v>
      </c>
      <c r="O1492" t="str" cm="1">
        <f t="array" ref="O1492">_xlfn.IFS(orders[[#This Row],[Customer Gender]]="M","Male", orders[[#This Row],[Customer Gender]]="F","Female", orders[[#This Row],[Customer Gender]]="O","Other", TRUE,"Unknown")</f>
        <v>Male</v>
      </c>
    </row>
    <row r="1493" spans="1:15" x14ac:dyDescent="0.3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1">
        <v>45713</v>
      </c>
      <c r="G1493" s="1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f>orders[[#This Row],[Ship Date]]-orders[[#This Row],[Order Date]]</f>
        <v>2</v>
      </c>
      <c r="N1493">
        <f>WEEKNUM(orders[[#This Row],[Order Date]])</f>
        <v>9</v>
      </c>
      <c r="O1493" t="str" cm="1">
        <f t="array" ref="O1493">_xlfn.IFS(orders[[#This Row],[Customer Gender]]="M","Male", orders[[#This Row],[Customer Gender]]="F","Female", orders[[#This Row],[Customer Gender]]="O","Other", TRUE,"Unknown")</f>
        <v>Female</v>
      </c>
    </row>
    <row r="1494" spans="1:15" x14ac:dyDescent="0.3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1">
        <v>45713</v>
      </c>
      <c r="G1494" s="1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f>orders[[#This Row],[Ship Date]]-orders[[#This Row],[Order Date]]</f>
        <v>3</v>
      </c>
      <c r="N1494">
        <f>WEEKNUM(orders[[#This Row],[Order Date]])</f>
        <v>9</v>
      </c>
      <c r="O1494" t="str" cm="1">
        <f t="array" ref="O1494">_xlfn.IFS(orders[[#This Row],[Customer Gender]]="M","Male", orders[[#This Row],[Customer Gender]]="F","Female", orders[[#This Row],[Customer Gender]]="O","Other", TRUE,"Unknown")</f>
        <v>Male</v>
      </c>
    </row>
    <row r="1495" spans="1:15" x14ac:dyDescent="0.3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1">
        <v>45713</v>
      </c>
      <c r="G1495" s="1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f>orders[[#This Row],[Ship Date]]-orders[[#This Row],[Order Date]]</f>
        <v>0</v>
      </c>
      <c r="N1495">
        <f>WEEKNUM(orders[[#This Row],[Order Date]])</f>
        <v>9</v>
      </c>
      <c r="O1495" t="str" cm="1">
        <f t="array" ref="O1495">_xlfn.IFS(orders[[#This Row],[Customer Gender]]="M","Male", orders[[#This Row],[Customer Gender]]="F","Female", orders[[#This Row],[Customer Gender]]="O","Other", TRUE,"Unknown")</f>
        <v>Unknown</v>
      </c>
    </row>
    <row r="1496" spans="1:15" x14ac:dyDescent="0.3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1">
        <v>45713</v>
      </c>
      <c r="G1496" s="1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f>orders[[#This Row],[Ship Date]]-orders[[#This Row],[Order Date]]</f>
        <v>2</v>
      </c>
      <c r="N1496">
        <f>WEEKNUM(orders[[#This Row],[Order Date]])</f>
        <v>9</v>
      </c>
      <c r="O1496" t="str" cm="1">
        <f t="array" ref="O1496">_xlfn.IFS(orders[[#This Row],[Customer Gender]]="M","Male", orders[[#This Row],[Customer Gender]]="F","Female", orders[[#This Row],[Customer Gender]]="O","Other", TRUE,"Unknown")</f>
        <v>Female</v>
      </c>
    </row>
    <row r="1497" spans="1:15" x14ac:dyDescent="0.3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1">
        <v>45713</v>
      </c>
      <c r="G1497" s="1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f>orders[[#This Row],[Ship Date]]-orders[[#This Row],[Order Date]]</f>
        <v>2</v>
      </c>
      <c r="N1497">
        <f>WEEKNUM(orders[[#This Row],[Order Date]])</f>
        <v>9</v>
      </c>
      <c r="O1497" t="str" cm="1">
        <f t="array" ref="O1497">_xlfn.IFS(orders[[#This Row],[Customer Gender]]="M","Male", orders[[#This Row],[Customer Gender]]="F","Female", orders[[#This Row],[Customer Gender]]="O","Other", TRUE,"Unknown")</f>
        <v>Male</v>
      </c>
    </row>
    <row r="1498" spans="1:15" x14ac:dyDescent="0.3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1">
        <v>45713</v>
      </c>
      <c r="G1498" s="1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f>orders[[#This Row],[Ship Date]]-orders[[#This Row],[Order Date]]</f>
        <v>2</v>
      </c>
      <c r="N1498">
        <f>WEEKNUM(orders[[#This Row],[Order Date]])</f>
        <v>9</v>
      </c>
      <c r="O1498" t="str" cm="1">
        <f t="array" ref="O1498">_xlfn.IFS(orders[[#This Row],[Customer Gender]]="M","Male", orders[[#This Row],[Customer Gender]]="F","Female", orders[[#This Row],[Customer Gender]]="O","Other", TRUE,"Unknown")</f>
        <v>Female</v>
      </c>
    </row>
    <row r="1499" spans="1:15" x14ac:dyDescent="0.3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1">
        <v>45713</v>
      </c>
      <c r="G1499" s="1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f>orders[[#This Row],[Ship Date]]-orders[[#This Row],[Order Date]]</f>
        <v>1</v>
      </c>
      <c r="N1499">
        <f>WEEKNUM(orders[[#This Row],[Order Date]])</f>
        <v>9</v>
      </c>
      <c r="O1499" t="str" cm="1">
        <f t="array" ref="O1499">_xlfn.IFS(orders[[#This Row],[Customer Gender]]="M","Male", orders[[#This Row],[Customer Gender]]="F","Female", orders[[#This Row],[Customer Gender]]="O","Other", TRUE,"Unknown")</f>
        <v>Unknown</v>
      </c>
    </row>
    <row r="1500" spans="1:15" x14ac:dyDescent="0.3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1">
        <v>45713</v>
      </c>
      <c r="G1500" s="1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f>orders[[#This Row],[Ship Date]]-orders[[#This Row],[Order Date]]</f>
        <v>1</v>
      </c>
      <c r="N1500">
        <f>WEEKNUM(orders[[#This Row],[Order Date]])</f>
        <v>9</v>
      </c>
      <c r="O1500" t="str" cm="1">
        <f t="array" ref="O1500">_xlfn.IFS(orders[[#This Row],[Customer Gender]]="M","Male", orders[[#This Row],[Customer Gender]]="F","Female", orders[[#This Row],[Customer Gender]]="O","Other", TRUE,"Unknown")</f>
        <v>Male</v>
      </c>
    </row>
    <row r="1501" spans="1:15" x14ac:dyDescent="0.3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1">
        <v>45713</v>
      </c>
      <c r="G1501" s="1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f>orders[[#This Row],[Ship Date]]-orders[[#This Row],[Order Date]]</f>
        <v>3</v>
      </c>
      <c r="N1501">
        <f>WEEKNUM(orders[[#This Row],[Order Date]])</f>
        <v>9</v>
      </c>
      <c r="O1501" t="str" cm="1">
        <f t="array" ref="O1501">_xlfn.IFS(orders[[#This Row],[Customer Gender]]="M","Male", orders[[#This Row],[Customer Gender]]="F","Female", orders[[#This Row],[Customer Gender]]="O","Other", TRUE,"Unknown")</f>
        <v>Female</v>
      </c>
    </row>
    <row r="1502" spans="1:15" x14ac:dyDescent="0.3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1">
        <v>45713</v>
      </c>
      <c r="G1502" s="1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f>orders[[#This Row],[Ship Date]]-orders[[#This Row],[Order Date]]</f>
        <v>6</v>
      </c>
      <c r="N1502">
        <f>WEEKNUM(orders[[#This Row],[Order Date]])</f>
        <v>9</v>
      </c>
      <c r="O1502" t="str" cm="1">
        <f t="array" ref="O1502">_xlfn.IFS(orders[[#This Row],[Customer Gender]]="M","Male", orders[[#This Row],[Customer Gender]]="F","Female", orders[[#This Row],[Customer Gender]]="O","Other", TRUE,"Unknown")</f>
        <v>Female</v>
      </c>
    </row>
    <row r="1503" spans="1:15" x14ac:dyDescent="0.3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1">
        <v>45713</v>
      </c>
      <c r="G1503" s="1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f>orders[[#This Row],[Ship Date]]-orders[[#This Row],[Order Date]]</f>
        <v>2</v>
      </c>
      <c r="N1503">
        <f>WEEKNUM(orders[[#This Row],[Order Date]])</f>
        <v>9</v>
      </c>
      <c r="O1503" t="str" cm="1">
        <f t="array" ref="O1503">_xlfn.IFS(orders[[#This Row],[Customer Gender]]="M","Male", orders[[#This Row],[Customer Gender]]="F","Female", orders[[#This Row],[Customer Gender]]="O","Other", TRUE,"Unknown")</f>
        <v>Female</v>
      </c>
    </row>
    <row r="1504" spans="1:15" x14ac:dyDescent="0.3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1">
        <v>45713</v>
      </c>
      <c r="G1504" s="1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f>orders[[#This Row],[Ship Date]]-orders[[#This Row],[Order Date]]</f>
        <v>3</v>
      </c>
      <c r="N1504">
        <f>WEEKNUM(orders[[#This Row],[Order Date]])</f>
        <v>9</v>
      </c>
      <c r="O1504" t="str" cm="1">
        <f t="array" ref="O1504">_xlfn.IFS(orders[[#This Row],[Customer Gender]]="M","Male", orders[[#This Row],[Customer Gender]]="F","Female", orders[[#This Row],[Customer Gender]]="O","Other", TRUE,"Unknown")</f>
        <v>Female</v>
      </c>
    </row>
    <row r="1505" spans="1:15" x14ac:dyDescent="0.3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1">
        <v>45713</v>
      </c>
      <c r="G1505" s="1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f>orders[[#This Row],[Ship Date]]-orders[[#This Row],[Order Date]]</f>
        <v>1</v>
      </c>
      <c r="N1505">
        <f>WEEKNUM(orders[[#This Row],[Order Date]])</f>
        <v>9</v>
      </c>
      <c r="O1505" t="str" cm="1">
        <f t="array" ref="O1505">_xlfn.IFS(orders[[#This Row],[Customer Gender]]="M","Male", orders[[#This Row],[Customer Gender]]="F","Female", orders[[#This Row],[Customer Gender]]="O","Other", TRUE,"Unknown")</f>
        <v>Male</v>
      </c>
    </row>
    <row r="1506" spans="1:15" x14ac:dyDescent="0.3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1">
        <v>45713</v>
      </c>
      <c r="G1506" s="1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f>orders[[#This Row],[Ship Date]]-orders[[#This Row],[Order Date]]</f>
        <v>5</v>
      </c>
      <c r="N1506">
        <f>WEEKNUM(orders[[#This Row],[Order Date]])</f>
        <v>9</v>
      </c>
      <c r="O1506" t="str" cm="1">
        <f t="array" ref="O1506">_xlfn.IFS(orders[[#This Row],[Customer Gender]]="M","Male", orders[[#This Row],[Customer Gender]]="F","Female", orders[[#This Row],[Customer Gender]]="O","Other", TRUE,"Unknown")</f>
        <v>Female</v>
      </c>
    </row>
    <row r="1507" spans="1:15" x14ac:dyDescent="0.3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1">
        <v>45713</v>
      </c>
      <c r="G1507" s="1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f>orders[[#This Row],[Ship Date]]-orders[[#This Row],[Order Date]]</f>
        <v>1</v>
      </c>
      <c r="N1507">
        <f>WEEKNUM(orders[[#This Row],[Order Date]])</f>
        <v>9</v>
      </c>
      <c r="O1507" t="str" cm="1">
        <f t="array" ref="O1507">_xlfn.IFS(orders[[#This Row],[Customer Gender]]="M","Male", orders[[#This Row],[Customer Gender]]="F","Female", orders[[#This Row],[Customer Gender]]="O","Other", TRUE,"Unknown")</f>
        <v>Male</v>
      </c>
    </row>
    <row r="1508" spans="1:15" x14ac:dyDescent="0.3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1">
        <v>45713</v>
      </c>
      <c r="G1508" s="1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f>orders[[#This Row],[Ship Date]]-orders[[#This Row],[Order Date]]</f>
        <v>8</v>
      </c>
      <c r="N1508">
        <f>WEEKNUM(orders[[#This Row],[Order Date]])</f>
        <v>9</v>
      </c>
      <c r="O1508" t="str" cm="1">
        <f t="array" ref="O1508">_xlfn.IFS(orders[[#This Row],[Customer Gender]]="M","Male", orders[[#This Row],[Customer Gender]]="F","Female", orders[[#This Row],[Customer Gender]]="O","Other", TRUE,"Unknown")</f>
        <v>Male</v>
      </c>
    </row>
    <row r="1509" spans="1:15" x14ac:dyDescent="0.3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1">
        <v>45713</v>
      </c>
      <c r="G1509" s="1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f>orders[[#This Row],[Ship Date]]-orders[[#This Row],[Order Date]]</f>
        <v>1</v>
      </c>
      <c r="N1509">
        <f>WEEKNUM(orders[[#This Row],[Order Date]])</f>
        <v>9</v>
      </c>
      <c r="O1509" t="str" cm="1">
        <f t="array" ref="O1509">_xlfn.IFS(orders[[#This Row],[Customer Gender]]="M","Male", orders[[#This Row],[Customer Gender]]="F","Female", orders[[#This Row],[Customer Gender]]="O","Other", TRUE,"Unknown")</f>
        <v>Male</v>
      </c>
    </row>
    <row r="1510" spans="1:15" x14ac:dyDescent="0.3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1">
        <v>45713</v>
      </c>
      <c r="G1510" s="1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f>orders[[#This Row],[Ship Date]]-orders[[#This Row],[Order Date]]</f>
        <v>0</v>
      </c>
      <c r="N1510">
        <f>WEEKNUM(orders[[#This Row],[Order Date]])</f>
        <v>9</v>
      </c>
      <c r="O1510" t="str" cm="1">
        <f t="array" ref="O1510">_xlfn.IFS(orders[[#This Row],[Customer Gender]]="M","Male", orders[[#This Row],[Customer Gender]]="F","Female", orders[[#This Row],[Customer Gender]]="O","Other", TRUE,"Unknown")</f>
        <v>Male</v>
      </c>
    </row>
    <row r="1511" spans="1:15" x14ac:dyDescent="0.3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1">
        <v>45713</v>
      </c>
      <c r="G1511" s="1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f>orders[[#This Row],[Ship Date]]-orders[[#This Row],[Order Date]]</f>
        <v>4</v>
      </c>
      <c r="N1511">
        <f>WEEKNUM(orders[[#This Row],[Order Date]])</f>
        <v>9</v>
      </c>
      <c r="O1511" t="str" cm="1">
        <f t="array" ref="O1511">_xlfn.IFS(orders[[#This Row],[Customer Gender]]="M","Male", orders[[#This Row],[Customer Gender]]="F","Female", orders[[#This Row],[Customer Gender]]="O","Other", TRUE,"Unknown")</f>
        <v>Male</v>
      </c>
    </row>
    <row r="1512" spans="1:15" x14ac:dyDescent="0.3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1">
        <v>45713</v>
      </c>
      <c r="G1512" s="1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f>orders[[#This Row],[Ship Date]]-orders[[#This Row],[Order Date]]</f>
        <v>2</v>
      </c>
      <c r="N1512">
        <f>WEEKNUM(orders[[#This Row],[Order Date]])</f>
        <v>9</v>
      </c>
      <c r="O1512" t="str" cm="1">
        <f t="array" ref="O1512">_xlfn.IFS(orders[[#This Row],[Customer Gender]]="M","Male", orders[[#This Row],[Customer Gender]]="F","Female", orders[[#This Row],[Customer Gender]]="O","Other", TRUE,"Unknown")</f>
        <v>Male</v>
      </c>
    </row>
    <row r="1513" spans="1:15" x14ac:dyDescent="0.3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1">
        <v>45713</v>
      </c>
      <c r="G1513" s="1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f>orders[[#This Row],[Ship Date]]-orders[[#This Row],[Order Date]]</f>
        <v>1</v>
      </c>
      <c r="N1513">
        <f>WEEKNUM(orders[[#This Row],[Order Date]])</f>
        <v>9</v>
      </c>
      <c r="O1513" t="str" cm="1">
        <f t="array" ref="O1513">_xlfn.IFS(orders[[#This Row],[Customer Gender]]="M","Male", orders[[#This Row],[Customer Gender]]="F","Female", orders[[#This Row],[Customer Gender]]="O","Other", TRUE,"Unknown")</f>
        <v>Female</v>
      </c>
    </row>
    <row r="1514" spans="1:15" x14ac:dyDescent="0.3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1">
        <v>45714</v>
      </c>
      <c r="G1514" s="1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f>orders[[#This Row],[Ship Date]]-orders[[#This Row],[Order Date]]</f>
        <v>2</v>
      </c>
      <c r="N1514">
        <f>WEEKNUM(orders[[#This Row],[Order Date]])</f>
        <v>9</v>
      </c>
      <c r="O1514" t="str" cm="1">
        <f t="array" ref="O1514">_xlfn.IFS(orders[[#This Row],[Customer Gender]]="M","Male", orders[[#This Row],[Customer Gender]]="F","Female", orders[[#This Row],[Customer Gender]]="O","Other", TRUE,"Unknown")</f>
        <v>Female</v>
      </c>
    </row>
    <row r="1515" spans="1:15" x14ac:dyDescent="0.3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1">
        <v>45714</v>
      </c>
      <c r="G1515" s="1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f>orders[[#This Row],[Ship Date]]-orders[[#This Row],[Order Date]]</f>
        <v>2</v>
      </c>
      <c r="N1515">
        <f>WEEKNUM(orders[[#This Row],[Order Date]])</f>
        <v>9</v>
      </c>
      <c r="O1515" t="str" cm="1">
        <f t="array" ref="O1515">_xlfn.IFS(orders[[#This Row],[Customer Gender]]="M","Male", orders[[#This Row],[Customer Gender]]="F","Female", orders[[#This Row],[Customer Gender]]="O","Other", TRUE,"Unknown")</f>
        <v>Female</v>
      </c>
    </row>
    <row r="1516" spans="1:15" x14ac:dyDescent="0.3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1">
        <v>45714</v>
      </c>
      <c r="G1516" s="1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f>orders[[#This Row],[Ship Date]]-orders[[#This Row],[Order Date]]</f>
        <v>7</v>
      </c>
      <c r="N1516">
        <f>WEEKNUM(orders[[#This Row],[Order Date]])</f>
        <v>9</v>
      </c>
      <c r="O1516" t="str" cm="1">
        <f t="array" ref="O1516">_xlfn.IFS(orders[[#This Row],[Customer Gender]]="M","Male", orders[[#This Row],[Customer Gender]]="F","Female", orders[[#This Row],[Customer Gender]]="O","Other", TRUE,"Unknown")</f>
        <v>Female</v>
      </c>
    </row>
    <row r="1517" spans="1:15" x14ac:dyDescent="0.3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1">
        <v>45714</v>
      </c>
      <c r="G1517" s="1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f>orders[[#This Row],[Ship Date]]-orders[[#This Row],[Order Date]]</f>
        <v>1</v>
      </c>
      <c r="N1517">
        <f>WEEKNUM(orders[[#This Row],[Order Date]])</f>
        <v>9</v>
      </c>
      <c r="O1517" t="str" cm="1">
        <f t="array" ref="O1517">_xlfn.IFS(orders[[#This Row],[Customer Gender]]="M","Male", orders[[#This Row],[Customer Gender]]="F","Female", orders[[#This Row],[Customer Gender]]="O","Other", TRUE,"Unknown")</f>
        <v>Female</v>
      </c>
    </row>
    <row r="1518" spans="1:15" x14ac:dyDescent="0.3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1">
        <v>45714</v>
      </c>
      <c r="G1518" s="1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f>orders[[#This Row],[Ship Date]]-orders[[#This Row],[Order Date]]</f>
        <v>2</v>
      </c>
      <c r="N1518">
        <f>WEEKNUM(orders[[#This Row],[Order Date]])</f>
        <v>9</v>
      </c>
      <c r="O1518" t="str" cm="1">
        <f t="array" ref="O1518">_xlfn.IFS(orders[[#This Row],[Customer Gender]]="M","Male", orders[[#This Row],[Customer Gender]]="F","Female", orders[[#This Row],[Customer Gender]]="O","Other", TRUE,"Unknown")</f>
        <v>Male</v>
      </c>
    </row>
    <row r="1519" spans="1:15" x14ac:dyDescent="0.3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1">
        <v>45714</v>
      </c>
      <c r="G1519" s="1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f>orders[[#This Row],[Ship Date]]-orders[[#This Row],[Order Date]]</f>
        <v>1</v>
      </c>
      <c r="N1519">
        <f>WEEKNUM(orders[[#This Row],[Order Date]])</f>
        <v>9</v>
      </c>
      <c r="O1519" t="str" cm="1">
        <f t="array" ref="O1519">_xlfn.IFS(orders[[#This Row],[Customer Gender]]="M","Male", orders[[#This Row],[Customer Gender]]="F","Female", orders[[#This Row],[Customer Gender]]="O","Other", TRUE,"Unknown")</f>
        <v>Female</v>
      </c>
    </row>
    <row r="1520" spans="1:15" x14ac:dyDescent="0.3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1">
        <v>45714</v>
      </c>
      <c r="G1520" s="1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f>orders[[#This Row],[Ship Date]]-orders[[#This Row],[Order Date]]</f>
        <v>4</v>
      </c>
      <c r="N1520">
        <f>WEEKNUM(orders[[#This Row],[Order Date]])</f>
        <v>9</v>
      </c>
      <c r="O1520" t="str" cm="1">
        <f t="array" ref="O1520">_xlfn.IFS(orders[[#This Row],[Customer Gender]]="M","Male", orders[[#This Row],[Customer Gender]]="F","Female", orders[[#This Row],[Customer Gender]]="O","Other", TRUE,"Unknown")</f>
        <v>Male</v>
      </c>
    </row>
    <row r="1521" spans="1:15" x14ac:dyDescent="0.3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1">
        <v>45714</v>
      </c>
      <c r="G1521" s="1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f>orders[[#This Row],[Ship Date]]-orders[[#This Row],[Order Date]]</f>
        <v>2</v>
      </c>
      <c r="N1521">
        <f>WEEKNUM(orders[[#This Row],[Order Date]])</f>
        <v>9</v>
      </c>
      <c r="O1521" t="str" cm="1">
        <f t="array" ref="O1521">_xlfn.IFS(orders[[#This Row],[Customer Gender]]="M","Male", orders[[#This Row],[Customer Gender]]="F","Female", orders[[#This Row],[Customer Gender]]="O","Other", TRUE,"Unknown")</f>
        <v>Female</v>
      </c>
    </row>
    <row r="1522" spans="1:15" x14ac:dyDescent="0.3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1">
        <v>45714</v>
      </c>
      <c r="G1522" s="1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f>orders[[#This Row],[Ship Date]]-orders[[#This Row],[Order Date]]</f>
        <v>2</v>
      </c>
      <c r="N1522">
        <f>WEEKNUM(orders[[#This Row],[Order Date]])</f>
        <v>9</v>
      </c>
      <c r="O1522" t="str" cm="1">
        <f t="array" ref="O1522">_xlfn.IFS(orders[[#This Row],[Customer Gender]]="M","Male", orders[[#This Row],[Customer Gender]]="F","Female", orders[[#This Row],[Customer Gender]]="O","Other", TRUE,"Unknown")</f>
        <v>Male</v>
      </c>
    </row>
    <row r="1523" spans="1:15" x14ac:dyDescent="0.3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1">
        <v>45714</v>
      </c>
      <c r="G1523" s="1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f>orders[[#This Row],[Ship Date]]-orders[[#This Row],[Order Date]]</f>
        <v>0</v>
      </c>
      <c r="N1523">
        <f>WEEKNUM(orders[[#This Row],[Order Date]])</f>
        <v>9</v>
      </c>
      <c r="O1523" t="str" cm="1">
        <f t="array" ref="O1523">_xlfn.IFS(orders[[#This Row],[Customer Gender]]="M","Male", orders[[#This Row],[Customer Gender]]="F","Female", orders[[#This Row],[Customer Gender]]="O","Other", TRUE,"Unknown")</f>
        <v>Male</v>
      </c>
    </row>
    <row r="1524" spans="1:15" x14ac:dyDescent="0.3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1">
        <v>45714</v>
      </c>
      <c r="G1524" s="1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f>orders[[#This Row],[Ship Date]]-orders[[#This Row],[Order Date]]</f>
        <v>3</v>
      </c>
      <c r="N1524">
        <f>WEEKNUM(orders[[#This Row],[Order Date]])</f>
        <v>9</v>
      </c>
      <c r="O1524" t="str" cm="1">
        <f t="array" ref="O1524">_xlfn.IFS(orders[[#This Row],[Customer Gender]]="M","Male", orders[[#This Row],[Customer Gender]]="F","Female", orders[[#This Row],[Customer Gender]]="O","Other", TRUE,"Unknown")</f>
        <v>Female</v>
      </c>
    </row>
    <row r="1525" spans="1:15" x14ac:dyDescent="0.3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1">
        <v>45714</v>
      </c>
      <c r="G1525" s="1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f>orders[[#This Row],[Ship Date]]-orders[[#This Row],[Order Date]]</f>
        <v>0</v>
      </c>
      <c r="N1525">
        <f>WEEKNUM(orders[[#This Row],[Order Date]])</f>
        <v>9</v>
      </c>
      <c r="O1525" t="str" cm="1">
        <f t="array" ref="O1525">_xlfn.IFS(orders[[#This Row],[Customer Gender]]="M","Male", orders[[#This Row],[Customer Gender]]="F","Female", orders[[#This Row],[Customer Gender]]="O","Other", TRUE,"Unknown")</f>
        <v>Unknown</v>
      </c>
    </row>
    <row r="1526" spans="1:15" x14ac:dyDescent="0.3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1">
        <v>45714</v>
      </c>
      <c r="G1526" s="1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f>orders[[#This Row],[Ship Date]]-orders[[#This Row],[Order Date]]</f>
        <v>5</v>
      </c>
      <c r="N1526">
        <f>WEEKNUM(orders[[#This Row],[Order Date]])</f>
        <v>9</v>
      </c>
      <c r="O1526" t="str" cm="1">
        <f t="array" ref="O1526">_xlfn.IFS(orders[[#This Row],[Customer Gender]]="M","Male", orders[[#This Row],[Customer Gender]]="F","Female", orders[[#This Row],[Customer Gender]]="O","Other", TRUE,"Unknown")</f>
        <v>Unknown</v>
      </c>
    </row>
    <row r="1527" spans="1:15" x14ac:dyDescent="0.3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1">
        <v>45714</v>
      </c>
      <c r="G1527" s="1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f>orders[[#This Row],[Ship Date]]-orders[[#This Row],[Order Date]]</f>
        <v>1</v>
      </c>
      <c r="N1527">
        <f>WEEKNUM(orders[[#This Row],[Order Date]])</f>
        <v>9</v>
      </c>
      <c r="O1527" t="str" cm="1">
        <f t="array" ref="O1527">_xlfn.IFS(orders[[#This Row],[Customer Gender]]="M","Male", orders[[#This Row],[Customer Gender]]="F","Female", orders[[#This Row],[Customer Gender]]="O","Other", TRUE,"Unknown")</f>
        <v>Male</v>
      </c>
    </row>
    <row r="1528" spans="1:15" x14ac:dyDescent="0.3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1">
        <v>45714</v>
      </c>
      <c r="G1528" s="1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f>orders[[#This Row],[Ship Date]]-orders[[#This Row],[Order Date]]</f>
        <v>0</v>
      </c>
      <c r="N1528">
        <f>WEEKNUM(orders[[#This Row],[Order Date]])</f>
        <v>9</v>
      </c>
      <c r="O1528" t="str" cm="1">
        <f t="array" ref="O1528">_xlfn.IFS(orders[[#This Row],[Customer Gender]]="M","Male", orders[[#This Row],[Customer Gender]]="F","Female", orders[[#This Row],[Customer Gender]]="O","Other", TRUE,"Unknown")</f>
        <v>Male</v>
      </c>
    </row>
    <row r="1529" spans="1:15" x14ac:dyDescent="0.3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1">
        <v>45714</v>
      </c>
      <c r="G1529" s="1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f>orders[[#This Row],[Ship Date]]-orders[[#This Row],[Order Date]]</f>
        <v>1</v>
      </c>
      <c r="N1529">
        <f>WEEKNUM(orders[[#This Row],[Order Date]])</f>
        <v>9</v>
      </c>
      <c r="O1529" t="str" cm="1">
        <f t="array" ref="O1529">_xlfn.IFS(orders[[#This Row],[Customer Gender]]="M","Male", orders[[#This Row],[Customer Gender]]="F","Female", orders[[#This Row],[Customer Gender]]="O","Other", TRUE,"Unknown")</f>
        <v>Male</v>
      </c>
    </row>
    <row r="1530" spans="1:15" x14ac:dyDescent="0.3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1">
        <v>45714</v>
      </c>
      <c r="G1530" s="1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f>orders[[#This Row],[Ship Date]]-orders[[#This Row],[Order Date]]</f>
        <v>2</v>
      </c>
      <c r="N1530">
        <f>WEEKNUM(orders[[#This Row],[Order Date]])</f>
        <v>9</v>
      </c>
      <c r="O1530" t="str" cm="1">
        <f t="array" ref="O1530">_xlfn.IFS(orders[[#This Row],[Customer Gender]]="M","Male", orders[[#This Row],[Customer Gender]]="F","Female", orders[[#This Row],[Customer Gender]]="O","Other", TRUE,"Unknown")</f>
        <v>Unknown</v>
      </c>
    </row>
    <row r="1531" spans="1:15" x14ac:dyDescent="0.3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1">
        <v>45714</v>
      </c>
      <c r="G1531" s="1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f>orders[[#This Row],[Ship Date]]-orders[[#This Row],[Order Date]]</f>
        <v>3</v>
      </c>
      <c r="N1531">
        <f>WEEKNUM(orders[[#This Row],[Order Date]])</f>
        <v>9</v>
      </c>
      <c r="O1531" t="str" cm="1">
        <f t="array" ref="O1531">_xlfn.IFS(orders[[#This Row],[Customer Gender]]="M","Male", orders[[#This Row],[Customer Gender]]="F","Female", orders[[#This Row],[Customer Gender]]="O","Other", TRUE,"Unknown")</f>
        <v>Male</v>
      </c>
    </row>
    <row r="1532" spans="1:15" x14ac:dyDescent="0.3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1">
        <v>45714</v>
      </c>
      <c r="G1532" s="1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f>orders[[#This Row],[Ship Date]]-orders[[#This Row],[Order Date]]</f>
        <v>2</v>
      </c>
      <c r="N1532">
        <f>WEEKNUM(orders[[#This Row],[Order Date]])</f>
        <v>9</v>
      </c>
      <c r="O1532" t="str" cm="1">
        <f t="array" ref="O1532">_xlfn.IFS(orders[[#This Row],[Customer Gender]]="M","Male", orders[[#This Row],[Customer Gender]]="F","Female", orders[[#This Row],[Customer Gender]]="O","Other", TRUE,"Unknown")</f>
        <v>Unknown</v>
      </c>
    </row>
    <row r="1533" spans="1:15" x14ac:dyDescent="0.3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1">
        <v>45714</v>
      </c>
      <c r="G1533" s="1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f>orders[[#This Row],[Ship Date]]-orders[[#This Row],[Order Date]]</f>
        <v>0</v>
      </c>
      <c r="N1533">
        <f>WEEKNUM(orders[[#This Row],[Order Date]])</f>
        <v>9</v>
      </c>
      <c r="O1533" t="str" cm="1">
        <f t="array" ref="O1533">_xlfn.IFS(orders[[#This Row],[Customer Gender]]="M","Male", orders[[#This Row],[Customer Gender]]="F","Female", orders[[#This Row],[Customer Gender]]="O","Other", TRUE,"Unknown")</f>
        <v>Male</v>
      </c>
    </row>
    <row r="1534" spans="1:15" x14ac:dyDescent="0.3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1">
        <v>45714</v>
      </c>
      <c r="G1534" s="1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f>orders[[#This Row],[Ship Date]]-orders[[#This Row],[Order Date]]</f>
        <v>1</v>
      </c>
      <c r="N1534">
        <f>WEEKNUM(orders[[#This Row],[Order Date]])</f>
        <v>9</v>
      </c>
      <c r="O1534" t="str" cm="1">
        <f t="array" ref="O1534">_xlfn.IFS(orders[[#This Row],[Customer Gender]]="M","Male", orders[[#This Row],[Customer Gender]]="F","Female", orders[[#This Row],[Customer Gender]]="O","Other", TRUE,"Unknown")</f>
        <v>Unknown</v>
      </c>
    </row>
    <row r="1535" spans="1:15" x14ac:dyDescent="0.3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1">
        <v>45714</v>
      </c>
      <c r="G1535" s="1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f>orders[[#This Row],[Ship Date]]-orders[[#This Row],[Order Date]]</f>
        <v>1</v>
      </c>
      <c r="N1535">
        <f>WEEKNUM(orders[[#This Row],[Order Date]])</f>
        <v>9</v>
      </c>
      <c r="O1535" t="str" cm="1">
        <f t="array" ref="O1535">_xlfn.IFS(orders[[#This Row],[Customer Gender]]="M","Male", orders[[#This Row],[Customer Gender]]="F","Female", orders[[#This Row],[Customer Gender]]="O","Other", TRUE,"Unknown")</f>
        <v>Female</v>
      </c>
    </row>
    <row r="1536" spans="1:15" x14ac:dyDescent="0.3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1">
        <v>45714</v>
      </c>
      <c r="G1536" s="1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f>orders[[#This Row],[Ship Date]]-orders[[#This Row],[Order Date]]</f>
        <v>4</v>
      </c>
      <c r="N1536">
        <f>WEEKNUM(orders[[#This Row],[Order Date]])</f>
        <v>9</v>
      </c>
      <c r="O1536" t="str" cm="1">
        <f t="array" ref="O1536">_xlfn.IFS(orders[[#This Row],[Customer Gender]]="M","Male", orders[[#This Row],[Customer Gender]]="F","Female", orders[[#This Row],[Customer Gender]]="O","Other", TRUE,"Unknown")</f>
        <v>Female</v>
      </c>
    </row>
    <row r="1537" spans="1:15" x14ac:dyDescent="0.3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1">
        <v>45714</v>
      </c>
      <c r="G1537" s="1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f>orders[[#This Row],[Ship Date]]-orders[[#This Row],[Order Date]]</f>
        <v>1</v>
      </c>
      <c r="N1537">
        <f>WEEKNUM(orders[[#This Row],[Order Date]])</f>
        <v>9</v>
      </c>
      <c r="O1537" t="str" cm="1">
        <f t="array" ref="O1537">_xlfn.IFS(orders[[#This Row],[Customer Gender]]="M","Male", orders[[#This Row],[Customer Gender]]="F","Female", orders[[#This Row],[Customer Gender]]="O","Other", TRUE,"Unknown")</f>
        <v>Male</v>
      </c>
    </row>
    <row r="1538" spans="1:15" x14ac:dyDescent="0.3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1">
        <v>45714</v>
      </c>
      <c r="G1538" s="1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f>orders[[#This Row],[Ship Date]]-orders[[#This Row],[Order Date]]</f>
        <v>3</v>
      </c>
      <c r="N1538">
        <f>WEEKNUM(orders[[#This Row],[Order Date]])</f>
        <v>9</v>
      </c>
      <c r="O1538" t="str" cm="1">
        <f t="array" ref="O1538">_xlfn.IFS(orders[[#This Row],[Customer Gender]]="M","Male", orders[[#This Row],[Customer Gender]]="F","Female", orders[[#This Row],[Customer Gender]]="O","Other", TRUE,"Unknown")</f>
        <v>Male</v>
      </c>
    </row>
    <row r="1539" spans="1:15" x14ac:dyDescent="0.3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1">
        <v>45714</v>
      </c>
      <c r="G1539" s="1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f>orders[[#This Row],[Ship Date]]-orders[[#This Row],[Order Date]]</f>
        <v>1</v>
      </c>
      <c r="N1539">
        <f>WEEKNUM(orders[[#This Row],[Order Date]])</f>
        <v>9</v>
      </c>
      <c r="O1539" t="str" cm="1">
        <f t="array" ref="O1539">_xlfn.IFS(orders[[#This Row],[Customer Gender]]="M","Male", orders[[#This Row],[Customer Gender]]="F","Female", orders[[#This Row],[Customer Gender]]="O","Other", TRUE,"Unknown")</f>
        <v>Female</v>
      </c>
    </row>
    <row r="1540" spans="1:15" x14ac:dyDescent="0.3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1">
        <v>45714</v>
      </c>
      <c r="G1540" s="1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f>orders[[#This Row],[Ship Date]]-orders[[#This Row],[Order Date]]</f>
        <v>3</v>
      </c>
      <c r="N1540">
        <f>WEEKNUM(orders[[#This Row],[Order Date]])</f>
        <v>9</v>
      </c>
      <c r="O1540" t="str" cm="1">
        <f t="array" ref="O1540">_xlfn.IFS(orders[[#This Row],[Customer Gender]]="M","Male", orders[[#This Row],[Customer Gender]]="F","Female", orders[[#This Row],[Customer Gender]]="O","Other", TRUE,"Unknown")</f>
        <v>Female</v>
      </c>
    </row>
    <row r="1541" spans="1:15" x14ac:dyDescent="0.3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1">
        <v>45714</v>
      </c>
      <c r="G1541" s="1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f>orders[[#This Row],[Ship Date]]-orders[[#This Row],[Order Date]]</f>
        <v>0</v>
      </c>
      <c r="N1541">
        <f>WEEKNUM(orders[[#This Row],[Order Date]])</f>
        <v>9</v>
      </c>
      <c r="O1541" t="str" cm="1">
        <f t="array" ref="O1541">_xlfn.IFS(orders[[#This Row],[Customer Gender]]="M","Male", orders[[#This Row],[Customer Gender]]="F","Female", orders[[#This Row],[Customer Gender]]="O","Other", TRUE,"Unknown")</f>
        <v>Female</v>
      </c>
    </row>
    <row r="1542" spans="1:15" x14ac:dyDescent="0.3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1">
        <v>45715</v>
      </c>
      <c r="G1542" s="1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f>orders[[#This Row],[Ship Date]]-orders[[#This Row],[Order Date]]</f>
        <v>0</v>
      </c>
      <c r="N1542">
        <f>WEEKNUM(orders[[#This Row],[Order Date]])</f>
        <v>9</v>
      </c>
      <c r="O1542" t="str" cm="1">
        <f t="array" ref="O1542">_xlfn.IFS(orders[[#This Row],[Customer Gender]]="M","Male", orders[[#This Row],[Customer Gender]]="F","Female", orders[[#This Row],[Customer Gender]]="O","Other", TRUE,"Unknown")</f>
        <v>Male</v>
      </c>
    </row>
    <row r="1543" spans="1:15" x14ac:dyDescent="0.3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1">
        <v>45715</v>
      </c>
      <c r="G1543" s="1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f>orders[[#This Row],[Ship Date]]-orders[[#This Row],[Order Date]]</f>
        <v>1</v>
      </c>
      <c r="N1543">
        <f>WEEKNUM(orders[[#This Row],[Order Date]])</f>
        <v>9</v>
      </c>
      <c r="O1543" t="str" cm="1">
        <f t="array" ref="O1543">_xlfn.IFS(orders[[#This Row],[Customer Gender]]="M","Male", orders[[#This Row],[Customer Gender]]="F","Female", orders[[#This Row],[Customer Gender]]="O","Other", TRUE,"Unknown")</f>
        <v>Male</v>
      </c>
    </row>
    <row r="1544" spans="1:15" x14ac:dyDescent="0.3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1">
        <v>45715</v>
      </c>
      <c r="G1544" s="1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f>orders[[#This Row],[Ship Date]]-orders[[#This Row],[Order Date]]</f>
        <v>3</v>
      </c>
      <c r="N1544">
        <f>WEEKNUM(orders[[#This Row],[Order Date]])</f>
        <v>9</v>
      </c>
      <c r="O1544" t="str" cm="1">
        <f t="array" ref="O1544">_xlfn.IFS(orders[[#This Row],[Customer Gender]]="M","Male", orders[[#This Row],[Customer Gender]]="F","Female", orders[[#This Row],[Customer Gender]]="O","Other", TRUE,"Unknown")</f>
        <v>Male</v>
      </c>
    </row>
    <row r="1545" spans="1:15" x14ac:dyDescent="0.3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1">
        <v>45715</v>
      </c>
      <c r="G1545" s="1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f>orders[[#This Row],[Ship Date]]-orders[[#This Row],[Order Date]]</f>
        <v>3</v>
      </c>
      <c r="N1545">
        <f>WEEKNUM(orders[[#This Row],[Order Date]])</f>
        <v>9</v>
      </c>
      <c r="O1545" t="str" cm="1">
        <f t="array" ref="O1545">_xlfn.IFS(orders[[#This Row],[Customer Gender]]="M","Male", orders[[#This Row],[Customer Gender]]="F","Female", orders[[#This Row],[Customer Gender]]="O","Other", TRUE,"Unknown")</f>
        <v>Female</v>
      </c>
    </row>
    <row r="1546" spans="1:15" x14ac:dyDescent="0.3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1">
        <v>45715</v>
      </c>
      <c r="G1546" s="1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f>orders[[#This Row],[Ship Date]]-orders[[#This Row],[Order Date]]</f>
        <v>0</v>
      </c>
      <c r="N1546">
        <f>WEEKNUM(orders[[#This Row],[Order Date]])</f>
        <v>9</v>
      </c>
      <c r="O1546" t="str" cm="1">
        <f t="array" ref="O1546">_xlfn.IFS(orders[[#This Row],[Customer Gender]]="M","Male", orders[[#This Row],[Customer Gender]]="F","Female", orders[[#This Row],[Customer Gender]]="O","Other", TRUE,"Unknown")</f>
        <v>Female</v>
      </c>
    </row>
    <row r="1547" spans="1:15" x14ac:dyDescent="0.3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1">
        <v>45715</v>
      </c>
      <c r="G1547" s="1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f>orders[[#This Row],[Ship Date]]-orders[[#This Row],[Order Date]]</f>
        <v>2</v>
      </c>
      <c r="N1547">
        <f>WEEKNUM(orders[[#This Row],[Order Date]])</f>
        <v>9</v>
      </c>
      <c r="O1547" t="str" cm="1">
        <f t="array" ref="O1547">_xlfn.IFS(orders[[#This Row],[Customer Gender]]="M","Male", orders[[#This Row],[Customer Gender]]="F","Female", orders[[#This Row],[Customer Gender]]="O","Other", TRUE,"Unknown")</f>
        <v>Female</v>
      </c>
    </row>
    <row r="1548" spans="1:15" x14ac:dyDescent="0.3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1">
        <v>45715</v>
      </c>
      <c r="G1548" s="1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f>orders[[#This Row],[Ship Date]]-orders[[#This Row],[Order Date]]</f>
        <v>14</v>
      </c>
      <c r="N1548">
        <f>WEEKNUM(orders[[#This Row],[Order Date]])</f>
        <v>9</v>
      </c>
      <c r="O1548" t="str" cm="1">
        <f t="array" ref="O1548">_xlfn.IFS(orders[[#This Row],[Customer Gender]]="M","Male", orders[[#This Row],[Customer Gender]]="F","Female", orders[[#This Row],[Customer Gender]]="O","Other", TRUE,"Unknown")</f>
        <v>Female</v>
      </c>
    </row>
    <row r="1549" spans="1:15" x14ac:dyDescent="0.3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1">
        <v>45715</v>
      </c>
      <c r="G1549" s="1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f>orders[[#This Row],[Ship Date]]-orders[[#This Row],[Order Date]]</f>
        <v>4</v>
      </c>
      <c r="N1549">
        <f>WEEKNUM(orders[[#This Row],[Order Date]])</f>
        <v>9</v>
      </c>
      <c r="O1549" t="str" cm="1">
        <f t="array" ref="O1549">_xlfn.IFS(orders[[#This Row],[Customer Gender]]="M","Male", orders[[#This Row],[Customer Gender]]="F","Female", orders[[#This Row],[Customer Gender]]="O","Other", TRUE,"Unknown")</f>
        <v>Female</v>
      </c>
    </row>
    <row r="1550" spans="1:15" x14ac:dyDescent="0.3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1">
        <v>45715</v>
      </c>
      <c r="G1550" s="1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f>orders[[#This Row],[Ship Date]]-orders[[#This Row],[Order Date]]</f>
        <v>1</v>
      </c>
      <c r="N1550">
        <f>WEEKNUM(orders[[#This Row],[Order Date]])</f>
        <v>9</v>
      </c>
      <c r="O1550" t="str" cm="1">
        <f t="array" ref="O1550">_xlfn.IFS(orders[[#This Row],[Customer Gender]]="M","Male", orders[[#This Row],[Customer Gender]]="F","Female", orders[[#This Row],[Customer Gender]]="O","Other", TRUE,"Unknown")</f>
        <v>Female</v>
      </c>
    </row>
    <row r="1551" spans="1:15" x14ac:dyDescent="0.3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1">
        <v>45715</v>
      </c>
      <c r="G1551" s="1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f>orders[[#This Row],[Ship Date]]-orders[[#This Row],[Order Date]]</f>
        <v>2</v>
      </c>
      <c r="N1551">
        <f>WEEKNUM(orders[[#This Row],[Order Date]])</f>
        <v>9</v>
      </c>
      <c r="O1551" t="str" cm="1">
        <f t="array" ref="O1551">_xlfn.IFS(orders[[#This Row],[Customer Gender]]="M","Male", orders[[#This Row],[Customer Gender]]="F","Female", orders[[#This Row],[Customer Gender]]="O","Other", TRUE,"Unknown")</f>
        <v>Male</v>
      </c>
    </row>
    <row r="1552" spans="1:15" x14ac:dyDescent="0.3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1">
        <v>45715</v>
      </c>
      <c r="G1552" s="1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f>orders[[#This Row],[Ship Date]]-orders[[#This Row],[Order Date]]</f>
        <v>4</v>
      </c>
      <c r="N1552">
        <f>WEEKNUM(orders[[#This Row],[Order Date]])</f>
        <v>9</v>
      </c>
      <c r="O1552" t="str" cm="1">
        <f t="array" ref="O1552">_xlfn.IFS(orders[[#This Row],[Customer Gender]]="M","Male", orders[[#This Row],[Customer Gender]]="F","Female", orders[[#This Row],[Customer Gender]]="O","Other", TRUE,"Unknown")</f>
        <v>Male</v>
      </c>
    </row>
    <row r="1553" spans="1:15" x14ac:dyDescent="0.3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1">
        <v>45715</v>
      </c>
      <c r="G1553" s="1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f>orders[[#This Row],[Ship Date]]-orders[[#This Row],[Order Date]]</f>
        <v>2</v>
      </c>
      <c r="N1553">
        <f>WEEKNUM(orders[[#This Row],[Order Date]])</f>
        <v>9</v>
      </c>
      <c r="O1553" t="str" cm="1">
        <f t="array" ref="O1553">_xlfn.IFS(orders[[#This Row],[Customer Gender]]="M","Male", orders[[#This Row],[Customer Gender]]="F","Female", orders[[#This Row],[Customer Gender]]="O","Other", TRUE,"Unknown")</f>
        <v>Male</v>
      </c>
    </row>
    <row r="1554" spans="1:15" x14ac:dyDescent="0.3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1">
        <v>45715</v>
      </c>
      <c r="G1554" s="1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f>orders[[#This Row],[Ship Date]]-orders[[#This Row],[Order Date]]</f>
        <v>3</v>
      </c>
      <c r="N1554">
        <f>WEEKNUM(orders[[#This Row],[Order Date]])</f>
        <v>9</v>
      </c>
      <c r="O1554" t="str" cm="1">
        <f t="array" ref="O1554">_xlfn.IFS(orders[[#This Row],[Customer Gender]]="M","Male", orders[[#This Row],[Customer Gender]]="F","Female", orders[[#This Row],[Customer Gender]]="O","Other", TRUE,"Unknown")</f>
        <v>Male</v>
      </c>
    </row>
    <row r="1555" spans="1:15" x14ac:dyDescent="0.3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1">
        <v>45715</v>
      </c>
      <c r="G1555" s="1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f>orders[[#This Row],[Ship Date]]-orders[[#This Row],[Order Date]]</f>
        <v>1</v>
      </c>
      <c r="N1555">
        <f>WEEKNUM(orders[[#This Row],[Order Date]])</f>
        <v>9</v>
      </c>
      <c r="O1555" t="str" cm="1">
        <f t="array" ref="O1555">_xlfn.IFS(orders[[#This Row],[Customer Gender]]="M","Male", orders[[#This Row],[Customer Gender]]="F","Female", orders[[#This Row],[Customer Gender]]="O","Other", TRUE,"Unknown")</f>
        <v>Female</v>
      </c>
    </row>
    <row r="1556" spans="1:15" x14ac:dyDescent="0.3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1">
        <v>45715</v>
      </c>
      <c r="G1556" s="1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f>orders[[#This Row],[Ship Date]]-orders[[#This Row],[Order Date]]</f>
        <v>2</v>
      </c>
      <c r="N1556">
        <f>WEEKNUM(orders[[#This Row],[Order Date]])</f>
        <v>9</v>
      </c>
      <c r="O1556" t="str" cm="1">
        <f t="array" ref="O1556">_xlfn.IFS(orders[[#This Row],[Customer Gender]]="M","Male", orders[[#This Row],[Customer Gender]]="F","Female", orders[[#This Row],[Customer Gender]]="O","Other", TRUE,"Unknown")</f>
        <v>Female</v>
      </c>
    </row>
    <row r="1557" spans="1:15" x14ac:dyDescent="0.3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1">
        <v>45715</v>
      </c>
      <c r="G1557" s="1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f>orders[[#This Row],[Ship Date]]-orders[[#This Row],[Order Date]]</f>
        <v>3</v>
      </c>
      <c r="N1557">
        <f>WEEKNUM(orders[[#This Row],[Order Date]])</f>
        <v>9</v>
      </c>
      <c r="O1557" t="str" cm="1">
        <f t="array" ref="O1557">_xlfn.IFS(orders[[#This Row],[Customer Gender]]="M","Male", orders[[#This Row],[Customer Gender]]="F","Female", orders[[#This Row],[Customer Gender]]="O","Other", TRUE,"Unknown")</f>
        <v>Unknown</v>
      </c>
    </row>
    <row r="1558" spans="1:15" x14ac:dyDescent="0.3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1">
        <v>45715</v>
      </c>
      <c r="G1558" s="1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f>orders[[#This Row],[Ship Date]]-orders[[#This Row],[Order Date]]</f>
        <v>5</v>
      </c>
      <c r="N1558">
        <f>WEEKNUM(orders[[#This Row],[Order Date]])</f>
        <v>9</v>
      </c>
      <c r="O1558" t="str" cm="1">
        <f t="array" ref="O1558">_xlfn.IFS(orders[[#This Row],[Customer Gender]]="M","Male", orders[[#This Row],[Customer Gender]]="F","Female", orders[[#This Row],[Customer Gender]]="O","Other", TRUE,"Unknown")</f>
        <v>Male</v>
      </c>
    </row>
    <row r="1559" spans="1:15" x14ac:dyDescent="0.3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1">
        <v>45715</v>
      </c>
      <c r="G1559" s="1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f>orders[[#This Row],[Ship Date]]-orders[[#This Row],[Order Date]]</f>
        <v>11</v>
      </c>
      <c r="N1559">
        <f>WEEKNUM(orders[[#This Row],[Order Date]])</f>
        <v>9</v>
      </c>
      <c r="O1559" t="str" cm="1">
        <f t="array" ref="O1559">_xlfn.IFS(orders[[#This Row],[Customer Gender]]="M","Male", orders[[#This Row],[Customer Gender]]="F","Female", orders[[#This Row],[Customer Gender]]="O","Other", TRUE,"Unknown")</f>
        <v>Male</v>
      </c>
    </row>
    <row r="1560" spans="1:15" x14ac:dyDescent="0.3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1">
        <v>45715</v>
      </c>
      <c r="G1560" s="1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f>orders[[#This Row],[Ship Date]]-orders[[#This Row],[Order Date]]</f>
        <v>0</v>
      </c>
      <c r="N1560">
        <f>WEEKNUM(orders[[#This Row],[Order Date]])</f>
        <v>9</v>
      </c>
      <c r="O1560" t="str" cm="1">
        <f t="array" ref="O1560">_xlfn.IFS(orders[[#This Row],[Customer Gender]]="M","Male", orders[[#This Row],[Customer Gender]]="F","Female", orders[[#This Row],[Customer Gender]]="O","Other", TRUE,"Unknown")</f>
        <v>Other</v>
      </c>
    </row>
    <row r="1561" spans="1:15" x14ac:dyDescent="0.3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1">
        <v>45715</v>
      </c>
      <c r="G1561" s="1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f>orders[[#This Row],[Ship Date]]-orders[[#This Row],[Order Date]]</f>
        <v>2</v>
      </c>
      <c r="N1561">
        <f>WEEKNUM(orders[[#This Row],[Order Date]])</f>
        <v>9</v>
      </c>
      <c r="O1561" t="str" cm="1">
        <f t="array" ref="O1561">_xlfn.IFS(orders[[#This Row],[Customer Gender]]="M","Male", orders[[#This Row],[Customer Gender]]="F","Female", orders[[#This Row],[Customer Gender]]="O","Other", TRUE,"Unknown")</f>
        <v>Female</v>
      </c>
    </row>
    <row r="1562" spans="1:15" x14ac:dyDescent="0.3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1">
        <v>45715</v>
      </c>
      <c r="G1562" s="1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f>orders[[#This Row],[Ship Date]]-orders[[#This Row],[Order Date]]</f>
        <v>1</v>
      </c>
      <c r="N1562">
        <f>WEEKNUM(orders[[#This Row],[Order Date]])</f>
        <v>9</v>
      </c>
      <c r="O1562" t="str" cm="1">
        <f t="array" ref="O1562">_xlfn.IFS(orders[[#This Row],[Customer Gender]]="M","Male", orders[[#This Row],[Customer Gender]]="F","Female", orders[[#This Row],[Customer Gender]]="O","Other", TRUE,"Unknown")</f>
        <v>Female</v>
      </c>
    </row>
    <row r="1563" spans="1:15" x14ac:dyDescent="0.3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1">
        <v>45715</v>
      </c>
      <c r="G1563" s="1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f>orders[[#This Row],[Ship Date]]-orders[[#This Row],[Order Date]]</f>
        <v>3</v>
      </c>
      <c r="N1563">
        <f>WEEKNUM(orders[[#This Row],[Order Date]])</f>
        <v>9</v>
      </c>
      <c r="O1563" t="str" cm="1">
        <f t="array" ref="O1563">_xlfn.IFS(orders[[#This Row],[Customer Gender]]="M","Male", orders[[#This Row],[Customer Gender]]="F","Female", orders[[#This Row],[Customer Gender]]="O","Other", TRUE,"Unknown")</f>
        <v>Other</v>
      </c>
    </row>
    <row r="1564" spans="1:15" x14ac:dyDescent="0.3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1">
        <v>45716</v>
      </c>
      <c r="G1564" s="1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f>orders[[#This Row],[Ship Date]]-orders[[#This Row],[Order Date]]</f>
        <v>1</v>
      </c>
      <c r="N1564">
        <f>WEEKNUM(orders[[#This Row],[Order Date]])</f>
        <v>9</v>
      </c>
      <c r="O1564" t="str" cm="1">
        <f t="array" ref="O1564">_xlfn.IFS(orders[[#This Row],[Customer Gender]]="M","Male", orders[[#This Row],[Customer Gender]]="F","Female", orders[[#This Row],[Customer Gender]]="O","Other", TRUE,"Unknown")</f>
        <v>Female</v>
      </c>
    </row>
    <row r="1565" spans="1:15" x14ac:dyDescent="0.3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1">
        <v>45716</v>
      </c>
      <c r="G1565" s="1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f>orders[[#This Row],[Ship Date]]-orders[[#This Row],[Order Date]]</f>
        <v>0</v>
      </c>
      <c r="N1565">
        <f>WEEKNUM(orders[[#This Row],[Order Date]])</f>
        <v>9</v>
      </c>
      <c r="O1565" t="str" cm="1">
        <f t="array" ref="O1565">_xlfn.IFS(orders[[#This Row],[Customer Gender]]="M","Male", orders[[#This Row],[Customer Gender]]="F","Female", orders[[#This Row],[Customer Gender]]="O","Other", TRUE,"Unknown")</f>
        <v>Female</v>
      </c>
    </row>
    <row r="1566" spans="1:15" x14ac:dyDescent="0.3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1">
        <v>45716</v>
      </c>
      <c r="G1566" s="1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f>orders[[#This Row],[Ship Date]]-orders[[#This Row],[Order Date]]</f>
        <v>3</v>
      </c>
      <c r="N1566">
        <f>WEEKNUM(orders[[#This Row],[Order Date]])</f>
        <v>9</v>
      </c>
      <c r="O1566" t="str" cm="1">
        <f t="array" ref="O1566">_xlfn.IFS(orders[[#This Row],[Customer Gender]]="M","Male", orders[[#This Row],[Customer Gender]]="F","Female", orders[[#This Row],[Customer Gender]]="O","Other", TRUE,"Unknown")</f>
        <v>Male</v>
      </c>
    </row>
    <row r="1567" spans="1:15" x14ac:dyDescent="0.3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1">
        <v>45716</v>
      </c>
      <c r="G1567" s="1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f>orders[[#This Row],[Ship Date]]-orders[[#This Row],[Order Date]]</f>
        <v>1</v>
      </c>
      <c r="N1567">
        <f>WEEKNUM(orders[[#This Row],[Order Date]])</f>
        <v>9</v>
      </c>
      <c r="O1567" t="str" cm="1">
        <f t="array" ref="O1567">_xlfn.IFS(orders[[#This Row],[Customer Gender]]="M","Male", orders[[#This Row],[Customer Gender]]="F","Female", orders[[#This Row],[Customer Gender]]="O","Other", TRUE,"Unknown")</f>
        <v>Male</v>
      </c>
    </row>
    <row r="1568" spans="1:15" x14ac:dyDescent="0.3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1">
        <v>45716</v>
      </c>
      <c r="G1568" s="1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f>orders[[#This Row],[Ship Date]]-orders[[#This Row],[Order Date]]</f>
        <v>1</v>
      </c>
      <c r="N1568">
        <f>WEEKNUM(orders[[#This Row],[Order Date]])</f>
        <v>9</v>
      </c>
      <c r="O1568" t="str" cm="1">
        <f t="array" ref="O1568">_xlfn.IFS(orders[[#This Row],[Customer Gender]]="M","Male", orders[[#This Row],[Customer Gender]]="F","Female", orders[[#This Row],[Customer Gender]]="O","Other", TRUE,"Unknown")</f>
        <v>Female</v>
      </c>
    </row>
    <row r="1569" spans="1:15" x14ac:dyDescent="0.3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1">
        <v>45716</v>
      </c>
      <c r="G1569" s="1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f>orders[[#This Row],[Ship Date]]-orders[[#This Row],[Order Date]]</f>
        <v>2</v>
      </c>
      <c r="N1569">
        <f>WEEKNUM(orders[[#This Row],[Order Date]])</f>
        <v>9</v>
      </c>
      <c r="O1569" t="str" cm="1">
        <f t="array" ref="O1569">_xlfn.IFS(orders[[#This Row],[Customer Gender]]="M","Male", orders[[#This Row],[Customer Gender]]="F","Female", orders[[#This Row],[Customer Gender]]="O","Other", TRUE,"Unknown")</f>
        <v>Male</v>
      </c>
    </row>
    <row r="1570" spans="1:15" x14ac:dyDescent="0.3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1">
        <v>45716</v>
      </c>
      <c r="G1570" s="1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f>orders[[#This Row],[Ship Date]]-orders[[#This Row],[Order Date]]</f>
        <v>1</v>
      </c>
      <c r="N1570">
        <f>WEEKNUM(orders[[#This Row],[Order Date]])</f>
        <v>9</v>
      </c>
      <c r="O1570" t="str" cm="1">
        <f t="array" ref="O1570">_xlfn.IFS(orders[[#This Row],[Customer Gender]]="M","Male", orders[[#This Row],[Customer Gender]]="F","Female", orders[[#This Row],[Customer Gender]]="O","Other", TRUE,"Unknown")</f>
        <v>Female</v>
      </c>
    </row>
    <row r="1571" spans="1:15" x14ac:dyDescent="0.3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1">
        <v>45716</v>
      </c>
      <c r="G1571" s="1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f>orders[[#This Row],[Ship Date]]-orders[[#This Row],[Order Date]]</f>
        <v>4</v>
      </c>
      <c r="N1571">
        <f>WEEKNUM(orders[[#This Row],[Order Date]])</f>
        <v>9</v>
      </c>
      <c r="O1571" t="str" cm="1">
        <f t="array" ref="O1571">_xlfn.IFS(orders[[#This Row],[Customer Gender]]="M","Male", orders[[#This Row],[Customer Gender]]="F","Female", orders[[#This Row],[Customer Gender]]="O","Other", TRUE,"Unknown")</f>
        <v>Male</v>
      </c>
    </row>
    <row r="1572" spans="1:15" x14ac:dyDescent="0.3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1">
        <v>45716</v>
      </c>
      <c r="G1572" s="1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f>orders[[#This Row],[Ship Date]]-orders[[#This Row],[Order Date]]</f>
        <v>2</v>
      </c>
      <c r="N1572">
        <f>WEEKNUM(orders[[#This Row],[Order Date]])</f>
        <v>9</v>
      </c>
      <c r="O1572" t="str" cm="1">
        <f t="array" ref="O1572">_xlfn.IFS(orders[[#This Row],[Customer Gender]]="M","Male", orders[[#This Row],[Customer Gender]]="F","Female", orders[[#This Row],[Customer Gender]]="O","Other", TRUE,"Unknown")</f>
        <v>Male</v>
      </c>
    </row>
    <row r="1573" spans="1:15" x14ac:dyDescent="0.3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1">
        <v>45716</v>
      </c>
      <c r="G1573" s="1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f>orders[[#This Row],[Ship Date]]-orders[[#This Row],[Order Date]]</f>
        <v>1</v>
      </c>
      <c r="N1573">
        <f>WEEKNUM(orders[[#This Row],[Order Date]])</f>
        <v>9</v>
      </c>
      <c r="O1573" t="str" cm="1">
        <f t="array" ref="O1573">_xlfn.IFS(orders[[#This Row],[Customer Gender]]="M","Male", orders[[#This Row],[Customer Gender]]="F","Female", orders[[#This Row],[Customer Gender]]="O","Other", TRUE,"Unknown")</f>
        <v>Male</v>
      </c>
    </row>
    <row r="1574" spans="1:15" x14ac:dyDescent="0.3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1">
        <v>45716</v>
      </c>
      <c r="G1574" s="1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f>orders[[#This Row],[Ship Date]]-orders[[#This Row],[Order Date]]</f>
        <v>3</v>
      </c>
      <c r="N1574">
        <f>WEEKNUM(orders[[#This Row],[Order Date]])</f>
        <v>9</v>
      </c>
      <c r="O1574" t="str" cm="1">
        <f t="array" ref="O1574">_xlfn.IFS(orders[[#This Row],[Customer Gender]]="M","Male", orders[[#This Row],[Customer Gender]]="F","Female", orders[[#This Row],[Customer Gender]]="O","Other", TRUE,"Unknown")</f>
        <v>Female</v>
      </c>
    </row>
    <row r="1575" spans="1:15" x14ac:dyDescent="0.3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1">
        <v>45716</v>
      </c>
      <c r="G1575" s="1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f>orders[[#This Row],[Ship Date]]-orders[[#This Row],[Order Date]]</f>
        <v>1</v>
      </c>
      <c r="N1575">
        <f>WEEKNUM(orders[[#This Row],[Order Date]])</f>
        <v>9</v>
      </c>
      <c r="O1575" t="str" cm="1">
        <f t="array" ref="O1575">_xlfn.IFS(orders[[#This Row],[Customer Gender]]="M","Male", orders[[#This Row],[Customer Gender]]="F","Female", orders[[#This Row],[Customer Gender]]="O","Other", TRUE,"Unknown")</f>
        <v>Female</v>
      </c>
    </row>
    <row r="1576" spans="1:15" x14ac:dyDescent="0.3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1">
        <v>45716</v>
      </c>
      <c r="G1576" s="1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f>orders[[#This Row],[Ship Date]]-orders[[#This Row],[Order Date]]</f>
        <v>2</v>
      </c>
      <c r="N1576">
        <f>WEEKNUM(orders[[#This Row],[Order Date]])</f>
        <v>9</v>
      </c>
      <c r="O1576" t="str" cm="1">
        <f t="array" ref="O1576">_xlfn.IFS(orders[[#This Row],[Customer Gender]]="M","Male", orders[[#This Row],[Customer Gender]]="F","Female", orders[[#This Row],[Customer Gender]]="O","Other", TRUE,"Unknown")</f>
        <v>Female</v>
      </c>
    </row>
    <row r="1577" spans="1:15" x14ac:dyDescent="0.3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1">
        <v>45716</v>
      </c>
      <c r="G1577" s="1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f>orders[[#This Row],[Ship Date]]-orders[[#This Row],[Order Date]]</f>
        <v>2</v>
      </c>
      <c r="N1577">
        <f>WEEKNUM(orders[[#This Row],[Order Date]])</f>
        <v>9</v>
      </c>
      <c r="O1577" t="str" cm="1">
        <f t="array" ref="O1577">_xlfn.IFS(orders[[#This Row],[Customer Gender]]="M","Male", orders[[#This Row],[Customer Gender]]="F","Female", orders[[#This Row],[Customer Gender]]="O","Other", TRUE,"Unknown")</f>
        <v>Female</v>
      </c>
    </row>
    <row r="1578" spans="1:15" x14ac:dyDescent="0.3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1">
        <v>45716</v>
      </c>
      <c r="G1578" s="1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f>orders[[#This Row],[Ship Date]]-orders[[#This Row],[Order Date]]</f>
        <v>6</v>
      </c>
      <c r="N1578">
        <f>WEEKNUM(orders[[#This Row],[Order Date]])</f>
        <v>9</v>
      </c>
      <c r="O1578" t="str" cm="1">
        <f t="array" ref="O1578">_xlfn.IFS(orders[[#This Row],[Customer Gender]]="M","Male", orders[[#This Row],[Customer Gender]]="F","Female", orders[[#This Row],[Customer Gender]]="O","Other", TRUE,"Unknown")</f>
        <v>Female</v>
      </c>
    </row>
    <row r="1579" spans="1:15" x14ac:dyDescent="0.3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1">
        <v>45716</v>
      </c>
      <c r="G1579" s="1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f>orders[[#This Row],[Ship Date]]-orders[[#This Row],[Order Date]]</f>
        <v>2</v>
      </c>
      <c r="N1579">
        <f>WEEKNUM(orders[[#This Row],[Order Date]])</f>
        <v>9</v>
      </c>
      <c r="O1579" t="str" cm="1">
        <f t="array" ref="O1579">_xlfn.IFS(orders[[#This Row],[Customer Gender]]="M","Male", orders[[#This Row],[Customer Gender]]="F","Female", orders[[#This Row],[Customer Gender]]="O","Other", TRUE,"Unknown")</f>
        <v>Female</v>
      </c>
    </row>
    <row r="1580" spans="1:15" x14ac:dyDescent="0.3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1">
        <v>45716</v>
      </c>
      <c r="G1580" s="1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f>orders[[#This Row],[Ship Date]]-orders[[#This Row],[Order Date]]</f>
        <v>0</v>
      </c>
      <c r="N1580">
        <f>WEEKNUM(orders[[#This Row],[Order Date]])</f>
        <v>9</v>
      </c>
      <c r="O1580" t="str" cm="1">
        <f t="array" ref="O1580">_xlfn.IFS(orders[[#This Row],[Customer Gender]]="M","Male", orders[[#This Row],[Customer Gender]]="F","Female", orders[[#This Row],[Customer Gender]]="O","Other", TRUE,"Unknown")</f>
        <v>Female</v>
      </c>
    </row>
    <row r="1581" spans="1:15" x14ac:dyDescent="0.3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1">
        <v>45716</v>
      </c>
      <c r="G1581" s="1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f>orders[[#This Row],[Ship Date]]-orders[[#This Row],[Order Date]]</f>
        <v>2</v>
      </c>
      <c r="N1581">
        <f>WEEKNUM(orders[[#This Row],[Order Date]])</f>
        <v>9</v>
      </c>
      <c r="O1581" t="str" cm="1">
        <f t="array" ref="O1581">_xlfn.IFS(orders[[#This Row],[Customer Gender]]="M","Male", orders[[#This Row],[Customer Gender]]="F","Female", orders[[#This Row],[Customer Gender]]="O","Other", TRUE,"Unknown")</f>
        <v>Female</v>
      </c>
    </row>
    <row r="1582" spans="1:15" x14ac:dyDescent="0.3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1">
        <v>45716</v>
      </c>
      <c r="G1582" s="1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f>orders[[#This Row],[Ship Date]]-orders[[#This Row],[Order Date]]</f>
        <v>0</v>
      </c>
      <c r="N1582">
        <f>WEEKNUM(orders[[#This Row],[Order Date]])</f>
        <v>9</v>
      </c>
      <c r="O1582" t="str" cm="1">
        <f t="array" ref="O1582">_xlfn.IFS(orders[[#This Row],[Customer Gender]]="M","Male", orders[[#This Row],[Customer Gender]]="F","Female", orders[[#This Row],[Customer Gender]]="O","Other", TRUE,"Unknown")</f>
        <v>Male</v>
      </c>
    </row>
    <row r="1583" spans="1:15" x14ac:dyDescent="0.3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1">
        <v>45716</v>
      </c>
      <c r="G1583" s="1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f>orders[[#This Row],[Ship Date]]-orders[[#This Row],[Order Date]]</f>
        <v>5</v>
      </c>
      <c r="N1583">
        <f>WEEKNUM(orders[[#This Row],[Order Date]])</f>
        <v>9</v>
      </c>
      <c r="O1583" t="str" cm="1">
        <f t="array" ref="O1583">_xlfn.IFS(orders[[#This Row],[Customer Gender]]="M","Male", orders[[#This Row],[Customer Gender]]="F","Female", orders[[#This Row],[Customer Gender]]="O","Other", TRUE,"Unknown")</f>
        <v>Female</v>
      </c>
    </row>
    <row r="1584" spans="1:15" x14ac:dyDescent="0.3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1">
        <v>45716</v>
      </c>
      <c r="G1584" s="1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f>orders[[#This Row],[Ship Date]]-orders[[#This Row],[Order Date]]</f>
        <v>2</v>
      </c>
      <c r="N1584">
        <f>WEEKNUM(orders[[#This Row],[Order Date]])</f>
        <v>9</v>
      </c>
      <c r="O1584" t="str" cm="1">
        <f t="array" ref="O1584">_xlfn.IFS(orders[[#This Row],[Customer Gender]]="M","Male", orders[[#This Row],[Customer Gender]]="F","Female", orders[[#This Row],[Customer Gender]]="O","Other", TRUE,"Unknown")</f>
        <v>Male</v>
      </c>
    </row>
    <row r="1585" spans="1:15" x14ac:dyDescent="0.3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1">
        <v>45716</v>
      </c>
      <c r="G1585" s="1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f>orders[[#This Row],[Ship Date]]-orders[[#This Row],[Order Date]]</f>
        <v>1</v>
      </c>
      <c r="N1585">
        <f>WEEKNUM(orders[[#This Row],[Order Date]])</f>
        <v>9</v>
      </c>
      <c r="O1585" t="str" cm="1">
        <f t="array" ref="O1585">_xlfn.IFS(orders[[#This Row],[Customer Gender]]="M","Male", orders[[#This Row],[Customer Gender]]="F","Female", orders[[#This Row],[Customer Gender]]="O","Other", TRUE,"Unknown")</f>
        <v>Female</v>
      </c>
    </row>
    <row r="1586" spans="1:15" x14ac:dyDescent="0.3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1">
        <v>45716</v>
      </c>
      <c r="G1586" s="1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f>orders[[#This Row],[Ship Date]]-orders[[#This Row],[Order Date]]</f>
        <v>3</v>
      </c>
      <c r="N1586">
        <f>WEEKNUM(orders[[#This Row],[Order Date]])</f>
        <v>9</v>
      </c>
      <c r="O1586" t="str" cm="1">
        <f t="array" ref="O1586">_xlfn.IFS(orders[[#This Row],[Customer Gender]]="M","Male", orders[[#This Row],[Customer Gender]]="F","Female", orders[[#This Row],[Customer Gender]]="O","Other", TRUE,"Unknown")</f>
        <v>Unknown</v>
      </c>
    </row>
    <row r="1587" spans="1:15" x14ac:dyDescent="0.3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1">
        <v>45716</v>
      </c>
      <c r="G1587" s="1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f>orders[[#This Row],[Ship Date]]-orders[[#This Row],[Order Date]]</f>
        <v>1</v>
      </c>
      <c r="N1587">
        <f>WEEKNUM(orders[[#This Row],[Order Date]])</f>
        <v>9</v>
      </c>
      <c r="O1587" t="str" cm="1">
        <f t="array" ref="O1587">_xlfn.IFS(orders[[#This Row],[Customer Gender]]="M","Male", orders[[#This Row],[Customer Gender]]="F","Female", orders[[#This Row],[Customer Gender]]="O","Other", TRUE,"Unknown")</f>
        <v>Male</v>
      </c>
    </row>
    <row r="1588" spans="1:15" x14ac:dyDescent="0.3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1">
        <v>45716</v>
      </c>
      <c r="G1588" s="1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f>orders[[#This Row],[Ship Date]]-orders[[#This Row],[Order Date]]</f>
        <v>1</v>
      </c>
      <c r="N1588">
        <f>WEEKNUM(orders[[#This Row],[Order Date]])</f>
        <v>9</v>
      </c>
      <c r="O1588" t="str" cm="1">
        <f t="array" ref="O1588">_xlfn.IFS(orders[[#This Row],[Customer Gender]]="M","Male", orders[[#This Row],[Customer Gender]]="F","Female", orders[[#This Row],[Customer Gender]]="O","Other", TRUE,"Unknown")</f>
        <v>Female</v>
      </c>
    </row>
    <row r="1589" spans="1:15" x14ac:dyDescent="0.3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1">
        <v>45716</v>
      </c>
      <c r="G1589" s="1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f>orders[[#This Row],[Ship Date]]-orders[[#This Row],[Order Date]]</f>
        <v>1</v>
      </c>
      <c r="N1589">
        <f>WEEKNUM(orders[[#This Row],[Order Date]])</f>
        <v>9</v>
      </c>
      <c r="O1589" t="str" cm="1">
        <f t="array" ref="O1589">_xlfn.IFS(orders[[#This Row],[Customer Gender]]="M","Male", orders[[#This Row],[Customer Gender]]="F","Female", orders[[#This Row],[Customer Gender]]="O","Other", TRUE,"Unknown")</f>
        <v>Male</v>
      </c>
    </row>
    <row r="1590" spans="1:15" x14ac:dyDescent="0.3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1">
        <v>45716</v>
      </c>
      <c r="G1590" s="1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f>orders[[#This Row],[Ship Date]]-orders[[#This Row],[Order Date]]</f>
        <v>2</v>
      </c>
      <c r="N1590">
        <f>WEEKNUM(orders[[#This Row],[Order Date]])</f>
        <v>9</v>
      </c>
      <c r="O1590" t="str" cm="1">
        <f t="array" ref="O1590">_xlfn.IFS(orders[[#This Row],[Customer Gender]]="M","Male", orders[[#This Row],[Customer Gender]]="F","Female", orders[[#This Row],[Customer Gender]]="O","Other", TRUE,"Unknown")</f>
        <v>Other</v>
      </c>
    </row>
    <row r="1591" spans="1:15" x14ac:dyDescent="0.3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1">
        <v>45716</v>
      </c>
      <c r="G1591" s="1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f>orders[[#This Row],[Ship Date]]-orders[[#This Row],[Order Date]]</f>
        <v>1</v>
      </c>
      <c r="N1591">
        <f>WEEKNUM(orders[[#This Row],[Order Date]])</f>
        <v>9</v>
      </c>
      <c r="O1591" t="str" cm="1">
        <f t="array" ref="O1591">_xlfn.IFS(orders[[#This Row],[Customer Gender]]="M","Male", orders[[#This Row],[Customer Gender]]="F","Female", orders[[#This Row],[Customer Gender]]="O","Other", TRUE,"Unknown")</f>
        <v>Female</v>
      </c>
    </row>
    <row r="1592" spans="1:15" x14ac:dyDescent="0.3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1">
        <v>45716</v>
      </c>
      <c r="G1592" s="1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f>orders[[#This Row],[Ship Date]]-orders[[#This Row],[Order Date]]</f>
        <v>2</v>
      </c>
      <c r="N1592">
        <f>WEEKNUM(orders[[#This Row],[Order Date]])</f>
        <v>9</v>
      </c>
      <c r="O1592" t="str" cm="1">
        <f t="array" ref="O1592">_xlfn.IFS(orders[[#This Row],[Customer Gender]]="M","Male", orders[[#This Row],[Customer Gender]]="F","Female", orders[[#This Row],[Customer Gender]]="O","Other", TRUE,"Unknown")</f>
        <v>Female</v>
      </c>
    </row>
    <row r="1593" spans="1:15" x14ac:dyDescent="0.3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1">
        <v>45717</v>
      </c>
      <c r="G1593" s="1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f>orders[[#This Row],[Ship Date]]-orders[[#This Row],[Order Date]]</f>
        <v>13</v>
      </c>
      <c r="N1593">
        <f>WEEKNUM(orders[[#This Row],[Order Date]])</f>
        <v>9</v>
      </c>
      <c r="O1593" t="str" cm="1">
        <f t="array" ref="O1593">_xlfn.IFS(orders[[#This Row],[Customer Gender]]="M","Male", orders[[#This Row],[Customer Gender]]="F","Female", orders[[#This Row],[Customer Gender]]="O","Other", TRUE,"Unknown")</f>
        <v>Female</v>
      </c>
    </row>
    <row r="1594" spans="1:15" x14ac:dyDescent="0.3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1">
        <v>45717</v>
      </c>
      <c r="G1594" s="1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f>orders[[#This Row],[Ship Date]]-orders[[#This Row],[Order Date]]</f>
        <v>1</v>
      </c>
      <c r="N1594">
        <f>WEEKNUM(orders[[#This Row],[Order Date]])</f>
        <v>9</v>
      </c>
      <c r="O1594" t="str" cm="1">
        <f t="array" ref="O1594">_xlfn.IFS(orders[[#This Row],[Customer Gender]]="M","Male", orders[[#This Row],[Customer Gender]]="F","Female", orders[[#This Row],[Customer Gender]]="O","Other", TRUE,"Unknown")</f>
        <v>Female</v>
      </c>
    </row>
    <row r="1595" spans="1:15" x14ac:dyDescent="0.3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1">
        <v>45717</v>
      </c>
      <c r="G1595" s="1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f>orders[[#This Row],[Ship Date]]-orders[[#This Row],[Order Date]]</f>
        <v>6</v>
      </c>
      <c r="N1595">
        <f>WEEKNUM(orders[[#This Row],[Order Date]])</f>
        <v>9</v>
      </c>
      <c r="O1595" t="str" cm="1">
        <f t="array" ref="O1595">_xlfn.IFS(orders[[#This Row],[Customer Gender]]="M","Male", orders[[#This Row],[Customer Gender]]="F","Female", orders[[#This Row],[Customer Gender]]="O","Other", TRUE,"Unknown")</f>
        <v>Male</v>
      </c>
    </row>
    <row r="1596" spans="1:15" x14ac:dyDescent="0.3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1">
        <v>45717</v>
      </c>
      <c r="G1596" s="1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f>orders[[#This Row],[Ship Date]]-orders[[#This Row],[Order Date]]</f>
        <v>5</v>
      </c>
      <c r="N1596">
        <f>WEEKNUM(orders[[#This Row],[Order Date]])</f>
        <v>9</v>
      </c>
      <c r="O1596" t="str" cm="1">
        <f t="array" ref="O1596">_xlfn.IFS(orders[[#This Row],[Customer Gender]]="M","Male", orders[[#This Row],[Customer Gender]]="F","Female", orders[[#This Row],[Customer Gender]]="O","Other", TRUE,"Unknown")</f>
        <v>Female</v>
      </c>
    </row>
    <row r="1597" spans="1:15" x14ac:dyDescent="0.3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1">
        <v>45717</v>
      </c>
      <c r="G1597" s="1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f>orders[[#This Row],[Ship Date]]-orders[[#This Row],[Order Date]]</f>
        <v>0</v>
      </c>
      <c r="N1597">
        <f>WEEKNUM(orders[[#This Row],[Order Date]])</f>
        <v>9</v>
      </c>
      <c r="O1597" t="str" cm="1">
        <f t="array" ref="O1597">_xlfn.IFS(orders[[#This Row],[Customer Gender]]="M","Male", orders[[#This Row],[Customer Gender]]="F","Female", orders[[#This Row],[Customer Gender]]="O","Other", TRUE,"Unknown")</f>
        <v>Male</v>
      </c>
    </row>
    <row r="1598" spans="1:15" x14ac:dyDescent="0.3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1">
        <v>45717</v>
      </c>
      <c r="G1598" s="1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f>orders[[#This Row],[Ship Date]]-orders[[#This Row],[Order Date]]</f>
        <v>1</v>
      </c>
      <c r="N1598">
        <f>WEEKNUM(orders[[#This Row],[Order Date]])</f>
        <v>9</v>
      </c>
      <c r="O1598" t="str" cm="1">
        <f t="array" ref="O1598">_xlfn.IFS(orders[[#This Row],[Customer Gender]]="M","Male", orders[[#This Row],[Customer Gender]]="F","Female", orders[[#This Row],[Customer Gender]]="O","Other", TRUE,"Unknown")</f>
        <v>Unknown</v>
      </c>
    </row>
    <row r="1599" spans="1:15" x14ac:dyDescent="0.3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1">
        <v>45717</v>
      </c>
      <c r="G1599" s="1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f>orders[[#This Row],[Ship Date]]-orders[[#This Row],[Order Date]]</f>
        <v>4</v>
      </c>
      <c r="N1599">
        <f>WEEKNUM(orders[[#This Row],[Order Date]])</f>
        <v>9</v>
      </c>
      <c r="O1599" t="str" cm="1">
        <f t="array" ref="O1599">_xlfn.IFS(orders[[#This Row],[Customer Gender]]="M","Male", orders[[#This Row],[Customer Gender]]="F","Female", orders[[#This Row],[Customer Gender]]="O","Other", TRUE,"Unknown")</f>
        <v>Female</v>
      </c>
    </row>
    <row r="1600" spans="1:15" x14ac:dyDescent="0.3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1">
        <v>45717</v>
      </c>
      <c r="G1600" s="1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f>orders[[#This Row],[Ship Date]]-orders[[#This Row],[Order Date]]</f>
        <v>1</v>
      </c>
      <c r="N1600">
        <f>WEEKNUM(orders[[#This Row],[Order Date]])</f>
        <v>9</v>
      </c>
      <c r="O1600" t="str" cm="1">
        <f t="array" ref="O1600">_xlfn.IFS(orders[[#This Row],[Customer Gender]]="M","Male", orders[[#This Row],[Customer Gender]]="F","Female", orders[[#This Row],[Customer Gender]]="O","Other", TRUE,"Unknown")</f>
        <v>Female</v>
      </c>
    </row>
    <row r="1601" spans="1:15" x14ac:dyDescent="0.3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1">
        <v>45717</v>
      </c>
      <c r="G1601" s="1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f>orders[[#This Row],[Ship Date]]-orders[[#This Row],[Order Date]]</f>
        <v>8</v>
      </c>
      <c r="N1601">
        <f>WEEKNUM(orders[[#This Row],[Order Date]])</f>
        <v>9</v>
      </c>
      <c r="O1601" t="str" cm="1">
        <f t="array" ref="O1601">_xlfn.IFS(orders[[#This Row],[Customer Gender]]="M","Male", orders[[#This Row],[Customer Gender]]="F","Female", orders[[#This Row],[Customer Gender]]="O","Other", TRUE,"Unknown")</f>
        <v>Female</v>
      </c>
    </row>
    <row r="1602" spans="1:15" x14ac:dyDescent="0.3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1">
        <v>45717</v>
      </c>
      <c r="G1602" s="1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f>orders[[#This Row],[Ship Date]]-orders[[#This Row],[Order Date]]</f>
        <v>2</v>
      </c>
      <c r="N1602">
        <f>WEEKNUM(orders[[#This Row],[Order Date]])</f>
        <v>9</v>
      </c>
      <c r="O1602" t="str" cm="1">
        <f t="array" ref="O1602">_xlfn.IFS(orders[[#This Row],[Customer Gender]]="M","Male", orders[[#This Row],[Customer Gender]]="F","Female", orders[[#This Row],[Customer Gender]]="O","Other", TRUE,"Unknown")</f>
        <v>Male</v>
      </c>
    </row>
    <row r="1603" spans="1:15" x14ac:dyDescent="0.3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1">
        <v>45717</v>
      </c>
      <c r="G1603" s="1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f>orders[[#This Row],[Ship Date]]-orders[[#This Row],[Order Date]]</f>
        <v>2</v>
      </c>
      <c r="N1603">
        <f>WEEKNUM(orders[[#This Row],[Order Date]])</f>
        <v>9</v>
      </c>
      <c r="O1603" t="str" cm="1">
        <f t="array" ref="O1603">_xlfn.IFS(orders[[#This Row],[Customer Gender]]="M","Male", orders[[#This Row],[Customer Gender]]="F","Female", orders[[#This Row],[Customer Gender]]="O","Other", TRUE,"Unknown")</f>
        <v>Male</v>
      </c>
    </row>
    <row r="1604" spans="1:15" x14ac:dyDescent="0.3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1">
        <v>45717</v>
      </c>
      <c r="G1604" s="1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f>orders[[#This Row],[Ship Date]]-orders[[#This Row],[Order Date]]</f>
        <v>0</v>
      </c>
      <c r="N1604">
        <f>WEEKNUM(orders[[#This Row],[Order Date]])</f>
        <v>9</v>
      </c>
      <c r="O1604" t="str" cm="1">
        <f t="array" ref="O1604">_xlfn.IFS(orders[[#This Row],[Customer Gender]]="M","Male", orders[[#This Row],[Customer Gender]]="F","Female", orders[[#This Row],[Customer Gender]]="O","Other", TRUE,"Unknown")</f>
        <v>Female</v>
      </c>
    </row>
    <row r="1605" spans="1:15" x14ac:dyDescent="0.3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1">
        <v>45717</v>
      </c>
      <c r="G1605" s="1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f>orders[[#This Row],[Ship Date]]-orders[[#This Row],[Order Date]]</f>
        <v>2</v>
      </c>
      <c r="N1605">
        <f>WEEKNUM(orders[[#This Row],[Order Date]])</f>
        <v>9</v>
      </c>
      <c r="O1605" t="str" cm="1">
        <f t="array" ref="O1605">_xlfn.IFS(orders[[#This Row],[Customer Gender]]="M","Male", orders[[#This Row],[Customer Gender]]="F","Female", orders[[#This Row],[Customer Gender]]="O","Other", TRUE,"Unknown")</f>
        <v>Male</v>
      </c>
    </row>
    <row r="1606" spans="1:15" x14ac:dyDescent="0.3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1">
        <v>45717</v>
      </c>
      <c r="G1606" s="1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f>orders[[#This Row],[Ship Date]]-orders[[#This Row],[Order Date]]</f>
        <v>1</v>
      </c>
      <c r="N1606">
        <f>WEEKNUM(orders[[#This Row],[Order Date]])</f>
        <v>9</v>
      </c>
      <c r="O1606" t="str" cm="1">
        <f t="array" ref="O1606">_xlfn.IFS(orders[[#This Row],[Customer Gender]]="M","Male", orders[[#This Row],[Customer Gender]]="F","Female", orders[[#This Row],[Customer Gender]]="O","Other", TRUE,"Unknown")</f>
        <v>Male</v>
      </c>
    </row>
    <row r="1607" spans="1:15" x14ac:dyDescent="0.3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1">
        <v>45717</v>
      </c>
      <c r="G1607" s="1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f>orders[[#This Row],[Ship Date]]-orders[[#This Row],[Order Date]]</f>
        <v>4</v>
      </c>
      <c r="N1607">
        <f>WEEKNUM(orders[[#This Row],[Order Date]])</f>
        <v>9</v>
      </c>
      <c r="O1607" t="str" cm="1">
        <f t="array" ref="O1607">_xlfn.IFS(orders[[#This Row],[Customer Gender]]="M","Male", orders[[#This Row],[Customer Gender]]="F","Female", orders[[#This Row],[Customer Gender]]="O","Other", TRUE,"Unknown")</f>
        <v>Male</v>
      </c>
    </row>
    <row r="1608" spans="1:15" x14ac:dyDescent="0.3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1">
        <v>45717</v>
      </c>
      <c r="G1608" s="1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f>orders[[#This Row],[Ship Date]]-orders[[#This Row],[Order Date]]</f>
        <v>1</v>
      </c>
      <c r="N1608">
        <f>WEEKNUM(orders[[#This Row],[Order Date]])</f>
        <v>9</v>
      </c>
      <c r="O1608" t="str" cm="1">
        <f t="array" ref="O1608">_xlfn.IFS(orders[[#This Row],[Customer Gender]]="M","Male", orders[[#This Row],[Customer Gender]]="F","Female", orders[[#This Row],[Customer Gender]]="O","Other", TRUE,"Unknown")</f>
        <v>Female</v>
      </c>
    </row>
    <row r="1609" spans="1:15" x14ac:dyDescent="0.3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1">
        <v>45717</v>
      </c>
      <c r="G1609" s="1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f>orders[[#This Row],[Ship Date]]-orders[[#This Row],[Order Date]]</f>
        <v>2</v>
      </c>
      <c r="N1609">
        <f>WEEKNUM(orders[[#This Row],[Order Date]])</f>
        <v>9</v>
      </c>
      <c r="O1609" t="str" cm="1">
        <f t="array" ref="O1609">_xlfn.IFS(orders[[#This Row],[Customer Gender]]="M","Male", orders[[#This Row],[Customer Gender]]="F","Female", orders[[#This Row],[Customer Gender]]="O","Other", TRUE,"Unknown")</f>
        <v>Female</v>
      </c>
    </row>
    <row r="1610" spans="1:15" x14ac:dyDescent="0.3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1">
        <v>45717</v>
      </c>
      <c r="G1610" s="1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f>orders[[#This Row],[Ship Date]]-orders[[#This Row],[Order Date]]</f>
        <v>1</v>
      </c>
      <c r="N1610">
        <f>WEEKNUM(orders[[#This Row],[Order Date]])</f>
        <v>9</v>
      </c>
      <c r="O1610" t="str" cm="1">
        <f t="array" ref="O1610">_xlfn.IFS(orders[[#This Row],[Customer Gender]]="M","Male", orders[[#This Row],[Customer Gender]]="F","Female", orders[[#This Row],[Customer Gender]]="O","Other", TRUE,"Unknown")</f>
        <v>Male</v>
      </c>
    </row>
    <row r="1611" spans="1:15" x14ac:dyDescent="0.3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1">
        <v>45717</v>
      </c>
      <c r="G1611" s="1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f>orders[[#This Row],[Ship Date]]-orders[[#This Row],[Order Date]]</f>
        <v>2</v>
      </c>
      <c r="N1611">
        <f>WEEKNUM(orders[[#This Row],[Order Date]])</f>
        <v>9</v>
      </c>
      <c r="O1611" t="str" cm="1">
        <f t="array" ref="O1611">_xlfn.IFS(orders[[#This Row],[Customer Gender]]="M","Male", orders[[#This Row],[Customer Gender]]="F","Female", orders[[#This Row],[Customer Gender]]="O","Other", TRUE,"Unknown")</f>
        <v>Male</v>
      </c>
    </row>
    <row r="1612" spans="1:15" x14ac:dyDescent="0.3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1">
        <v>45717</v>
      </c>
      <c r="G1612" s="1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f>orders[[#This Row],[Ship Date]]-orders[[#This Row],[Order Date]]</f>
        <v>1</v>
      </c>
      <c r="N1612">
        <f>WEEKNUM(orders[[#This Row],[Order Date]])</f>
        <v>9</v>
      </c>
      <c r="O1612" t="str" cm="1">
        <f t="array" ref="O1612">_xlfn.IFS(orders[[#This Row],[Customer Gender]]="M","Male", orders[[#This Row],[Customer Gender]]="F","Female", orders[[#This Row],[Customer Gender]]="O","Other", TRUE,"Unknown")</f>
        <v>Male</v>
      </c>
    </row>
    <row r="1613" spans="1:15" x14ac:dyDescent="0.3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1">
        <v>45717</v>
      </c>
      <c r="G1613" s="1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f>orders[[#This Row],[Ship Date]]-orders[[#This Row],[Order Date]]</f>
        <v>1</v>
      </c>
      <c r="N1613">
        <f>WEEKNUM(orders[[#This Row],[Order Date]])</f>
        <v>9</v>
      </c>
      <c r="O1613" t="str" cm="1">
        <f t="array" ref="O1613">_xlfn.IFS(orders[[#This Row],[Customer Gender]]="M","Male", orders[[#This Row],[Customer Gender]]="F","Female", orders[[#This Row],[Customer Gender]]="O","Other", TRUE,"Unknown")</f>
        <v>Male</v>
      </c>
    </row>
    <row r="1614" spans="1:15" x14ac:dyDescent="0.3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1">
        <v>45717</v>
      </c>
      <c r="G1614" s="1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f>orders[[#This Row],[Ship Date]]-orders[[#This Row],[Order Date]]</f>
        <v>4</v>
      </c>
      <c r="N1614">
        <f>WEEKNUM(orders[[#This Row],[Order Date]])</f>
        <v>9</v>
      </c>
      <c r="O1614" t="str" cm="1">
        <f t="array" ref="O1614">_xlfn.IFS(orders[[#This Row],[Customer Gender]]="M","Male", orders[[#This Row],[Customer Gender]]="F","Female", orders[[#This Row],[Customer Gender]]="O","Other", TRUE,"Unknown")</f>
        <v>Female</v>
      </c>
    </row>
    <row r="1615" spans="1:15" x14ac:dyDescent="0.3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1">
        <v>45718</v>
      </c>
      <c r="G1615" s="1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f>orders[[#This Row],[Ship Date]]-orders[[#This Row],[Order Date]]</f>
        <v>3</v>
      </c>
      <c r="N1615">
        <f>WEEKNUM(orders[[#This Row],[Order Date]])</f>
        <v>10</v>
      </c>
      <c r="O1615" t="str" cm="1">
        <f t="array" ref="O1615">_xlfn.IFS(orders[[#This Row],[Customer Gender]]="M","Male", orders[[#This Row],[Customer Gender]]="F","Female", orders[[#This Row],[Customer Gender]]="O","Other", TRUE,"Unknown")</f>
        <v>Female</v>
      </c>
    </row>
    <row r="1616" spans="1:15" x14ac:dyDescent="0.3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1">
        <v>45718</v>
      </c>
      <c r="G1616" s="1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f>orders[[#This Row],[Ship Date]]-orders[[#This Row],[Order Date]]</f>
        <v>2</v>
      </c>
      <c r="N1616">
        <f>WEEKNUM(orders[[#This Row],[Order Date]])</f>
        <v>10</v>
      </c>
      <c r="O1616" t="str" cm="1">
        <f t="array" ref="O1616">_xlfn.IFS(orders[[#This Row],[Customer Gender]]="M","Male", orders[[#This Row],[Customer Gender]]="F","Female", orders[[#This Row],[Customer Gender]]="O","Other", TRUE,"Unknown")</f>
        <v>Female</v>
      </c>
    </row>
    <row r="1617" spans="1:15" x14ac:dyDescent="0.3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1">
        <v>45718</v>
      </c>
      <c r="G1617" s="1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f>orders[[#This Row],[Ship Date]]-orders[[#This Row],[Order Date]]</f>
        <v>2</v>
      </c>
      <c r="N1617">
        <f>WEEKNUM(orders[[#This Row],[Order Date]])</f>
        <v>10</v>
      </c>
      <c r="O1617" t="str" cm="1">
        <f t="array" ref="O1617">_xlfn.IFS(orders[[#This Row],[Customer Gender]]="M","Male", orders[[#This Row],[Customer Gender]]="F","Female", orders[[#This Row],[Customer Gender]]="O","Other", TRUE,"Unknown")</f>
        <v>Female</v>
      </c>
    </row>
    <row r="1618" spans="1:15" x14ac:dyDescent="0.3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1">
        <v>45718</v>
      </c>
      <c r="G1618" s="1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f>orders[[#This Row],[Ship Date]]-orders[[#This Row],[Order Date]]</f>
        <v>3</v>
      </c>
      <c r="N1618">
        <f>WEEKNUM(orders[[#This Row],[Order Date]])</f>
        <v>10</v>
      </c>
      <c r="O1618" t="str" cm="1">
        <f t="array" ref="O1618">_xlfn.IFS(orders[[#This Row],[Customer Gender]]="M","Male", orders[[#This Row],[Customer Gender]]="F","Female", orders[[#This Row],[Customer Gender]]="O","Other", TRUE,"Unknown")</f>
        <v>Female</v>
      </c>
    </row>
    <row r="1619" spans="1:15" x14ac:dyDescent="0.3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1">
        <v>45718</v>
      </c>
      <c r="G1619" s="1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f>orders[[#This Row],[Ship Date]]-orders[[#This Row],[Order Date]]</f>
        <v>14</v>
      </c>
      <c r="N1619">
        <f>WEEKNUM(orders[[#This Row],[Order Date]])</f>
        <v>10</v>
      </c>
      <c r="O1619" t="str" cm="1">
        <f t="array" ref="O1619">_xlfn.IFS(orders[[#This Row],[Customer Gender]]="M","Male", orders[[#This Row],[Customer Gender]]="F","Female", orders[[#This Row],[Customer Gender]]="O","Other", TRUE,"Unknown")</f>
        <v>Other</v>
      </c>
    </row>
    <row r="1620" spans="1:15" x14ac:dyDescent="0.3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1">
        <v>45718</v>
      </c>
      <c r="G1620" s="1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f>orders[[#This Row],[Ship Date]]-orders[[#This Row],[Order Date]]</f>
        <v>2</v>
      </c>
      <c r="N1620">
        <f>WEEKNUM(orders[[#This Row],[Order Date]])</f>
        <v>10</v>
      </c>
      <c r="O1620" t="str" cm="1">
        <f t="array" ref="O1620">_xlfn.IFS(orders[[#This Row],[Customer Gender]]="M","Male", orders[[#This Row],[Customer Gender]]="F","Female", orders[[#This Row],[Customer Gender]]="O","Other", TRUE,"Unknown")</f>
        <v>Male</v>
      </c>
    </row>
    <row r="1621" spans="1:15" x14ac:dyDescent="0.3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1">
        <v>45718</v>
      </c>
      <c r="G1621" s="1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f>orders[[#This Row],[Ship Date]]-orders[[#This Row],[Order Date]]</f>
        <v>0</v>
      </c>
      <c r="N1621">
        <f>WEEKNUM(orders[[#This Row],[Order Date]])</f>
        <v>10</v>
      </c>
      <c r="O1621" t="str" cm="1">
        <f t="array" ref="O1621">_xlfn.IFS(orders[[#This Row],[Customer Gender]]="M","Male", orders[[#This Row],[Customer Gender]]="F","Female", orders[[#This Row],[Customer Gender]]="O","Other", TRUE,"Unknown")</f>
        <v>Female</v>
      </c>
    </row>
    <row r="1622" spans="1:15" x14ac:dyDescent="0.3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1">
        <v>45718</v>
      </c>
      <c r="G1622" s="1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f>orders[[#This Row],[Ship Date]]-orders[[#This Row],[Order Date]]</f>
        <v>1</v>
      </c>
      <c r="N1622">
        <f>WEEKNUM(orders[[#This Row],[Order Date]])</f>
        <v>10</v>
      </c>
      <c r="O1622" t="str" cm="1">
        <f t="array" ref="O1622">_xlfn.IFS(orders[[#This Row],[Customer Gender]]="M","Male", orders[[#This Row],[Customer Gender]]="F","Female", orders[[#This Row],[Customer Gender]]="O","Other", TRUE,"Unknown")</f>
        <v>Male</v>
      </c>
    </row>
    <row r="1623" spans="1:15" x14ac:dyDescent="0.3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1">
        <v>45718</v>
      </c>
      <c r="G1623" s="1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f>orders[[#This Row],[Ship Date]]-orders[[#This Row],[Order Date]]</f>
        <v>2</v>
      </c>
      <c r="N1623">
        <f>WEEKNUM(orders[[#This Row],[Order Date]])</f>
        <v>10</v>
      </c>
      <c r="O1623" t="str" cm="1">
        <f t="array" ref="O1623">_xlfn.IFS(orders[[#This Row],[Customer Gender]]="M","Male", orders[[#This Row],[Customer Gender]]="F","Female", orders[[#This Row],[Customer Gender]]="O","Other", TRUE,"Unknown")</f>
        <v>Male</v>
      </c>
    </row>
    <row r="1624" spans="1:15" x14ac:dyDescent="0.3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1">
        <v>45718</v>
      </c>
      <c r="G1624" s="1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f>orders[[#This Row],[Ship Date]]-orders[[#This Row],[Order Date]]</f>
        <v>4</v>
      </c>
      <c r="N1624">
        <f>WEEKNUM(orders[[#This Row],[Order Date]])</f>
        <v>10</v>
      </c>
      <c r="O1624" t="str" cm="1">
        <f t="array" ref="O1624">_xlfn.IFS(orders[[#This Row],[Customer Gender]]="M","Male", orders[[#This Row],[Customer Gender]]="F","Female", orders[[#This Row],[Customer Gender]]="O","Other", TRUE,"Unknown")</f>
        <v>Female</v>
      </c>
    </row>
    <row r="1625" spans="1:15" x14ac:dyDescent="0.3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1">
        <v>45718</v>
      </c>
      <c r="G1625" s="1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f>orders[[#This Row],[Ship Date]]-orders[[#This Row],[Order Date]]</f>
        <v>1</v>
      </c>
      <c r="N1625">
        <f>WEEKNUM(orders[[#This Row],[Order Date]])</f>
        <v>10</v>
      </c>
      <c r="O1625" t="str" cm="1">
        <f t="array" ref="O1625">_xlfn.IFS(orders[[#This Row],[Customer Gender]]="M","Male", orders[[#This Row],[Customer Gender]]="F","Female", orders[[#This Row],[Customer Gender]]="O","Other", TRUE,"Unknown")</f>
        <v>Other</v>
      </c>
    </row>
    <row r="1626" spans="1:15" x14ac:dyDescent="0.3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1">
        <v>45718</v>
      </c>
      <c r="G1626" s="1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f>orders[[#This Row],[Ship Date]]-orders[[#This Row],[Order Date]]</f>
        <v>1</v>
      </c>
      <c r="N1626">
        <f>WEEKNUM(orders[[#This Row],[Order Date]])</f>
        <v>10</v>
      </c>
      <c r="O1626" t="str" cm="1">
        <f t="array" ref="O1626">_xlfn.IFS(orders[[#This Row],[Customer Gender]]="M","Male", orders[[#This Row],[Customer Gender]]="F","Female", orders[[#This Row],[Customer Gender]]="O","Other", TRUE,"Unknown")</f>
        <v>Other</v>
      </c>
    </row>
    <row r="1627" spans="1:15" x14ac:dyDescent="0.3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1">
        <v>45718</v>
      </c>
      <c r="G1627" s="1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f>orders[[#This Row],[Ship Date]]-orders[[#This Row],[Order Date]]</f>
        <v>4</v>
      </c>
      <c r="N1627">
        <f>WEEKNUM(orders[[#This Row],[Order Date]])</f>
        <v>10</v>
      </c>
      <c r="O1627" t="str" cm="1">
        <f t="array" ref="O1627">_xlfn.IFS(orders[[#This Row],[Customer Gender]]="M","Male", orders[[#This Row],[Customer Gender]]="F","Female", orders[[#This Row],[Customer Gender]]="O","Other", TRUE,"Unknown")</f>
        <v>Female</v>
      </c>
    </row>
    <row r="1628" spans="1:15" x14ac:dyDescent="0.3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1">
        <v>45718</v>
      </c>
      <c r="G1628" s="1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f>orders[[#This Row],[Ship Date]]-orders[[#This Row],[Order Date]]</f>
        <v>1</v>
      </c>
      <c r="N1628">
        <f>WEEKNUM(orders[[#This Row],[Order Date]])</f>
        <v>10</v>
      </c>
      <c r="O1628" t="str" cm="1">
        <f t="array" ref="O1628">_xlfn.IFS(orders[[#This Row],[Customer Gender]]="M","Male", orders[[#This Row],[Customer Gender]]="F","Female", orders[[#This Row],[Customer Gender]]="O","Other", TRUE,"Unknown")</f>
        <v>Female</v>
      </c>
    </row>
    <row r="1629" spans="1:15" x14ac:dyDescent="0.3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1">
        <v>45718</v>
      </c>
      <c r="G1629" s="1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f>orders[[#This Row],[Ship Date]]-orders[[#This Row],[Order Date]]</f>
        <v>2</v>
      </c>
      <c r="N1629">
        <f>WEEKNUM(orders[[#This Row],[Order Date]])</f>
        <v>10</v>
      </c>
      <c r="O1629" t="str" cm="1">
        <f t="array" ref="O1629">_xlfn.IFS(orders[[#This Row],[Customer Gender]]="M","Male", orders[[#This Row],[Customer Gender]]="F","Female", orders[[#This Row],[Customer Gender]]="O","Other", TRUE,"Unknown")</f>
        <v>Male</v>
      </c>
    </row>
    <row r="1630" spans="1:15" x14ac:dyDescent="0.3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1">
        <v>45718</v>
      </c>
      <c r="G1630" s="1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f>orders[[#This Row],[Ship Date]]-orders[[#This Row],[Order Date]]</f>
        <v>1</v>
      </c>
      <c r="N1630">
        <f>WEEKNUM(orders[[#This Row],[Order Date]])</f>
        <v>10</v>
      </c>
      <c r="O1630" t="str" cm="1">
        <f t="array" ref="O1630">_xlfn.IFS(orders[[#This Row],[Customer Gender]]="M","Male", orders[[#This Row],[Customer Gender]]="F","Female", orders[[#This Row],[Customer Gender]]="O","Other", TRUE,"Unknown")</f>
        <v>Male</v>
      </c>
    </row>
    <row r="1631" spans="1:15" x14ac:dyDescent="0.3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1">
        <v>45718</v>
      </c>
      <c r="G1631" s="1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f>orders[[#This Row],[Ship Date]]-orders[[#This Row],[Order Date]]</f>
        <v>3</v>
      </c>
      <c r="N1631">
        <f>WEEKNUM(orders[[#This Row],[Order Date]])</f>
        <v>10</v>
      </c>
      <c r="O1631" t="str" cm="1">
        <f t="array" ref="O1631">_xlfn.IFS(orders[[#This Row],[Customer Gender]]="M","Male", orders[[#This Row],[Customer Gender]]="F","Female", orders[[#This Row],[Customer Gender]]="O","Other", TRUE,"Unknown")</f>
        <v>Female</v>
      </c>
    </row>
    <row r="1632" spans="1:15" x14ac:dyDescent="0.3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1">
        <v>45718</v>
      </c>
      <c r="G1632" s="1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f>orders[[#This Row],[Ship Date]]-orders[[#This Row],[Order Date]]</f>
        <v>5</v>
      </c>
      <c r="N1632">
        <f>WEEKNUM(orders[[#This Row],[Order Date]])</f>
        <v>10</v>
      </c>
      <c r="O1632" t="str" cm="1">
        <f t="array" ref="O1632">_xlfn.IFS(orders[[#This Row],[Customer Gender]]="M","Male", orders[[#This Row],[Customer Gender]]="F","Female", orders[[#This Row],[Customer Gender]]="O","Other", TRUE,"Unknown")</f>
        <v>Female</v>
      </c>
    </row>
    <row r="1633" spans="1:15" x14ac:dyDescent="0.3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1">
        <v>45718</v>
      </c>
      <c r="G1633" s="1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f>orders[[#This Row],[Ship Date]]-orders[[#This Row],[Order Date]]</f>
        <v>2</v>
      </c>
      <c r="N1633">
        <f>WEEKNUM(orders[[#This Row],[Order Date]])</f>
        <v>10</v>
      </c>
      <c r="O1633" t="str" cm="1">
        <f t="array" ref="O1633">_xlfn.IFS(orders[[#This Row],[Customer Gender]]="M","Male", orders[[#This Row],[Customer Gender]]="F","Female", orders[[#This Row],[Customer Gender]]="O","Other", TRUE,"Unknown")</f>
        <v>Female</v>
      </c>
    </row>
    <row r="1634" spans="1:15" x14ac:dyDescent="0.3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1">
        <v>45718</v>
      </c>
      <c r="G1634" s="1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f>orders[[#This Row],[Ship Date]]-orders[[#This Row],[Order Date]]</f>
        <v>4</v>
      </c>
      <c r="N1634">
        <f>WEEKNUM(orders[[#This Row],[Order Date]])</f>
        <v>10</v>
      </c>
      <c r="O1634" t="str" cm="1">
        <f t="array" ref="O1634">_xlfn.IFS(orders[[#This Row],[Customer Gender]]="M","Male", orders[[#This Row],[Customer Gender]]="F","Female", orders[[#This Row],[Customer Gender]]="O","Other", TRUE,"Unknown")</f>
        <v>Female</v>
      </c>
    </row>
    <row r="1635" spans="1:15" x14ac:dyDescent="0.3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1">
        <v>45718</v>
      </c>
      <c r="G1635" s="1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f>orders[[#This Row],[Ship Date]]-orders[[#This Row],[Order Date]]</f>
        <v>2</v>
      </c>
      <c r="N1635">
        <f>WEEKNUM(orders[[#This Row],[Order Date]])</f>
        <v>10</v>
      </c>
      <c r="O1635" t="str" cm="1">
        <f t="array" ref="O1635">_xlfn.IFS(orders[[#This Row],[Customer Gender]]="M","Male", orders[[#This Row],[Customer Gender]]="F","Female", orders[[#This Row],[Customer Gender]]="O","Other", TRUE,"Unknown")</f>
        <v>Unknown</v>
      </c>
    </row>
    <row r="1636" spans="1:15" x14ac:dyDescent="0.3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1">
        <v>45718</v>
      </c>
      <c r="G1636" s="1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f>orders[[#This Row],[Ship Date]]-orders[[#This Row],[Order Date]]</f>
        <v>2</v>
      </c>
      <c r="N1636">
        <f>WEEKNUM(orders[[#This Row],[Order Date]])</f>
        <v>10</v>
      </c>
      <c r="O1636" t="str" cm="1">
        <f t="array" ref="O1636">_xlfn.IFS(orders[[#This Row],[Customer Gender]]="M","Male", orders[[#This Row],[Customer Gender]]="F","Female", orders[[#This Row],[Customer Gender]]="O","Other", TRUE,"Unknown")</f>
        <v>Male</v>
      </c>
    </row>
    <row r="1637" spans="1:15" x14ac:dyDescent="0.3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1">
        <v>45718</v>
      </c>
      <c r="G1637" s="1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f>orders[[#This Row],[Ship Date]]-orders[[#This Row],[Order Date]]</f>
        <v>14</v>
      </c>
      <c r="N1637">
        <f>WEEKNUM(orders[[#This Row],[Order Date]])</f>
        <v>10</v>
      </c>
      <c r="O1637" t="str" cm="1">
        <f t="array" ref="O1637">_xlfn.IFS(orders[[#This Row],[Customer Gender]]="M","Male", orders[[#This Row],[Customer Gender]]="F","Female", orders[[#This Row],[Customer Gender]]="O","Other", TRUE,"Unknown")</f>
        <v>Male</v>
      </c>
    </row>
    <row r="1638" spans="1:15" x14ac:dyDescent="0.3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1">
        <v>45718</v>
      </c>
      <c r="G1638" s="1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f>orders[[#This Row],[Ship Date]]-orders[[#This Row],[Order Date]]</f>
        <v>3</v>
      </c>
      <c r="N1638">
        <f>WEEKNUM(orders[[#This Row],[Order Date]])</f>
        <v>10</v>
      </c>
      <c r="O1638" t="str" cm="1">
        <f t="array" ref="O1638">_xlfn.IFS(orders[[#This Row],[Customer Gender]]="M","Male", orders[[#This Row],[Customer Gender]]="F","Female", orders[[#This Row],[Customer Gender]]="O","Other", TRUE,"Unknown")</f>
        <v>Male</v>
      </c>
    </row>
    <row r="1639" spans="1:15" x14ac:dyDescent="0.3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1">
        <v>45718</v>
      </c>
      <c r="G1639" s="1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f>orders[[#This Row],[Ship Date]]-orders[[#This Row],[Order Date]]</f>
        <v>2</v>
      </c>
      <c r="N1639">
        <f>WEEKNUM(orders[[#This Row],[Order Date]])</f>
        <v>10</v>
      </c>
      <c r="O1639" t="str" cm="1">
        <f t="array" ref="O1639">_xlfn.IFS(orders[[#This Row],[Customer Gender]]="M","Male", orders[[#This Row],[Customer Gender]]="F","Female", orders[[#This Row],[Customer Gender]]="O","Other", TRUE,"Unknown")</f>
        <v>Other</v>
      </c>
    </row>
    <row r="1640" spans="1:15" x14ac:dyDescent="0.3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1">
        <v>45718</v>
      </c>
      <c r="G1640" s="1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f>orders[[#This Row],[Ship Date]]-orders[[#This Row],[Order Date]]</f>
        <v>3</v>
      </c>
      <c r="N1640">
        <f>WEEKNUM(orders[[#This Row],[Order Date]])</f>
        <v>10</v>
      </c>
      <c r="O1640" t="str" cm="1">
        <f t="array" ref="O1640">_xlfn.IFS(orders[[#This Row],[Customer Gender]]="M","Male", orders[[#This Row],[Customer Gender]]="F","Female", orders[[#This Row],[Customer Gender]]="O","Other", TRUE,"Unknown")</f>
        <v>Male</v>
      </c>
    </row>
    <row r="1641" spans="1:15" x14ac:dyDescent="0.3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1">
        <v>45718</v>
      </c>
      <c r="G1641" s="1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f>orders[[#This Row],[Ship Date]]-orders[[#This Row],[Order Date]]</f>
        <v>0</v>
      </c>
      <c r="N1641">
        <f>WEEKNUM(orders[[#This Row],[Order Date]])</f>
        <v>10</v>
      </c>
      <c r="O1641" t="str" cm="1">
        <f t="array" ref="O1641">_xlfn.IFS(orders[[#This Row],[Customer Gender]]="M","Male", orders[[#This Row],[Customer Gender]]="F","Female", orders[[#This Row],[Customer Gender]]="O","Other", TRUE,"Unknown")</f>
        <v>Male</v>
      </c>
    </row>
    <row r="1642" spans="1:15" x14ac:dyDescent="0.3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1">
        <v>45718</v>
      </c>
      <c r="G1642" s="1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f>orders[[#This Row],[Ship Date]]-orders[[#This Row],[Order Date]]</f>
        <v>1</v>
      </c>
      <c r="N1642">
        <f>WEEKNUM(orders[[#This Row],[Order Date]])</f>
        <v>10</v>
      </c>
      <c r="O1642" t="str" cm="1">
        <f t="array" ref="O1642">_xlfn.IFS(orders[[#This Row],[Customer Gender]]="M","Male", orders[[#This Row],[Customer Gender]]="F","Female", orders[[#This Row],[Customer Gender]]="O","Other", TRUE,"Unknown")</f>
        <v>Male</v>
      </c>
    </row>
    <row r="1643" spans="1:15" x14ac:dyDescent="0.3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1">
        <v>45719</v>
      </c>
      <c r="G1643" s="1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f>orders[[#This Row],[Ship Date]]-orders[[#This Row],[Order Date]]</f>
        <v>2</v>
      </c>
      <c r="N1643">
        <f>WEEKNUM(orders[[#This Row],[Order Date]])</f>
        <v>10</v>
      </c>
      <c r="O1643" t="str" cm="1">
        <f t="array" ref="O1643">_xlfn.IFS(orders[[#This Row],[Customer Gender]]="M","Male", orders[[#This Row],[Customer Gender]]="F","Female", orders[[#This Row],[Customer Gender]]="O","Other", TRUE,"Unknown")</f>
        <v>Female</v>
      </c>
    </row>
    <row r="1644" spans="1:15" x14ac:dyDescent="0.3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1">
        <v>45719</v>
      </c>
      <c r="G1644" s="1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f>orders[[#This Row],[Ship Date]]-orders[[#This Row],[Order Date]]</f>
        <v>2</v>
      </c>
      <c r="N1644">
        <f>WEEKNUM(orders[[#This Row],[Order Date]])</f>
        <v>10</v>
      </c>
      <c r="O1644" t="str" cm="1">
        <f t="array" ref="O1644">_xlfn.IFS(orders[[#This Row],[Customer Gender]]="M","Male", orders[[#This Row],[Customer Gender]]="F","Female", orders[[#This Row],[Customer Gender]]="O","Other", TRUE,"Unknown")</f>
        <v>Male</v>
      </c>
    </row>
    <row r="1645" spans="1:15" x14ac:dyDescent="0.3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1">
        <v>45719</v>
      </c>
      <c r="G1645" s="1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f>orders[[#This Row],[Ship Date]]-orders[[#This Row],[Order Date]]</f>
        <v>3</v>
      </c>
      <c r="N1645">
        <f>WEEKNUM(orders[[#This Row],[Order Date]])</f>
        <v>10</v>
      </c>
      <c r="O1645" t="str" cm="1">
        <f t="array" ref="O1645">_xlfn.IFS(orders[[#This Row],[Customer Gender]]="M","Male", orders[[#This Row],[Customer Gender]]="F","Female", orders[[#This Row],[Customer Gender]]="O","Other", TRUE,"Unknown")</f>
        <v>Male</v>
      </c>
    </row>
    <row r="1646" spans="1:15" x14ac:dyDescent="0.3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1">
        <v>45719</v>
      </c>
      <c r="G1646" s="1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f>orders[[#This Row],[Ship Date]]-orders[[#This Row],[Order Date]]</f>
        <v>2</v>
      </c>
      <c r="N1646">
        <f>WEEKNUM(orders[[#This Row],[Order Date]])</f>
        <v>10</v>
      </c>
      <c r="O1646" t="str" cm="1">
        <f t="array" ref="O1646">_xlfn.IFS(orders[[#This Row],[Customer Gender]]="M","Male", orders[[#This Row],[Customer Gender]]="F","Female", orders[[#This Row],[Customer Gender]]="O","Other", TRUE,"Unknown")</f>
        <v>Male</v>
      </c>
    </row>
    <row r="1647" spans="1:15" x14ac:dyDescent="0.3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1">
        <v>45719</v>
      </c>
      <c r="G1647" s="1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f>orders[[#This Row],[Ship Date]]-orders[[#This Row],[Order Date]]</f>
        <v>3</v>
      </c>
      <c r="N1647">
        <f>WEEKNUM(orders[[#This Row],[Order Date]])</f>
        <v>10</v>
      </c>
      <c r="O1647" t="str" cm="1">
        <f t="array" ref="O1647">_xlfn.IFS(orders[[#This Row],[Customer Gender]]="M","Male", orders[[#This Row],[Customer Gender]]="F","Female", orders[[#This Row],[Customer Gender]]="O","Other", TRUE,"Unknown")</f>
        <v>Male</v>
      </c>
    </row>
    <row r="1648" spans="1:15" x14ac:dyDescent="0.3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1">
        <v>45719</v>
      </c>
      <c r="G1648" s="1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f>orders[[#This Row],[Ship Date]]-orders[[#This Row],[Order Date]]</f>
        <v>1</v>
      </c>
      <c r="N1648">
        <f>WEEKNUM(orders[[#This Row],[Order Date]])</f>
        <v>10</v>
      </c>
      <c r="O1648" t="str" cm="1">
        <f t="array" ref="O1648">_xlfn.IFS(orders[[#This Row],[Customer Gender]]="M","Male", orders[[#This Row],[Customer Gender]]="F","Female", orders[[#This Row],[Customer Gender]]="O","Other", TRUE,"Unknown")</f>
        <v>Male</v>
      </c>
    </row>
    <row r="1649" spans="1:15" x14ac:dyDescent="0.3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1">
        <v>45719</v>
      </c>
      <c r="G1649" s="1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f>orders[[#This Row],[Ship Date]]-orders[[#This Row],[Order Date]]</f>
        <v>2</v>
      </c>
      <c r="N1649">
        <f>WEEKNUM(orders[[#This Row],[Order Date]])</f>
        <v>10</v>
      </c>
      <c r="O1649" t="str" cm="1">
        <f t="array" ref="O1649">_xlfn.IFS(orders[[#This Row],[Customer Gender]]="M","Male", orders[[#This Row],[Customer Gender]]="F","Female", orders[[#This Row],[Customer Gender]]="O","Other", TRUE,"Unknown")</f>
        <v>Male</v>
      </c>
    </row>
    <row r="1650" spans="1:15" x14ac:dyDescent="0.3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1">
        <v>45719</v>
      </c>
      <c r="G1650" s="1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f>orders[[#This Row],[Ship Date]]-orders[[#This Row],[Order Date]]</f>
        <v>1</v>
      </c>
      <c r="N1650">
        <f>WEEKNUM(orders[[#This Row],[Order Date]])</f>
        <v>10</v>
      </c>
      <c r="O1650" t="str" cm="1">
        <f t="array" ref="O1650">_xlfn.IFS(orders[[#This Row],[Customer Gender]]="M","Male", orders[[#This Row],[Customer Gender]]="F","Female", orders[[#This Row],[Customer Gender]]="O","Other", TRUE,"Unknown")</f>
        <v>Female</v>
      </c>
    </row>
    <row r="1651" spans="1:15" x14ac:dyDescent="0.3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1">
        <v>45719</v>
      </c>
      <c r="G1651" s="1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f>orders[[#This Row],[Ship Date]]-orders[[#This Row],[Order Date]]</f>
        <v>3</v>
      </c>
      <c r="N1651">
        <f>WEEKNUM(orders[[#This Row],[Order Date]])</f>
        <v>10</v>
      </c>
      <c r="O1651" t="str" cm="1">
        <f t="array" ref="O1651">_xlfn.IFS(orders[[#This Row],[Customer Gender]]="M","Male", orders[[#This Row],[Customer Gender]]="F","Female", orders[[#This Row],[Customer Gender]]="O","Other", TRUE,"Unknown")</f>
        <v>Female</v>
      </c>
    </row>
    <row r="1652" spans="1:15" x14ac:dyDescent="0.3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1">
        <v>45719</v>
      </c>
      <c r="G1652" s="1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f>orders[[#This Row],[Ship Date]]-orders[[#This Row],[Order Date]]</f>
        <v>2</v>
      </c>
      <c r="N1652">
        <f>WEEKNUM(orders[[#This Row],[Order Date]])</f>
        <v>10</v>
      </c>
      <c r="O1652" t="str" cm="1">
        <f t="array" ref="O1652">_xlfn.IFS(orders[[#This Row],[Customer Gender]]="M","Male", orders[[#This Row],[Customer Gender]]="F","Female", orders[[#This Row],[Customer Gender]]="O","Other", TRUE,"Unknown")</f>
        <v>Female</v>
      </c>
    </row>
    <row r="1653" spans="1:15" x14ac:dyDescent="0.3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1">
        <v>45719</v>
      </c>
      <c r="G1653" s="1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f>orders[[#This Row],[Ship Date]]-orders[[#This Row],[Order Date]]</f>
        <v>1</v>
      </c>
      <c r="N1653">
        <f>WEEKNUM(orders[[#This Row],[Order Date]])</f>
        <v>10</v>
      </c>
      <c r="O1653" t="str" cm="1">
        <f t="array" ref="O1653">_xlfn.IFS(orders[[#This Row],[Customer Gender]]="M","Male", orders[[#This Row],[Customer Gender]]="F","Female", orders[[#This Row],[Customer Gender]]="O","Other", TRUE,"Unknown")</f>
        <v>Female</v>
      </c>
    </row>
    <row r="1654" spans="1:15" x14ac:dyDescent="0.3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1">
        <v>45719</v>
      </c>
      <c r="G1654" s="1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f>orders[[#This Row],[Ship Date]]-orders[[#This Row],[Order Date]]</f>
        <v>3</v>
      </c>
      <c r="N1654">
        <f>WEEKNUM(orders[[#This Row],[Order Date]])</f>
        <v>10</v>
      </c>
      <c r="O1654" t="str" cm="1">
        <f t="array" ref="O1654">_xlfn.IFS(orders[[#This Row],[Customer Gender]]="M","Male", orders[[#This Row],[Customer Gender]]="F","Female", orders[[#This Row],[Customer Gender]]="O","Other", TRUE,"Unknown")</f>
        <v>Male</v>
      </c>
    </row>
    <row r="1655" spans="1:15" x14ac:dyDescent="0.3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1">
        <v>45719</v>
      </c>
      <c r="G1655" s="1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f>orders[[#This Row],[Ship Date]]-orders[[#This Row],[Order Date]]</f>
        <v>3</v>
      </c>
      <c r="N1655">
        <f>WEEKNUM(orders[[#This Row],[Order Date]])</f>
        <v>10</v>
      </c>
      <c r="O1655" t="str" cm="1">
        <f t="array" ref="O1655">_xlfn.IFS(orders[[#This Row],[Customer Gender]]="M","Male", orders[[#This Row],[Customer Gender]]="F","Female", orders[[#This Row],[Customer Gender]]="O","Other", TRUE,"Unknown")</f>
        <v>Female</v>
      </c>
    </row>
    <row r="1656" spans="1:15" x14ac:dyDescent="0.3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1">
        <v>45719</v>
      </c>
      <c r="G1656" s="1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f>orders[[#This Row],[Ship Date]]-orders[[#This Row],[Order Date]]</f>
        <v>3</v>
      </c>
      <c r="N1656">
        <f>WEEKNUM(orders[[#This Row],[Order Date]])</f>
        <v>10</v>
      </c>
      <c r="O1656" t="str" cm="1">
        <f t="array" ref="O1656">_xlfn.IFS(orders[[#This Row],[Customer Gender]]="M","Male", orders[[#This Row],[Customer Gender]]="F","Female", orders[[#This Row],[Customer Gender]]="O","Other", TRUE,"Unknown")</f>
        <v>Male</v>
      </c>
    </row>
    <row r="1657" spans="1:15" x14ac:dyDescent="0.3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1">
        <v>45719</v>
      </c>
      <c r="G1657" s="1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f>orders[[#This Row],[Ship Date]]-orders[[#This Row],[Order Date]]</f>
        <v>3</v>
      </c>
      <c r="N1657">
        <f>WEEKNUM(orders[[#This Row],[Order Date]])</f>
        <v>10</v>
      </c>
      <c r="O1657" t="str" cm="1">
        <f t="array" ref="O1657">_xlfn.IFS(orders[[#This Row],[Customer Gender]]="M","Male", orders[[#This Row],[Customer Gender]]="F","Female", orders[[#This Row],[Customer Gender]]="O","Other", TRUE,"Unknown")</f>
        <v>Female</v>
      </c>
    </row>
    <row r="1658" spans="1:15" x14ac:dyDescent="0.3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1">
        <v>45719</v>
      </c>
      <c r="G1658" s="1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f>orders[[#This Row],[Ship Date]]-orders[[#This Row],[Order Date]]</f>
        <v>3</v>
      </c>
      <c r="N1658">
        <f>WEEKNUM(orders[[#This Row],[Order Date]])</f>
        <v>10</v>
      </c>
      <c r="O1658" t="str" cm="1">
        <f t="array" ref="O1658">_xlfn.IFS(orders[[#This Row],[Customer Gender]]="M","Male", orders[[#This Row],[Customer Gender]]="F","Female", orders[[#This Row],[Customer Gender]]="O","Other", TRUE,"Unknown")</f>
        <v>Male</v>
      </c>
    </row>
    <row r="1659" spans="1:15" x14ac:dyDescent="0.3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1">
        <v>45719</v>
      </c>
      <c r="G1659" s="1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f>orders[[#This Row],[Ship Date]]-orders[[#This Row],[Order Date]]</f>
        <v>1</v>
      </c>
      <c r="N1659">
        <f>WEEKNUM(orders[[#This Row],[Order Date]])</f>
        <v>10</v>
      </c>
      <c r="O1659" t="str" cm="1">
        <f t="array" ref="O1659">_xlfn.IFS(orders[[#This Row],[Customer Gender]]="M","Male", orders[[#This Row],[Customer Gender]]="F","Female", orders[[#This Row],[Customer Gender]]="O","Other", TRUE,"Unknown")</f>
        <v>Female</v>
      </c>
    </row>
    <row r="1660" spans="1:15" x14ac:dyDescent="0.3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1">
        <v>45719</v>
      </c>
      <c r="G1660" s="1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f>orders[[#This Row],[Ship Date]]-orders[[#This Row],[Order Date]]</f>
        <v>3</v>
      </c>
      <c r="N1660">
        <f>WEEKNUM(orders[[#This Row],[Order Date]])</f>
        <v>10</v>
      </c>
      <c r="O1660" t="str" cm="1">
        <f t="array" ref="O1660">_xlfn.IFS(orders[[#This Row],[Customer Gender]]="M","Male", orders[[#This Row],[Customer Gender]]="F","Female", orders[[#This Row],[Customer Gender]]="O","Other", TRUE,"Unknown")</f>
        <v>Male</v>
      </c>
    </row>
    <row r="1661" spans="1:15" x14ac:dyDescent="0.3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1">
        <v>45719</v>
      </c>
      <c r="G1661" s="1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f>orders[[#This Row],[Ship Date]]-orders[[#This Row],[Order Date]]</f>
        <v>3</v>
      </c>
      <c r="N1661">
        <f>WEEKNUM(orders[[#This Row],[Order Date]])</f>
        <v>10</v>
      </c>
      <c r="O1661" t="str" cm="1">
        <f t="array" ref="O1661">_xlfn.IFS(orders[[#This Row],[Customer Gender]]="M","Male", orders[[#This Row],[Customer Gender]]="F","Female", orders[[#This Row],[Customer Gender]]="O","Other", TRUE,"Unknown")</f>
        <v>Female</v>
      </c>
    </row>
    <row r="1662" spans="1:15" x14ac:dyDescent="0.3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1">
        <v>45719</v>
      </c>
      <c r="G1662" s="1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f>orders[[#This Row],[Ship Date]]-orders[[#This Row],[Order Date]]</f>
        <v>5</v>
      </c>
      <c r="N1662">
        <f>WEEKNUM(orders[[#This Row],[Order Date]])</f>
        <v>10</v>
      </c>
      <c r="O1662" t="str" cm="1">
        <f t="array" ref="O1662">_xlfn.IFS(orders[[#This Row],[Customer Gender]]="M","Male", orders[[#This Row],[Customer Gender]]="F","Female", orders[[#This Row],[Customer Gender]]="O","Other", TRUE,"Unknown")</f>
        <v>Female</v>
      </c>
    </row>
    <row r="1663" spans="1:15" x14ac:dyDescent="0.3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1">
        <v>45719</v>
      </c>
      <c r="G1663" s="1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f>orders[[#This Row],[Ship Date]]-orders[[#This Row],[Order Date]]</f>
        <v>3</v>
      </c>
      <c r="N1663">
        <f>WEEKNUM(orders[[#This Row],[Order Date]])</f>
        <v>10</v>
      </c>
      <c r="O1663" t="str" cm="1">
        <f t="array" ref="O1663">_xlfn.IFS(orders[[#This Row],[Customer Gender]]="M","Male", orders[[#This Row],[Customer Gender]]="F","Female", orders[[#This Row],[Customer Gender]]="O","Other", TRUE,"Unknown")</f>
        <v>Male</v>
      </c>
    </row>
    <row r="1664" spans="1:15" x14ac:dyDescent="0.3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1">
        <v>45719</v>
      </c>
      <c r="G1664" s="1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f>orders[[#This Row],[Ship Date]]-orders[[#This Row],[Order Date]]</f>
        <v>8</v>
      </c>
      <c r="N1664">
        <f>WEEKNUM(orders[[#This Row],[Order Date]])</f>
        <v>10</v>
      </c>
      <c r="O1664" t="str" cm="1">
        <f t="array" ref="O1664">_xlfn.IFS(orders[[#This Row],[Customer Gender]]="M","Male", orders[[#This Row],[Customer Gender]]="F","Female", orders[[#This Row],[Customer Gender]]="O","Other", TRUE,"Unknown")</f>
        <v>Male</v>
      </c>
    </row>
    <row r="1665" spans="1:15" x14ac:dyDescent="0.3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1">
        <v>45719</v>
      </c>
      <c r="G1665" s="1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f>orders[[#This Row],[Ship Date]]-orders[[#This Row],[Order Date]]</f>
        <v>1</v>
      </c>
      <c r="N1665">
        <f>WEEKNUM(orders[[#This Row],[Order Date]])</f>
        <v>10</v>
      </c>
      <c r="O1665" t="str" cm="1">
        <f t="array" ref="O1665">_xlfn.IFS(orders[[#This Row],[Customer Gender]]="M","Male", orders[[#This Row],[Customer Gender]]="F","Female", orders[[#This Row],[Customer Gender]]="O","Other", TRUE,"Unknown")</f>
        <v>Female</v>
      </c>
    </row>
    <row r="1666" spans="1:15" x14ac:dyDescent="0.3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1">
        <v>45719</v>
      </c>
      <c r="G1666" s="1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f>orders[[#This Row],[Ship Date]]-orders[[#This Row],[Order Date]]</f>
        <v>1</v>
      </c>
      <c r="N1666">
        <f>WEEKNUM(orders[[#This Row],[Order Date]])</f>
        <v>10</v>
      </c>
      <c r="O1666" t="str" cm="1">
        <f t="array" ref="O1666">_xlfn.IFS(orders[[#This Row],[Customer Gender]]="M","Male", orders[[#This Row],[Customer Gender]]="F","Female", orders[[#This Row],[Customer Gender]]="O","Other", TRUE,"Unknown")</f>
        <v>Female</v>
      </c>
    </row>
    <row r="1667" spans="1:15" x14ac:dyDescent="0.3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1">
        <v>45719</v>
      </c>
      <c r="G1667" s="1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f>orders[[#This Row],[Ship Date]]-orders[[#This Row],[Order Date]]</f>
        <v>1</v>
      </c>
      <c r="N1667">
        <f>WEEKNUM(orders[[#This Row],[Order Date]])</f>
        <v>10</v>
      </c>
      <c r="O1667" t="str" cm="1">
        <f t="array" ref="O1667">_xlfn.IFS(orders[[#This Row],[Customer Gender]]="M","Male", orders[[#This Row],[Customer Gender]]="F","Female", orders[[#This Row],[Customer Gender]]="O","Other", TRUE,"Unknown")</f>
        <v>Female</v>
      </c>
    </row>
    <row r="1668" spans="1:15" x14ac:dyDescent="0.3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1">
        <v>45719</v>
      </c>
      <c r="G1668" s="1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f>orders[[#This Row],[Ship Date]]-orders[[#This Row],[Order Date]]</f>
        <v>1</v>
      </c>
      <c r="N1668">
        <f>WEEKNUM(orders[[#This Row],[Order Date]])</f>
        <v>10</v>
      </c>
      <c r="O1668" t="str" cm="1">
        <f t="array" ref="O1668">_xlfn.IFS(orders[[#This Row],[Customer Gender]]="M","Male", orders[[#This Row],[Customer Gender]]="F","Female", orders[[#This Row],[Customer Gender]]="O","Other", TRUE,"Unknown")</f>
        <v>Female</v>
      </c>
    </row>
    <row r="1669" spans="1:15" x14ac:dyDescent="0.3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1">
        <v>45719</v>
      </c>
      <c r="G1669" s="1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f>orders[[#This Row],[Ship Date]]-orders[[#This Row],[Order Date]]</f>
        <v>3</v>
      </c>
      <c r="N1669">
        <f>WEEKNUM(orders[[#This Row],[Order Date]])</f>
        <v>10</v>
      </c>
      <c r="O1669" t="str" cm="1">
        <f t="array" ref="O1669">_xlfn.IFS(orders[[#This Row],[Customer Gender]]="M","Male", orders[[#This Row],[Customer Gender]]="F","Female", orders[[#This Row],[Customer Gender]]="O","Other", TRUE,"Unknown")</f>
        <v>Female</v>
      </c>
    </row>
    <row r="1670" spans="1:15" x14ac:dyDescent="0.3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1">
        <v>45719</v>
      </c>
      <c r="G1670" s="1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f>orders[[#This Row],[Ship Date]]-orders[[#This Row],[Order Date]]</f>
        <v>3</v>
      </c>
      <c r="N1670">
        <f>WEEKNUM(orders[[#This Row],[Order Date]])</f>
        <v>10</v>
      </c>
      <c r="O1670" t="str" cm="1">
        <f t="array" ref="O1670">_xlfn.IFS(orders[[#This Row],[Customer Gender]]="M","Male", orders[[#This Row],[Customer Gender]]="F","Female", orders[[#This Row],[Customer Gender]]="O","Other", TRUE,"Unknown")</f>
        <v>Male</v>
      </c>
    </row>
    <row r="1671" spans="1:15" x14ac:dyDescent="0.3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1">
        <v>45719</v>
      </c>
      <c r="G1671" s="1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f>orders[[#This Row],[Ship Date]]-orders[[#This Row],[Order Date]]</f>
        <v>4</v>
      </c>
      <c r="N1671">
        <f>WEEKNUM(orders[[#This Row],[Order Date]])</f>
        <v>10</v>
      </c>
      <c r="O1671" t="str" cm="1">
        <f t="array" ref="O1671">_xlfn.IFS(orders[[#This Row],[Customer Gender]]="M","Male", orders[[#This Row],[Customer Gender]]="F","Female", orders[[#This Row],[Customer Gender]]="O","Other", TRUE,"Unknown")</f>
        <v>Male</v>
      </c>
    </row>
    <row r="1672" spans="1:15" x14ac:dyDescent="0.3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1">
        <v>45719</v>
      </c>
      <c r="G1672" s="1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f>orders[[#This Row],[Ship Date]]-orders[[#This Row],[Order Date]]</f>
        <v>1</v>
      </c>
      <c r="N1672">
        <f>WEEKNUM(orders[[#This Row],[Order Date]])</f>
        <v>10</v>
      </c>
      <c r="O1672" t="str" cm="1">
        <f t="array" ref="O1672">_xlfn.IFS(orders[[#This Row],[Customer Gender]]="M","Male", orders[[#This Row],[Customer Gender]]="F","Female", orders[[#This Row],[Customer Gender]]="O","Other", TRUE,"Unknown")</f>
        <v>Female</v>
      </c>
    </row>
    <row r="1673" spans="1:15" x14ac:dyDescent="0.3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1">
        <v>45719</v>
      </c>
      <c r="G1673" s="1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f>orders[[#This Row],[Ship Date]]-orders[[#This Row],[Order Date]]</f>
        <v>2</v>
      </c>
      <c r="N1673">
        <f>WEEKNUM(orders[[#This Row],[Order Date]])</f>
        <v>10</v>
      </c>
      <c r="O1673" t="str" cm="1">
        <f t="array" ref="O1673">_xlfn.IFS(orders[[#This Row],[Customer Gender]]="M","Male", orders[[#This Row],[Customer Gender]]="F","Female", orders[[#This Row],[Customer Gender]]="O","Other", TRUE,"Unknown")</f>
        <v>Male</v>
      </c>
    </row>
    <row r="1674" spans="1:15" x14ac:dyDescent="0.3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1">
        <v>45719</v>
      </c>
      <c r="G1674" s="1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f>orders[[#This Row],[Ship Date]]-orders[[#This Row],[Order Date]]</f>
        <v>0</v>
      </c>
      <c r="N1674">
        <f>WEEKNUM(orders[[#This Row],[Order Date]])</f>
        <v>10</v>
      </c>
      <c r="O1674" t="str" cm="1">
        <f t="array" ref="O1674">_xlfn.IFS(orders[[#This Row],[Customer Gender]]="M","Male", orders[[#This Row],[Customer Gender]]="F","Female", orders[[#This Row],[Customer Gender]]="O","Other", TRUE,"Unknown")</f>
        <v>Female</v>
      </c>
    </row>
    <row r="1675" spans="1:15" x14ac:dyDescent="0.3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1">
        <v>45720</v>
      </c>
      <c r="G1675" s="1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f>orders[[#This Row],[Ship Date]]-orders[[#This Row],[Order Date]]</f>
        <v>1</v>
      </c>
      <c r="N1675">
        <f>WEEKNUM(orders[[#This Row],[Order Date]])</f>
        <v>10</v>
      </c>
      <c r="O1675" t="str" cm="1">
        <f t="array" ref="O1675">_xlfn.IFS(orders[[#This Row],[Customer Gender]]="M","Male", orders[[#This Row],[Customer Gender]]="F","Female", orders[[#This Row],[Customer Gender]]="O","Other", TRUE,"Unknown")</f>
        <v>Female</v>
      </c>
    </row>
    <row r="1676" spans="1:15" x14ac:dyDescent="0.3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1">
        <v>45720</v>
      </c>
      <c r="G1676" s="1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f>orders[[#This Row],[Ship Date]]-orders[[#This Row],[Order Date]]</f>
        <v>3</v>
      </c>
      <c r="N1676">
        <f>WEEKNUM(orders[[#This Row],[Order Date]])</f>
        <v>10</v>
      </c>
      <c r="O1676" t="str" cm="1">
        <f t="array" ref="O1676">_xlfn.IFS(orders[[#This Row],[Customer Gender]]="M","Male", orders[[#This Row],[Customer Gender]]="F","Female", orders[[#This Row],[Customer Gender]]="O","Other", TRUE,"Unknown")</f>
        <v>Female</v>
      </c>
    </row>
    <row r="1677" spans="1:15" x14ac:dyDescent="0.3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1">
        <v>45720</v>
      </c>
      <c r="G1677" s="1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f>orders[[#This Row],[Ship Date]]-orders[[#This Row],[Order Date]]</f>
        <v>1</v>
      </c>
      <c r="N1677">
        <f>WEEKNUM(orders[[#This Row],[Order Date]])</f>
        <v>10</v>
      </c>
      <c r="O1677" t="str" cm="1">
        <f t="array" ref="O1677">_xlfn.IFS(orders[[#This Row],[Customer Gender]]="M","Male", orders[[#This Row],[Customer Gender]]="F","Female", orders[[#This Row],[Customer Gender]]="O","Other", TRUE,"Unknown")</f>
        <v>Female</v>
      </c>
    </row>
    <row r="1678" spans="1:15" x14ac:dyDescent="0.3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1">
        <v>45720</v>
      </c>
      <c r="G1678" s="1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f>orders[[#This Row],[Ship Date]]-orders[[#This Row],[Order Date]]</f>
        <v>11</v>
      </c>
      <c r="N1678">
        <f>WEEKNUM(orders[[#This Row],[Order Date]])</f>
        <v>10</v>
      </c>
      <c r="O1678" t="str" cm="1">
        <f t="array" ref="O1678">_xlfn.IFS(orders[[#This Row],[Customer Gender]]="M","Male", orders[[#This Row],[Customer Gender]]="F","Female", orders[[#This Row],[Customer Gender]]="O","Other", TRUE,"Unknown")</f>
        <v>Female</v>
      </c>
    </row>
    <row r="1679" spans="1:15" x14ac:dyDescent="0.3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1">
        <v>45720</v>
      </c>
      <c r="G1679" s="1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f>orders[[#This Row],[Ship Date]]-orders[[#This Row],[Order Date]]</f>
        <v>3</v>
      </c>
      <c r="N1679">
        <f>WEEKNUM(orders[[#This Row],[Order Date]])</f>
        <v>10</v>
      </c>
      <c r="O1679" t="str" cm="1">
        <f t="array" ref="O1679">_xlfn.IFS(orders[[#This Row],[Customer Gender]]="M","Male", orders[[#This Row],[Customer Gender]]="F","Female", orders[[#This Row],[Customer Gender]]="O","Other", TRUE,"Unknown")</f>
        <v>Other</v>
      </c>
    </row>
    <row r="1680" spans="1:15" x14ac:dyDescent="0.3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1">
        <v>45720</v>
      </c>
      <c r="G1680" s="1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f>orders[[#This Row],[Ship Date]]-orders[[#This Row],[Order Date]]</f>
        <v>1</v>
      </c>
      <c r="N1680">
        <f>WEEKNUM(orders[[#This Row],[Order Date]])</f>
        <v>10</v>
      </c>
      <c r="O1680" t="str" cm="1">
        <f t="array" ref="O1680">_xlfn.IFS(orders[[#This Row],[Customer Gender]]="M","Male", orders[[#This Row],[Customer Gender]]="F","Female", orders[[#This Row],[Customer Gender]]="O","Other", TRUE,"Unknown")</f>
        <v>Female</v>
      </c>
    </row>
    <row r="1681" spans="1:15" x14ac:dyDescent="0.3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1">
        <v>45720</v>
      </c>
      <c r="G1681" s="1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f>orders[[#This Row],[Ship Date]]-orders[[#This Row],[Order Date]]</f>
        <v>2</v>
      </c>
      <c r="N1681">
        <f>WEEKNUM(orders[[#This Row],[Order Date]])</f>
        <v>10</v>
      </c>
      <c r="O1681" t="str" cm="1">
        <f t="array" ref="O1681">_xlfn.IFS(orders[[#This Row],[Customer Gender]]="M","Male", orders[[#This Row],[Customer Gender]]="F","Female", orders[[#This Row],[Customer Gender]]="O","Other", TRUE,"Unknown")</f>
        <v>Female</v>
      </c>
    </row>
    <row r="1682" spans="1:15" x14ac:dyDescent="0.3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1">
        <v>45720</v>
      </c>
      <c r="G1682" s="1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f>orders[[#This Row],[Ship Date]]-orders[[#This Row],[Order Date]]</f>
        <v>1</v>
      </c>
      <c r="N1682">
        <f>WEEKNUM(orders[[#This Row],[Order Date]])</f>
        <v>10</v>
      </c>
      <c r="O1682" t="str" cm="1">
        <f t="array" ref="O1682">_xlfn.IFS(orders[[#This Row],[Customer Gender]]="M","Male", orders[[#This Row],[Customer Gender]]="F","Female", orders[[#This Row],[Customer Gender]]="O","Other", TRUE,"Unknown")</f>
        <v>Male</v>
      </c>
    </row>
    <row r="1683" spans="1:15" x14ac:dyDescent="0.3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1">
        <v>45720</v>
      </c>
      <c r="G1683" s="1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f>orders[[#This Row],[Ship Date]]-orders[[#This Row],[Order Date]]</f>
        <v>2</v>
      </c>
      <c r="N1683">
        <f>WEEKNUM(orders[[#This Row],[Order Date]])</f>
        <v>10</v>
      </c>
      <c r="O1683" t="str" cm="1">
        <f t="array" ref="O1683">_xlfn.IFS(orders[[#This Row],[Customer Gender]]="M","Male", orders[[#This Row],[Customer Gender]]="F","Female", orders[[#This Row],[Customer Gender]]="O","Other", TRUE,"Unknown")</f>
        <v>Female</v>
      </c>
    </row>
    <row r="1684" spans="1:15" x14ac:dyDescent="0.3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1">
        <v>45720</v>
      </c>
      <c r="G1684" s="1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f>orders[[#This Row],[Ship Date]]-orders[[#This Row],[Order Date]]</f>
        <v>1</v>
      </c>
      <c r="N1684">
        <f>WEEKNUM(orders[[#This Row],[Order Date]])</f>
        <v>10</v>
      </c>
      <c r="O1684" t="str" cm="1">
        <f t="array" ref="O1684">_xlfn.IFS(orders[[#This Row],[Customer Gender]]="M","Male", orders[[#This Row],[Customer Gender]]="F","Female", orders[[#This Row],[Customer Gender]]="O","Other", TRUE,"Unknown")</f>
        <v>Male</v>
      </c>
    </row>
    <row r="1685" spans="1:15" x14ac:dyDescent="0.3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1">
        <v>45720</v>
      </c>
      <c r="G1685" s="1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f>orders[[#This Row],[Ship Date]]-orders[[#This Row],[Order Date]]</f>
        <v>14</v>
      </c>
      <c r="N1685">
        <f>WEEKNUM(orders[[#This Row],[Order Date]])</f>
        <v>10</v>
      </c>
      <c r="O1685" t="str" cm="1">
        <f t="array" ref="O1685">_xlfn.IFS(orders[[#This Row],[Customer Gender]]="M","Male", orders[[#This Row],[Customer Gender]]="F","Female", orders[[#This Row],[Customer Gender]]="O","Other", TRUE,"Unknown")</f>
        <v>Female</v>
      </c>
    </row>
    <row r="1686" spans="1:15" x14ac:dyDescent="0.3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1">
        <v>45720</v>
      </c>
      <c r="G1686" s="1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f>orders[[#This Row],[Ship Date]]-orders[[#This Row],[Order Date]]</f>
        <v>1</v>
      </c>
      <c r="N1686">
        <f>WEEKNUM(orders[[#This Row],[Order Date]])</f>
        <v>10</v>
      </c>
      <c r="O1686" t="str" cm="1">
        <f t="array" ref="O1686">_xlfn.IFS(orders[[#This Row],[Customer Gender]]="M","Male", orders[[#This Row],[Customer Gender]]="F","Female", orders[[#This Row],[Customer Gender]]="O","Other", TRUE,"Unknown")</f>
        <v>Female</v>
      </c>
    </row>
    <row r="1687" spans="1:15" x14ac:dyDescent="0.3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1">
        <v>45720</v>
      </c>
      <c r="G1687" s="1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f>orders[[#This Row],[Ship Date]]-orders[[#This Row],[Order Date]]</f>
        <v>1</v>
      </c>
      <c r="N1687">
        <f>WEEKNUM(orders[[#This Row],[Order Date]])</f>
        <v>10</v>
      </c>
      <c r="O1687" t="str" cm="1">
        <f t="array" ref="O1687">_xlfn.IFS(orders[[#This Row],[Customer Gender]]="M","Male", orders[[#This Row],[Customer Gender]]="F","Female", orders[[#This Row],[Customer Gender]]="O","Other", TRUE,"Unknown")</f>
        <v>Unknown</v>
      </c>
    </row>
    <row r="1688" spans="1:15" x14ac:dyDescent="0.3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1">
        <v>45720</v>
      </c>
      <c r="G1688" s="1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f>orders[[#This Row],[Ship Date]]-orders[[#This Row],[Order Date]]</f>
        <v>1</v>
      </c>
      <c r="N1688">
        <f>WEEKNUM(orders[[#This Row],[Order Date]])</f>
        <v>10</v>
      </c>
      <c r="O1688" t="str" cm="1">
        <f t="array" ref="O1688">_xlfn.IFS(orders[[#This Row],[Customer Gender]]="M","Male", orders[[#This Row],[Customer Gender]]="F","Female", orders[[#This Row],[Customer Gender]]="O","Other", TRUE,"Unknown")</f>
        <v>Female</v>
      </c>
    </row>
    <row r="1689" spans="1:15" x14ac:dyDescent="0.3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1">
        <v>45720</v>
      </c>
      <c r="G1689" s="1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f>orders[[#This Row],[Ship Date]]-orders[[#This Row],[Order Date]]</f>
        <v>2</v>
      </c>
      <c r="N1689">
        <f>WEEKNUM(orders[[#This Row],[Order Date]])</f>
        <v>10</v>
      </c>
      <c r="O1689" t="str" cm="1">
        <f t="array" ref="O1689">_xlfn.IFS(orders[[#This Row],[Customer Gender]]="M","Male", orders[[#This Row],[Customer Gender]]="F","Female", orders[[#This Row],[Customer Gender]]="O","Other", TRUE,"Unknown")</f>
        <v>Female</v>
      </c>
    </row>
    <row r="1690" spans="1:15" x14ac:dyDescent="0.3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1">
        <v>45720</v>
      </c>
      <c r="G1690" s="1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f>orders[[#This Row],[Ship Date]]-orders[[#This Row],[Order Date]]</f>
        <v>1</v>
      </c>
      <c r="N1690">
        <f>WEEKNUM(orders[[#This Row],[Order Date]])</f>
        <v>10</v>
      </c>
      <c r="O1690" t="str" cm="1">
        <f t="array" ref="O1690">_xlfn.IFS(orders[[#This Row],[Customer Gender]]="M","Male", orders[[#This Row],[Customer Gender]]="F","Female", orders[[#This Row],[Customer Gender]]="O","Other", TRUE,"Unknown")</f>
        <v>Female</v>
      </c>
    </row>
    <row r="1691" spans="1:15" x14ac:dyDescent="0.3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1">
        <v>45720</v>
      </c>
      <c r="G1691" s="1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f>orders[[#This Row],[Ship Date]]-orders[[#This Row],[Order Date]]</f>
        <v>1</v>
      </c>
      <c r="N1691">
        <f>WEEKNUM(orders[[#This Row],[Order Date]])</f>
        <v>10</v>
      </c>
      <c r="O1691" t="str" cm="1">
        <f t="array" ref="O1691">_xlfn.IFS(orders[[#This Row],[Customer Gender]]="M","Male", orders[[#This Row],[Customer Gender]]="F","Female", orders[[#This Row],[Customer Gender]]="O","Other", TRUE,"Unknown")</f>
        <v>Female</v>
      </c>
    </row>
    <row r="1692" spans="1:15" x14ac:dyDescent="0.3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1">
        <v>45720</v>
      </c>
      <c r="G1692" s="1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f>orders[[#This Row],[Ship Date]]-orders[[#This Row],[Order Date]]</f>
        <v>3</v>
      </c>
      <c r="N1692">
        <f>WEEKNUM(orders[[#This Row],[Order Date]])</f>
        <v>10</v>
      </c>
      <c r="O1692" t="str" cm="1">
        <f t="array" ref="O1692">_xlfn.IFS(orders[[#This Row],[Customer Gender]]="M","Male", orders[[#This Row],[Customer Gender]]="F","Female", orders[[#This Row],[Customer Gender]]="O","Other", TRUE,"Unknown")</f>
        <v>Female</v>
      </c>
    </row>
    <row r="1693" spans="1:15" x14ac:dyDescent="0.3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1">
        <v>45720</v>
      </c>
      <c r="G1693" s="1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f>orders[[#This Row],[Ship Date]]-orders[[#This Row],[Order Date]]</f>
        <v>4</v>
      </c>
      <c r="N1693">
        <f>WEEKNUM(orders[[#This Row],[Order Date]])</f>
        <v>10</v>
      </c>
      <c r="O1693" t="str" cm="1">
        <f t="array" ref="O1693">_xlfn.IFS(orders[[#This Row],[Customer Gender]]="M","Male", orders[[#This Row],[Customer Gender]]="F","Female", orders[[#This Row],[Customer Gender]]="O","Other", TRUE,"Unknown")</f>
        <v>Female</v>
      </c>
    </row>
    <row r="1694" spans="1:15" x14ac:dyDescent="0.3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1">
        <v>45720</v>
      </c>
      <c r="G1694" s="1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f>orders[[#This Row],[Ship Date]]-orders[[#This Row],[Order Date]]</f>
        <v>2</v>
      </c>
      <c r="N1694">
        <f>WEEKNUM(orders[[#This Row],[Order Date]])</f>
        <v>10</v>
      </c>
      <c r="O1694" t="str" cm="1">
        <f t="array" ref="O1694">_xlfn.IFS(orders[[#This Row],[Customer Gender]]="M","Male", orders[[#This Row],[Customer Gender]]="F","Female", orders[[#This Row],[Customer Gender]]="O","Other", TRUE,"Unknown")</f>
        <v>Male</v>
      </c>
    </row>
    <row r="1695" spans="1:15" x14ac:dyDescent="0.3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1">
        <v>45720</v>
      </c>
      <c r="G1695" s="1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f>orders[[#This Row],[Ship Date]]-orders[[#This Row],[Order Date]]</f>
        <v>1</v>
      </c>
      <c r="N1695">
        <f>WEEKNUM(orders[[#This Row],[Order Date]])</f>
        <v>10</v>
      </c>
      <c r="O1695" t="str" cm="1">
        <f t="array" ref="O1695">_xlfn.IFS(orders[[#This Row],[Customer Gender]]="M","Male", orders[[#This Row],[Customer Gender]]="F","Female", orders[[#This Row],[Customer Gender]]="O","Other", TRUE,"Unknown")</f>
        <v>Female</v>
      </c>
    </row>
    <row r="1696" spans="1:15" x14ac:dyDescent="0.3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1">
        <v>45720</v>
      </c>
      <c r="G1696" s="1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f>orders[[#This Row],[Ship Date]]-orders[[#This Row],[Order Date]]</f>
        <v>3</v>
      </c>
      <c r="N1696">
        <f>WEEKNUM(orders[[#This Row],[Order Date]])</f>
        <v>10</v>
      </c>
      <c r="O1696" t="str" cm="1">
        <f t="array" ref="O1696">_xlfn.IFS(orders[[#This Row],[Customer Gender]]="M","Male", orders[[#This Row],[Customer Gender]]="F","Female", orders[[#This Row],[Customer Gender]]="O","Other", TRUE,"Unknown")</f>
        <v>Female</v>
      </c>
    </row>
    <row r="1697" spans="1:15" x14ac:dyDescent="0.3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1">
        <v>45720</v>
      </c>
      <c r="G1697" s="1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f>orders[[#This Row],[Ship Date]]-orders[[#This Row],[Order Date]]</f>
        <v>0</v>
      </c>
      <c r="N1697">
        <f>WEEKNUM(orders[[#This Row],[Order Date]])</f>
        <v>10</v>
      </c>
      <c r="O1697" t="str" cm="1">
        <f t="array" ref="O1697">_xlfn.IFS(orders[[#This Row],[Customer Gender]]="M","Male", orders[[#This Row],[Customer Gender]]="F","Female", orders[[#This Row],[Customer Gender]]="O","Other", TRUE,"Unknown")</f>
        <v>Male</v>
      </c>
    </row>
    <row r="1698" spans="1:15" x14ac:dyDescent="0.3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1">
        <v>45720</v>
      </c>
      <c r="G1698" s="1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f>orders[[#This Row],[Ship Date]]-orders[[#This Row],[Order Date]]</f>
        <v>2</v>
      </c>
      <c r="N1698">
        <f>WEEKNUM(orders[[#This Row],[Order Date]])</f>
        <v>10</v>
      </c>
      <c r="O1698" t="str" cm="1">
        <f t="array" ref="O1698">_xlfn.IFS(orders[[#This Row],[Customer Gender]]="M","Male", orders[[#This Row],[Customer Gender]]="F","Female", orders[[#This Row],[Customer Gender]]="O","Other", TRUE,"Unknown")</f>
        <v>Female</v>
      </c>
    </row>
    <row r="1699" spans="1:15" x14ac:dyDescent="0.3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1">
        <v>45720</v>
      </c>
      <c r="G1699" s="1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f>orders[[#This Row],[Ship Date]]-orders[[#This Row],[Order Date]]</f>
        <v>2</v>
      </c>
      <c r="N1699">
        <f>WEEKNUM(orders[[#This Row],[Order Date]])</f>
        <v>10</v>
      </c>
      <c r="O1699" t="str" cm="1">
        <f t="array" ref="O1699">_xlfn.IFS(orders[[#This Row],[Customer Gender]]="M","Male", orders[[#This Row],[Customer Gender]]="F","Female", orders[[#This Row],[Customer Gender]]="O","Other", TRUE,"Unknown")</f>
        <v>Male</v>
      </c>
    </row>
    <row r="1700" spans="1:15" x14ac:dyDescent="0.3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1">
        <v>45720</v>
      </c>
      <c r="G1700" s="1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f>orders[[#This Row],[Ship Date]]-orders[[#This Row],[Order Date]]</f>
        <v>6</v>
      </c>
      <c r="N1700">
        <f>WEEKNUM(orders[[#This Row],[Order Date]])</f>
        <v>10</v>
      </c>
      <c r="O1700" t="str" cm="1">
        <f t="array" ref="O1700">_xlfn.IFS(orders[[#This Row],[Customer Gender]]="M","Male", orders[[#This Row],[Customer Gender]]="F","Female", orders[[#This Row],[Customer Gender]]="O","Other", TRUE,"Unknown")</f>
        <v>Female</v>
      </c>
    </row>
    <row r="1701" spans="1:15" x14ac:dyDescent="0.3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1">
        <v>45720</v>
      </c>
      <c r="G1701" s="1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f>orders[[#This Row],[Ship Date]]-orders[[#This Row],[Order Date]]</f>
        <v>2</v>
      </c>
      <c r="N1701">
        <f>WEEKNUM(orders[[#This Row],[Order Date]])</f>
        <v>10</v>
      </c>
      <c r="O1701" t="str" cm="1">
        <f t="array" ref="O1701">_xlfn.IFS(orders[[#This Row],[Customer Gender]]="M","Male", orders[[#This Row],[Customer Gender]]="F","Female", orders[[#This Row],[Customer Gender]]="O","Other", TRUE,"Unknown")</f>
        <v>Female</v>
      </c>
    </row>
    <row r="1702" spans="1:15" x14ac:dyDescent="0.3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1">
        <v>45720</v>
      </c>
      <c r="G1702" s="1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f>orders[[#This Row],[Ship Date]]-orders[[#This Row],[Order Date]]</f>
        <v>1</v>
      </c>
      <c r="N1702">
        <f>WEEKNUM(orders[[#This Row],[Order Date]])</f>
        <v>10</v>
      </c>
      <c r="O1702" t="str" cm="1">
        <f t="array" ref="O1702">_xlfn.IFS(orders[[#This Row],[Customer Gender]]="M","Male", orders[[#This Row],[Customer Gender]]="F","Female", orders[[#This Row],[Customer Gender]]="O","Other", TRUE,"Unknown")</f>
        <v>Female</v>
      </c>
    </row>
    <row r="1703" spans="1:15" x14ac:dyDescent="0.3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1">
        <v>45720</v>
      </c>
      <c r="G1703" s="1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f>orders[[#This Row],[Ship Date]]-orders[[#This Row],[Order Date]]</f>
        <v>4</v>
      </c>
      <c r="N1703">
        <f>WEEKNUM(orders[[#This Row],[Order Date]])</f>
        <v>10</v>
      </c>
      <c r="O1703" t="str" cm="1">
        <f t="array" ref="O1703">_xlfn.IFS(orders[[#This Row],[Customer Gender]]="M","Male", orders[[#This Row],[Customer Gender]]="F","Female", orders[[#This Row],[Customer Gender]]="O","Other", TRUE,"Unknown")</f>
        <v>Male</v>
      </c>
    </row>
    <row r="1704" spans="1:15" x14ac:dyDescent="0.3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1">
        <v>45720</v>
      </c>
      <c r="G1704" s="1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f>orders[[#This Row],[Ship Date]]-orders[[#This Row],[Order Date]]</f>
        <v>1</v>
      </c>
      <c r="N1704">
        <f>WEEKNUM(orders[[#This Row],[Order Date]])</f>
        <v>10</v>
      </c>
      <c r="O1704" t="str" cm="1">
        <f t="array" ref="O1704">_xlfn.IFS(orders[[#This Row],[Customer Gender]]="M","Male", orders[[#This Row],[Customer Gender]]="F","Female", orders[[#This Row],[Customer Gender]]="O","Other", TRUE,"Unknown")</f>
        <v>Male</v>
      </c>
    </row>
    <row r="1705" spans="1:15" x14ac:dyDescent="0.3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1">
        <v>45720</v>
      </c>
      <c r="G1705" s="1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f>orders[[#This Row],[Ship Date]]-orders[[#This Row],[Order Date]]</f>
        <v>1</v>
      </c>
      <c r="N1705">
        <f>WEEKNUM(orders[[#This Row],[Order Date]])</f>
        <v>10</v>
      </c>
      <c r="O1705" t="str" cm="1">
        <f t="array" ref="O1705">_xlfn.IFS(orders[[#This Row],[Customer Gender]]="M","Male", orders[[#This Row],[Customer Gender]]="F","Female", orders[[#This Row],[Customer Gender]]="O","Other", TRUE,"Unknown")</f>
        <v>Female</v>
      </c>
    </row>
    <row r="1706" spans="1:15" x14ac:dyDescent="0.3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1">
        <v>45720</v>
      </c>
      <c r="G1706" s="1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f>orders[[#This Row],[Ship Date]]-orders[[#This Row],[Order Date]]</f>
        <v>1</v>
      </c>
      <c r="N1706">
        <f>WEEKNUM(orders[[#This Row],[Order Date]])</f>
        <v>10</v>
      </c>
      <c r="O1706" t="str" cm="1">
        <f t="array" ref="O1706">_xlfn.IFS(orders[[#This Row],[Customer Gender]]="M","Male", orders[[#This Row],[Customer Gender]]="F","Female", orders[[#This Row],[Customer Gender]]="O","Other", TRUE,"Unknown")</f>
        <v>Female</v>
      </c>
    </row>
    <row r="1707" spans="1:15" x14ac:dyDescent="0.3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1">
        <v>45720</v>
      </c>
      <c r="G1707" s="1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f>orders[[#This Row],[Ship Date]]-orders[[#This Row],[Order Date]]</f>
        <v>3</v>
      </c>
      <c r="N1707">
        <f>WEEKNUM(orders[[#This Row],[Order Date]])</f>
        <v>10</v>
      </c>
      <c r="O1707" t="str" cm="1">
        <f t="array" ref="O1707">_xlfn.IFS(orders[[#This Row],[Customer Gender]]="M","Male", orders[[#This Row],[Customer Gender]]="F","Female", orders[[#This Row],[Customer Gender]]="O","Other", TRUE,"Unknown")</f>
        <v>Female</v>
      </c>
    </row>
    <row r="1708" spans="1:15" x14ac:dyDescent="0.3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1">
        <v>45720</v>
      </c>
      <c r="G1708" s="1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f>orders[[#This Row],[Ship Date]]-orders[[#This Row],[Order Date]]</f>
        <v>1</v>
      </c>
      <c r="N1708">
        <f>WEEKNUM(orders[[#This Row],[Order Date]])</f>
        <v>10</v>
      </c>
      <c r="O1708" t="str" cm="1">
        <f t="array" ref="O1708">_xlfn.IFS(orders[[#This Row],[Customer Gender]]="M","Male", orders[[#This Row],[Customer Gender]]="F","Female", orders[[#This Row],[Customer Gender]]="O","Other", TRUE,"Unknown")</f>
        <v>Male</v>
      </c>
    </row>
    <row r="1709" spans="1:15" x14ac:dyDescent="0.3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1">
        <v>45720</v>
      </c>
      <c r="G1709" s="1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f>orders[[#This Row],[Ship Date]]-orders[[#This Row],[Order Date]]</f>
        <v>1</v>
      </c>
      <c r="N1709">
        <f>WEEKNUM(orders[[#This Row],[Order Date]])</f>
        <v>10</v>
      </c>
      <c r="O1709" t="str" cm="1">
        <f t="array" ref="O1709">_xlfn.IFS(orders[[#This Row],[Customer Gender]]="M","Male", orders[[#This Row],[Customer Gender]]="F","Female", orders[[#This Row],[Customer Gender]]="O","Other", TRUE,"Unknown")</f>
        <v>Female</v>
      </c>
    </row>
    <row r="1710" spans="1:15" x14ac:dyDescent="0.3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1">
        <v>45720</v>
      </c>
      <c r="G1710" s="1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f>orders[[#This Row],[Ship Date]]-orders[[#This Row],[Order Date]]</f>
        <v>4</v>
      </c>
      <c r="N1710">
        <f>WEEKNUM(orders[[#This Row],[Order Date]])</f>
        <v>10</v>
      </c>
      <c r="O1710" t="str" cm="1">
        <f t="array" ref="O1710">_xlfn.IFS(orders[[#This Row],[Customer Gender]]="M","Male", orders[[#This Row],[Customer Gender]]="F","Female", orders[[#This Row],[Customer Gender]]="O","Other", TRUE,"Unknown")</f>
        <v>Female</v>
      </c>
    </row>
    <row r="1711" spans="1:15" x14ac:dyDescent="0.3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1">
        <v>45720</v>
      </c>
      <c r="G1711" s="1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f>orders[[#This Row],[Ship Date]]-orders[[#This Row],[Order Date]]</f>
        <v>2</v>
      </c>
      <c r="N1711">
        <f>WEEKNUM(orders[[#This Row],[Order Date]])</f>
        <v>10</v>
      </c>
      <c r="O1711" t="str" cm="1">
        <f t="array" ref="O1711">_xlfn.IFS(orders[[#This Row],[Customer Gender]]="M","Male", orders[[#This Row],[Customer Gender]]="F","Female", orders[[#This Row],[Customer Gender]]="O","Other", TRUE,"Unknown")</f>
        <v>Female</v>
      </c>
    </row>
    <row r="1712" spans="1:15" x14ac:dyDescent="0.3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1">
        <v>45720</v>
      </c>
      <c r="G1712" s="1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f>orders[[#This Row],[Ship Date]]-orders[[#This Row],[Order Date]]</f>
        <v>1</v>
      </c>
      <c r="N1712">
        <f>WEEKNUM(orders[[#This Row],[Order Date]])</f>
        <v>10</v>
      </c>
      <c r="O1712" t="str" cm="1">
        <f t="array" ref="O1712">_xlfn.IFS(orders[[#This Row],[Customer Gender]]="M","Male", orders[[#This Row],[Customer Gender]]="F","Female", orders[[#This Row],[Customer Gender]]="O","Other", TRUE,"Unknown")</f>
        <v>Male</v>
      </c>
    </row>
    <row r="1713" spans="1:15" x14ac:dyDescent="0.3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1">
        <v>45720</v>
      </c>
      <c r="G1713" s="1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f>orders[[#This Row],[Ship Date]]-orders[[#This Row],[Order Date]]</f>
        <v>1</v>
      </c>
      <c r="N1713">
        <f>WEEKNUM(orders[[#This Row],[Order Date]])</f>
        <v>10</v>
      </c>
      <c r="O1713" t="str" cm="1">
        <f t="array" ref="O1713">_xlfn.IFS(orders[[#This Row],[Customer Gender]]="M","Male", orders[[#This Row],[Customer Gender]]="F","Female", orders[[#This Row],[Customer Gender]]="O","Other", TRUE,"Unknown")</f>
        <v>Male</v>
      </c>
    </row>
    <row r="1714" spans="1:15" x14ac:dyDescent="0.3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1">
        <v>45720</v>
      </c>
      <c r="G1714" s="1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f>orders[[#This Row],[Ship Date]]-orders[[#This Row],[Order Date]]</f>
        <v>1</v>
      </c>
      <c r="N1714">
        <f>WEEKNUM(orders[[#This Row],[Order Date]])</f>
        <v>10</v>
      </c>
      <c r="O1714" t="str" cm="1">
        <f t="array" ref="O1714">_xlfn.IFS(orders[[#This Row],[Customer Gender]]="M","Male", orders[[#This Row],[Customer Gender]]="F","Female", orders[[#This Row],[Customer Gender]]="O","Other", TRUE,"Unknown")</f>
        <v>Female</v>
      </c>
    </row>
    <row r="1715" spans="1:15" x14ac:dyDescent="0.3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1">
        <v>45720</v>
      </c>
      <c r="G1715" s="1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f>orders[[#This Row],[Ship Date]]-orders[[#This Row],[Order Date]]</f>
        <v>1</v>
      </c>
      <c r="N1715">
        <f>WEEKNUM(orders[[#This Row],[Order Date]])</f>
        <v>10</v>
      </c>
      <c r="O1715" t="str" cm="1">
        <f t="array" ref="O1715">_xlfn.IFS(orders[[#This Row],[Customer Gender]]="M","Male", orders[[#This Row],[Customer Gender]]="F","Female", orders[[#This Row],[Customer Gender]]="O","Other", TRUE,"Unknown")</f>
        <v>Male</v>
      </c>
    </row>
    <row r="1716" spans="1:15" x14ac:dyDescent="0.3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1">
        <v>45720</v>
      </c>
      <c r="G1716" s="1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f>orders[[#This Row],[Ship Date]]-orders[[#This Row],[Order Date]]</f>
        <v>7</v>
      </c>
      <c r="N1716">
        <f>WEEKNUM(orders[[#This Row],[Order Date]])</f>
        <v>10</v>
      </c>
      <c r="O1716" t="str" cm="1">
        <f t="array" ref="O1716">_xlfn.IFS(orders[[#This Row],[Customer Gender]]="M","Male", orders[[#This Row],[Customer Gender]]="F","Female", orders[[#This Row],[Customer Gender]]="O","Other", TRUE,"Unknown")</f>
        <v>Female</v>
      </c>
    </row>
    <row r="1717" spans="1:15" x14ac:dyDescent="0.3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1">
        <v>45720</v>
      </c>
      <c r="G1717" s="1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f>orders[[#This Row],[Ship Date]]-orders[[#This Row],[Order Date]]</f>
        <v>3</v>
      </c>
      <c r="N1717">
        <f>WEEKNUM(orders[[#This Row],[Order Date]])</f>
        <v>10</v>
      </c>
      <c r="O1717" t="str" cm="1">
        <f t="array" ref="O1717">_xlfn.IFS(orders[[#This Row],[Customer Gender]]="M","Male", orders[[#This Row],[Customer Gender]]="F","Female", orders[[#This Row],[Customer Gender]]="O","Other", TRUE,"Unknown")</f>
        <v>Male</v>
      </c>
    </row>
    <row r="1718" spans="1:15" x14ac:dyDescent="0.3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1">
        <v>45720</v>
      </c>
      <c r="G1718" s="1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f>orders[[#This Row],[Ship Date]]-orders[[#This Row],[Order Date]]</f>
        <v>1</v>
      </c>
      <c r="N1718">
        <f>WEEKNUM(orders[[#This Row],[Order Date]])</f>
        <v>10</v>
      </c>
      <c r="O1718" t="str" cm="1">
        <f t="array" ref="O1718">_xlfn.IFS(orders[[#This Row],[Customer Gender]]="M","Male", orders[[#This Row],[Customer Gender]]="F","Female", orders[[#This Row],[Customer Gender]]="O","Other", TRUE,"Unknown")</f>
        <v>Female</v>
      </c>
    </row>
    <row r="1719" spans="1:15" x14ac:dyDescent="0.3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1">
        <v>45720</v>
      </c>
      <c r="G1719" s="1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f>orders[[#This Row],[Ship Date]]-orders[[#This Row],[Order Date]]</f>
        <v>1</v>
      </c>
      <c r="N1719">
        <f>WEEKNUM(orders[[#This Row],[Order Date]])</f>
        <v>10</v>
      </c>
      <c r="O1719" t="str" cm="1">
        <f t="array" ref="O1719">_xlfn.IFS(orders[[#This Row],[Customer Gender]]="M","Male", orders[[#This Row],[Customer Gender]]="F","Female", orders[[#This Row],[Customer Gender]]="O","Other", TRUE,"Unknown")</f>
        <v>Female</v>
      </c>
    </row>
    <row r="1720" spans="1:15" x14ac:dyDescent="0.3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1">
        <v>45720</v>
      </c>
      <c r="G1720" s="1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f>orders[[#This Row],[Ship Date]]-orders[[#This Row],[Order Date]]</f>
        <v>5</v>
      </c>
      <c r="N1720">
        <f>WEEKNUM(orders[[#This Row],[Order Date]])</f>
        <v>10</v>
      </c>
      <c r="O1720" t="str" cm="1">
        <f t="array" ref="O1720">_xlfn.IFS(orders[[#This Row],[Customer Gender]]="M","Male", orders[[#This Row],[Customer Gender]]="F","Female", orders[[#This Row],[Customer Gender]]="O","Other", TRUE,"Unknown")</f>
        <v>Female</v>
      </c>
    </row>
    <row r="1721" spans="1:15" x14ac:dyDescent="0.3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1">
        <v>45720</v>
      </c>
      <c r="G1721" s="1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f>orders[[#This Row],[Ship Date]]-orders[[#This Row],[Order Date]]</f>
        <v>4</v>
      </c>
      <c r="N1721">
        <f>WEEKNUM(orders[[#This Row],[Order Date]])</f>
        <v>10</v>
      </c>
      <c r="O1721" t="str" cm="1">
        <f t="array" ref="O1721">_xlfn.IFS(orders[[#This Row],[Customer Gender]]="M","Male", orders[[#This Row],[Customer Gender]]="F","Female", orders[[#This Row],[Customer Gender]]="O","Other", TRUE,"Unknown")</f>
        <v>Female</v>
      </c>
    </row>
    <row r="1722" spans="1:15" x14ac:dyDescent="0.3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1">
        <v>45721</v>
      </c>
      <c r="G1722" s="1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f>orders[[#This Row],[Ship Date]]-orders[[#This Row],[Order Date]]</f>
        <v>3</v>
      </c>
      <c r="N1722">
        <f>WEEKNUM(orders[[#This Row],[Order Date]])</f>
        <v>10</v>
      </c>
      <c r="O1722" t="str" cm="1">
        <f t="array" ref="O1722">_xlfn.IFS(orders[[#This Row],[Customer Gender]]="M","Male", orders[[#This Row],[Customer Gender]]="F","Female", orders[[#This Row],[Customer Gender]]="O","Other", TRUE,"Unknown")</f>
        <v>Female</v>
      </c>
    </row>
    <row r="1723" spans="1:15" x14ac:dyDescent="0.3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1">
        <v>45721</v>
      </c>
      <c r="G1723" s="1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f>orders[[#This Row],[Ship Date]]-orders[[#This Row],[Order Date]]</f>
        <v>0</v>
      </c>
      <c r="N1723">
        <f>WEEKNUM(orders[[#This Row],[Order Date]])</f>
        <v>10</v>
      </c>
      <c r="O1723" t="str" cm="1">
        <f t="array" ref="O1723">_xlfn.IFS(orders[[#This Row],[Customer Gender]]="M","Male", orders[[#This Row],[Customer Gender]]="F","Female", orders[[#This Row],[Customer Gender]]="O","Other", TRUE,"Unknown")</f>
        <v>Male</v>
      </c>
    </row>
    <row r="1724" spans="1:15" x14ac:dyDescent="0.3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1">
        <v>45721</v>
      </c>
      <c r="G1724" s="1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f>orders[[#This Row],[Ship Date]]-orders[[#This Row],[Order Date]]</f>
        <v>3</v>
      </c>
      <c r="N1724">
        <f>WEEKNUM(orders[[#This Row],[Order Date]])</f>
        <v>10</v>
      </c>
      <c r="O1724" t="str" cm="1">
        <f t="array" ref="O1724">_xlfn.IFS(orders[[#This Row],[Customer Gender]]="M","Male", orders[[#This Row],[Customer Gender]]="F","Female", orders[[#This Row],[Customer Gender]]="O","Other", TRUE,"Unknown")</f>
        <v>Female</v>
      </c>
    </row>
    <row r="1725" spans="1:15" x14ac:dyDescent="0.3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1">
        <v>45721</v>
      </c>
      <c r="G1725" s="1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f>orders[[#This Row],[Ship Date]]-orders[[#This Row],[Order Date]]</f>
        <v>1</v>
      </c>
      <c r="N1725">
        <f>WEEKNUM(orders[[#This Row],[Order Date]])</f>
        <v>10</v>
      </c>
      <c r="O1725" t="str" cm="1">
        <f t="array" ref="O1725">_xlfn.IFS(orders[[#This Row],[Customer Gender]]="M","Male", orders[[#This Row],[Customer Gender]]="F","Female", orders[[#This Row],[Customer Gender]]="O","Other", TRUE,"Unknown")</f>
        <v>Male</v>
      </c>
    </row>
    <row r="1726" spans="1:15" x14ac:dyDescent="0.3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1">
        <v>45721</v>
      </c>
      <c r="G1726" s="1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f>orders[[#This Row],[Ship Date]]-orders[[#This Row],[Order Date]]</f>
        <v>2</v>
      </c>
      <c r="N1726">
        <f>WEEKNUM(orders[[#This Row],[Order Date]])</f>
        <v>10</v>
      </c>
      <c r="O1726" t="str" cm="1">
        <f t="array" ref="O1726">_xlfn.IFS(orders[[#This Row],[Customer Gender]]="M","Male", orders[[#This Row],[Customer Gender]]="F","Female", orders[[#This Row],[Customer Gender]]="O","Other", TRUE,"Unknown")</f>
        <v>Female</v>
      </c>
    </row>
    <row r="1727" spans="1:15" x14ac:dyDescent="0.3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1">
        <v>45721</v>
      </c>
      <c r="G1727" s="1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f>orders[[#This Row],[Ship Date]]-orders[[#This Row],[Order Date]]</f>
        <v>1</v>
      </c>
      <c r="N1727">
        <f>WEEKNUM(orders[[#This Row],[Order Date]])</f>
        <v>10</v>
      </c>
      <c r="O1727" t="str" cm="1">
        <f t="array" ref="O1727">_xlfn.IFS(orders[[#This Row],[Customer Gender]]="M","Male", orders[[#This Row],[Customer Gender]]="F","Female", orders[[#This Row],[Customer Gender]]="O","Other", TRUE,"Unknown")</f>
        <v>Other</v>
      </c>
    </row>
    <row r="1728" spans="1:15" x14ac:dyDescent="0.3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1">
        <v>45721</v>
      </c>
      <c r="G1728" s="1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f>orders[[#This Row],[Ship Date]]-orders[[#This Row],[Order Date]]</f>
        <v>4</v>
      </c>
      <c r="N1728">
        <f>WEEKNUM(orders[[#This Row],[Order Date]])</f>
        <v>10</v>
      </c>
      <c r="O1728" t="str" cm="1">
        <f t="array" ref="O1728">_xlfn.IFS(orders[[#This Row],[Customer Gender]]="M","Male", orders[[#This Row],[Customer Gender]]="F","Female", orders[[#This Row],[Customer Gender]]="O","Other", TRUE,"Unknown")</f>
        <v>Male</v>
      </c>
    </row>
    <row r="1729" spans="1:15" x14ac:dyDescent="0.3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1">
        <v>45721</v>
      </c>
      <c r="G1729" s="1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f>orders[[#This Row],[Ship Date]]-orders[[#This Row],[Order Date]]</f>
        <v>1</v>
      </c>
      <c r="N1729">
        <f>WEEKNUM(orders[[#This Row],[Order Date]])</f>
        <v>10</v>
      </c>
      <c r="O1729" t="str" cm="1">
        <f t="array" ref="O1729">_xlfn.IFS(orders[[#This Row],[Customer Gender]]="M","Male", orders[[#This Row],[Customer Gender]]="F","Female", orders[[#This Row],[Customer Gender]]="O","Other", TRUE,"Unknown")</f>
        <v>Female</v>
      </c>
    </row>
    <row r="1730" spans="1:15" x14ac:dyDescent="0.3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1">
        <v>45721</v>
      </c>
      <c r="G1730" s="1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f>orders[[#This Row],[Ship Date]]-orders[[#This Row],[Order Date]]</f>
        <v>1</v>
      </c>
      <c r="N1730">
        <f>WEEKNUM(orders[[#This Row],[Order Date]])</f>
        <v>10</v>
      </c>
      <c r="O1730" t="str" cm="1">
        <f t="array" ref="O1730">_xlfn.IFS(orders[[#This Row],[Customer Gender]]="M","Male", orders[[#This Row],[Customer Gender]]="F","Female", orders[[#This Row],[Customer Gender]]="O","Other", TRUE,"Unknown")</f>
        <v>Unknown</v>
      </c>
    </row>
    <row r="1731" spans="1:15" x14ac:dyDescent="0.3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1">
        <v>45721</v>
      </c>
      <c r="G1731" s="1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f>orders[[#This Row],[Ship Date]]-orders[[#This Row],[Order Date]]</f>
        <v>3</v>
      </c>
      <c r="N1731">
        <f>WEEKNUM(orders[[#This Row],[Order Date]])</f>
        <v>10</v>
      </c>
      <c r="O1731" t="str" cm="1">
        <f t="array" ref="O1731">_xlfn.IFS(orders[[#This Row],[Customer Gender]]="M","Male", orders[[#This Row],[Customer Gender]]="F","Female", orders[[#This Row],[Customer Gender]]="O","Other", TRUE,"Unknown")</f>
        <v>Male</v>
      </c>
    </row>
    <row r="1732" spans="1:15" x14ac:dyDescent="0.3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1">
        <v>45721</v>
      </c>
      <c r="G1732" s="1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f>orders[[#This Row],[Ship Date]]-orders[[#This Row],[Order Date]]</f>
        <v>5</v>
      </c>
      <c r="N1732">
        <f>WEEKNUM(orders[[#This Row],[Order Date]])</f>
        <v>10</v>
      </c>
      <c r="O1732" t="str" cm="1">
        <f t="array" ref="O1732">_xlfn.IFS(orders[[#This Row],[Customer Gender]]="M","Male", orders[[#This Row],[Customer Gender]]="F","Female", orders[[#This Row],[Customer Gender]]="O","Other", TRUE,"Unknown")</f>
        <v>Female</v>
      </c>
    </row>
    <row r="1733" spans="1:15" x14ac:dyDescent="0.3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1">
        <v>45721</v>
      </c>
      <c r="G1733" s="1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f>orders[[#This Row],[Ship Date]]-orders[[#This Row],[Order Date]]</f>
        <v>4</v>
      </c>
      <c r="N1733">
        <f>WEEKNUM(orders[[#This Row],[Order Date]])</f>
        <v>10</v>
      </c>
      <c r="O1733" t="str" cm="1">
        <f t="array" ref="O1733">_xlfn.IFS(orders[[#This Row],[Customer Gender]]="M","Male", orders[[#This Row],[Customer Gender]]="F","Female", orders[[#This Row],[Customer Gender]]="O","Other", TRUE,"Unknown")</f>
        <v>Female</v>
      </c>
    </row>
    <row r="1734" spans="1:15" x14ac:dyDescent="0.3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1">
        <v>45721</v>
      </c>
      <c r="G1734" s="1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f>orders[[#This Row],[Ship Date]]-orders[[#This Row],[Order Date]]</f>
        <v>0</v>
      </c>
      <c r="N1734">
        <f>WEEKNUM(orders[[#This Row],[Order Date]])</f>
        <v>10</v>
      </c>
      <c r="O1734" t="str" cm="1">
        <f t="array" ref="O1734">_xlfn.IFS(orders[[#This Row],[Customer Gender]]="M","Male", orders[[#This Row],[Customer Gender]]="F","Female", orders[[#This Row],[Customer Gender]]="O","Other", TRUE,"Unknown")</f>
        <v>Female</v>
      </c>
    </row>
    <row r="1735" spans="1:15" x14ac:dyDescent="0.3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1">
        <v>45721</v>
      </c>
      <c r="G1735" s="1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f>orders[[#This Row],[Ship Date]]-orders[[#This Row],[Order Date]]</f>
        <v>4</v>
      </c>
      <c r="N1735">
        <f>WEEKNUM(orders[[#This Row],[Order Date]])</f>
        <v>10</v>
      </c>
      <c r="O1735" t="str" cm="1">
        <f t="array" ref="O1735">_xlfn.IFS(orders[[#This Row],[Customer Gender]]="M","Male", orders[[#This Row],[Customer Gender]]="F","Female", orders[[#This Row],[Customer Gender]]="O","Other", TRUE,"Unknown")</f>
        <v>Male</v>
      </c>
    </row>
    <row r="1736" spans="1:15" x14ac:dyDescent="0.3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1">
        <v>45721</v>
      </c>
      <c r="G1736" s="1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f>orders[[#This Row],[Ship Date]]-orders[[#This Row],[Order Date]]</f>
        <v>1</v>
      </c>
      <c r="N1736">
        <f>WEEKNUM(orders[[#This Row],[Order Date]])</f>
        <v>10</v>
      </c>
      <c r="O1736" t="str" cm="1">
        <f t="array" ref="O1736">_xlfn.IFS(orders[[#This Row],[Customer Gender]]="M","Male", orders[[#This Row],[Customer Gender]]="F","Female", orders[[#This Row],[Customer Gender]]="O","Other", TRUE,"Unknown")</f>
        <v>Male</v>
      </c>
    </row>
    <row r="1737" spans="1:15" x14ac:dyDescent="0.3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1">
        <v>45721</v>
      </c>
      <c r="G1737" s="1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f>orders[[#This Row],[Ship Date]]-orders[[#This Row],[Order Date]]</f>
        <v>0</v>
      </c>
      <c r="N1737">
        <f>WEEKNUM(orders[[#This Row],[Order Date]])</f>
        <v>10</v>
      </c>
      <c r="O1737" t="str" cm="1">
        <f t="array" ref="O1737">_xlfn.IFS(orders[[#This Row],[Customer Gender]]="M","Male", orders[[#This Row],[Customer Gender]]="F","Female", orders[[#This Row],[Customer Gender]]="O","Other", TRUE,"Unknown")</f>
        <v>Male</v>
      </c>
    </row>
    <row r="1738" spans="1:15" x14ac:dyDescent="0.3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1">
        <v>45721</v>
      </c>
      <c r="G1738" s="1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f>orders[[#This Row],[Ship Date]]-orders[[#This Row],[Order Date]]</f>
        <v>4</v>
      </c>
      <c r="N1738">
        <f>WEEKNUM(orders[[#This Row],[Order Date]])</f>
        <v>10</v>
      </c>
      <c r="O1738" t="str" cm="1">
        <f t="array" ref="O1738">_xlfn.IFS(orders[[#This Row],[Customer Gender]]="M","Male", orders[[#This Row],[Customer Gender]]="F","Female", orders[[#This Row],[Customer Gender]]="O","Other", TRUE,"Unknown")</f>
        <v>Female</v>
      </c>
    </row>
    <row r="1739" spans="1:15" x14ac:dyDescent="0.3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1">
        <v>45721</v>
      </c>
      <c r="G1739" s="1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f>orders[[#This Row],[Ship Date]]-orders[[#This Row],[Order Date]]</f>
        <v>1</v>
      </c>
      <c r="N1739">
        <f>WEEKNUM(orders[[#This Row],[Order Date]])</f>
        <v>10</v>
      </c>
      <c r="O1739" t="str" cm="1">
        <f t="array" ref="O1739">_xlfn.IFS(orders[[#This Row],[Customer Gender]]="M","Male", orders[[#This Row],[Customer Gender]]="F","Female", orders[[#This Row],[Customer Gender]]="O","Other", TRUE,"Unknown")</f>
        <v>Female</v>
      </c>
    </row>
    <row r="1740" spans="1:15" x14ac:dyDescent="0.3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1">
        <v>45721</v>
      </c>
      <c r="G1740" s="1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f>orders[[#This Row],[Ship Date]]-orders[[#This Row],[Order Date]]</f>
        <v>0</v>
      </c>
      <c r="N1740">
        <f>WEEKNUM(orders[[#This Row],[Order Date]])</f>
        <v>10</v>
      </c>
      <c r="O1740" t="str" cm="1">
        <f t="array" ref="O1740">_xlfn.IFS(orders[[#This Row],[Customer Gender]]="M","Male", orders[[#This Row],[Customer Gender]]="F","Female", orders[[#This Row],[Customer Gender]]="O","Other", TRUE,"Unknown")</f>
        <v>Other</v>
      </c>
    </row>
    <row r="1741" spans="1:15" x14ac:dyDescent="0.3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1">
        <v>45721</v>
      </c>
      <c r="G1741" s="1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f>orders[[#This Row],[Ship Date]]-orders[[#This Row],[Order Date]]</f>
        <v>3</v>
      </c>
      <c r="N1741">
        <f>WEEKNUM(orders[[#This Row],[Order Date]])</f>
        <v>10</v>
      </c>
      <c r="O1741" t="str" cm="1">
        <f t="array" ref="O1741">_xlfn.IFS(orders[[#This Row],[Customer Gender]]="M","Male", orders[[#This Row],[Customer Gender]]="F","Female", orders[[#This Row],[Customer Gender]]="O","Other", TRUE,"Unknown")</f>
        <v>Female</v>
      </c>
    </row>
    <row r="1742" spans="1:15" x14ac:dyDescent="0.3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1">
        <v>45721</v>
      </c>
      <c r="G1742" s="1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f>orders[[#This Row],[Ship Date]]-orders[[#This Row],[Order Date]]</f>
        <v>5</v>
      </c>
      <c r="N1742">
        <f>WEEKNUM(orders[[#This Row],[Order Date]])</f>
        <v>10</v>
      </c>
      <c r="O1742" t="str" cm="1">
        <f t="array" ref="O1742">_xlfn.IFS(orders[[#This Row],[Customer Gender]]="M","Male", orders[[#This Row],[Customer Gender]]="F","Female", orders[[#This Row],[Customer Gender]]="O","Other", TRUE,"Unknown")</f>
        <v>Male</v>
      </c>
    </row>
    <row r="1743" spans="1:15" x14ac:dyDescent="0.3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1">
        <v>45721</v>
      </c>
      <c r="G1743" s="1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f>orders[[#This Row],[Ship Date]]-orders[[#This Row],[Order Date]]</f>
        <v>3</v>
      </c>
      <c r="N1743">
        <f>WEEKNUM(orders[[#This Row],[Order Date]])</f>
        <v>10</v>
      </c>
      <c r="O1743" t="str" cm="1">
        <f t="array" ref="O1743">_xlfn.IFS(orders[[#This Row],[Customer Gender]]="M","Male", orders[[#This Row],[Customer Gender]]="F","Female", orders[[#This Row],[Customer Gender]]="O","Other", TRUE,"Unknown")</f>
        <v>Female</v>
      </c>
    </row>
    <row r="1744" spans="1:15" x14ac:dyDescent="0.3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1">
        <v>45721</v>
      </c>
      <c r="G1744" s="1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f>orders[[#This Row],[Ship Date]]-orders[[#This Row],[Order Date]]</f>
        <v>1</v>
      </c>
      <c r="N1744">
        <f>WEEKNUM(orders[[#This Row],[Order Date]])</f>
        <v>10</v>
      </c>
      <c r="O1744" t="str" cm="1">
        <f t="array" ref="O1744">_xlfn.IFS(orders[[#This Row],[Customer Gender]]="M","Male", orders[[#This Row],[Customer Gender]]="F","Female", orders[[#This Row],[Customer Gender]]="O","Other", TRUE,"Unknown")</f>
        <v>Male</v>
      </c>
    </row>
    <row r="1745" spans="1:15" x14ac:dyDescent="0.3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1">
        <v>45721</v>
      </c>
      <c r="G1745" s="1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f>orders[[#This Row],[Ship Date]]-orders[[#This Row],[Order Date]]</f>
        <v>3</v>
      </c>
      <c r="N1745">
        <f>WEEKNUM(orders[[#This Row],[Order Date]])</f>
        <v>10</v>
      </c>
      <c r="O1745" t="str" cm="1">
        <f t="array" ref="O1745">_xlfn.IFS(orders[[#This Row],[Customer Gender]]="M","Male", orders[[#This Row],[Customer Gender]]="F","Female", orders[[#This Row],[Customer Gender]]="O","Other", TRUE,"Unknown")</f>
        <v>Other</v>
      </c>
    </row>
    <row r="1746" spans="1:15" x14ac:dyDescent="0.3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1">
        <v>45721</v>
      </c>
      <c r="G1746" s="1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f>orders[[#This Row],[Ship Date]]-orders[[#This Row],[Order Date]]</f>
        <v>10</v>
      </c>
      <c r="N1746">
        <f>WEEKNUM(orders[[#This Row],[Order Date]])</f>
        <v>10</v>
      </c>
      <c r="O1746" t="str" cm="1">
        <f t="array" ref="O1746">_xlfn.IFS(orders[[#This Row],[Customer Gender]]="M","Male", orders[[#This Row],[Customer Gender]]="F","Female", orders[[#This Row],[Customer Gender]]="O","Other", TRUE,"Unknown")</f>
        <v>Male</v>
      </c>
    </row>
    <row r="1747" spans="1:15" x14ac:dyDescent="0.3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1">
        <v>45721</v>
      </c>
      <c r="G1747" s="1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f>orders[[#This Row],[Ship Date]]-orders[[#This Row],[Order Date]]</f>
        <v>4</v>
      </c>
      <c r="N1747">
        <f>WEEKNUM(orders[[#This Row],[Order Date]])</f>
        <v>10</v>
      </c>
      <c r="O1747" t="str" cm="1">
        <f t="array" ref="O1747">_xlfn.IFS(orders[[#This Row],[Customer Gender]]="M","Male", orders[[#This Row],[Customer Gender]]="F","Female", orders[[#This Row],[Customer Gender]]="O","Other", TRUE,"Unknown")</f>
        <v>Female</v>
      </c>
    </row>
    <row r="1748" spans="1:15" x14ac:dyDescent="0.3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1">
        <v>45721</v>
      </c>
      <c r="G1748" s="1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f>orders[[#This Row],[Ship Date]]-orders[[#This Row],[Order Date]]</f>
        <v>1</v>
      </c>
      <c r="N1748">
        <f>WEEKNUM(orders[[#This Row],[Order Date]])</f>
        <v>10</v>
      </c>
      <c r="O1748" t="str" cm="1">
        <f t="array" ref="O1748">_xlfn.IFS(orders[[#This Row],[Customer Gender]]="M","Male", orders[[#This Row],[Customer Gender]]="F","Female", orders[[#This Row],[Customer Gender]]="O","Other", TRUE,"Unknown")</f>
        <v>Female</v>
      </c>
    </row>
    <row r="1749" spans="1:15" x14ac:dyDescent="0.3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1">
        <v>45721</v>
      </c>
      <c r="G1749" s="1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f>orders[[#This Row],[Ship Date]]-orders[[#This Row],[Order Date]]</f>
        <v>4</v>
      </c>
      <c r="N1749">
        <f>WEEKNUM(orders[[#This Row],[Order Date]])</f>
        <v>10</v>
      </c>
      <c r="O1749" t="str" cm="1">
        <f t="array" ref="O1749">_xlfn.IFS(orders[[#This Row],[Customer Gender]]="M","Male", orders[[#This Row],[Customer Gender]]="F","Female", orders[[#This Row],[Customer Gender]]="O","Other", TRUE,"Unknown")</f>
        <v>Female</v>
      </c>
    </row>
    <row r="1750" spans="1:15" x14ac:dyDescent="0.3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1">
        <v>45721</v>
      </c>
      <c r="G1750" s="1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f>orders[[#This Row],[Ship Date]]-orders[[#This Row],[Order Date]]</f>
        <v>2</v>
      </c>
      <c r="N1750">
        <f>WEEKNUM(orders[[#This Row],[Order Date]])</f>
        <v>10</v>
      </c>
      <c r="O1750" t="str" cm="1">
        <f t="array" ref="O1750">_xlfn.IFS(orders[[#This Row],[Customer Gender]]="M","Male", orders[[#This Row],[Customer Gender]]="F","Female", orders[[#This Row],[Customer Gender]]="O","Other", TRUE,"Unknown")</f>
        <v>Male</v>
      </c>
    </row>
    <row r="1751" spans="1:15" x14ac:dyDescent="0.3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1">
        <v>45721</v>
      </c>
      <c r="G1751" s="1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f>orders[[#This Row],[Ship Date]]-orders[[#This Row],[Order Date]]</f>
        <v>1</v>
      </c>
      <c r="N1751">
        <f>WEEKNUM(orders[[#This Row],[Order Date]])</f>
        <v>10</v>
      </c>
      <c r="O1751" t="str" cm="1">
        <f t="array" ref="O1751">_xlfn.IFS(orders[[#This Row],[Customer Gender]]="M","Male", orders[[#This Row],[Customer Gender]]="F","Female", orders[[#This Row],[Customer Gender]]="O","Other", TRUE,"Unknown")</f>
        <v>Male</v>
      </c>
    </row>
    <row r="1752" spans="1:15" x14ac:dyDescent="0.3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1">
        <v>45721</v>
      </c>
      <c r="G1752" s="1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f>orders[[#This Row],[Ship Date]]-orders[[#This Row],[Order Date]]</f>
        <v>3</v>
      </c>
      <c r="N1752">
        <f>WEEKNUM(orders[[#This Row],[Order Date]])</f>
        <v>10</v>
      </c>
      <c r="O1752" t="str" cm="1">
        <f t="array" ref="O1752">_xlfn.IFS(orders[[#This Row],[Customer Gender]]="M","Male", orders[[#This Row],[Customer Gender]]="F","Female", orders[[#This Row],[Customer Gender]]="O","Other", TRUE,"Unknown")</f>
        <v>Male</v>
      </c>
    </row>
    <row r="1753" spans="1:15" x14ac:dyDescent="0.3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1">
        <v>45721</v>
      </c>
      <c r="G1753" s="1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f>orders[[#This Row],[Ship Date]]-orders[[#This Row],[Order Date]]</f>
        <v>1</v>
      </c>
      <c r="N1753">
        <f>WEEKNUM(orders[[#This Row],[Order Date]])</f>
        <v>10</v>
      </c>
      <c r="O1753" t="str" cm="1">
        <f t="array" ref="O1753">_xlfn.IFS(orders[[#This Row],[Customer Gender]]="M","Male", orders[[#This Row],[Customer Gender]]="F","Female", orders[[#This Row],[Customer Gender]]="O","Other", TRUE,"Unknown")</f>
        <v>Female</v>
      </c>
    </row>
    <row r="1754" spans="1:15" x14ac:dyDescent="0.3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1">
        <v>45721</v>
      </c>
      <c r="G1754" s="1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f>orders[[#This Row],[Ship Date]]-orders[[#This Row],[Order Date]]</f>
        <v>1</v>
      </c>
      <c r="N1754">
        <f>WEEKNUM(orders[[#This Row],[Order Date]])</f>
        <v>10</v>
      </c>
      <c r="O1754" t="str" cm="1">
        <f t="array" ref="O1754">_xlfn.IFS(orders[[#This Row],[Customer Gender]]="M","Male", orders[[#This Row],[Customer Gender]]="F","Female", orders[[#This Row],[Customer Gender]]="O","Other", TRUE,"Unknown")</f>
        <v>Male</v>
      </c>
    </row>
    <row r="1755" spans="1:15" x14ac:dyDescent="0.3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1">
        <v>45721</v>
      </c>
      <c r="G1755" s="1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f>orders[[#This Row],[Ship Date]]-orders[[#This Row],[Order Date]]</f>
        <v>1</v>
      </c>
      <c r="N1755">
        <f>WEEKNUM(orders[[#This Row],[Order Date]])</f>
        <v>10</v>
      </c>
      <c r="O1755" t="str" cm="1">
        <f t="array" ref="O1755">_xlfn.IFS(orders[[#This Row],[Customer Gender]]="M","Male", orders[[#This Row],[Customer Gender]]="F","Female", orders[[#This Row],[Customer Gender]]="O","Other", TRUE,"Unknown")</f>
        <v>Female</v>
      </c>
    </row>
    <row r="1756" spans="1:15" x14ac:dyDescent="0.3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1">
        <v>45721</v>
      </c>
      <c r="G1756" s="1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f>orders[[#This Row],[Ship Date]]-orders[[#This Row],[Order Date]]</f>
        <v>3</v>
      </c>
      <c r="N1756">
        <f>WEEKNUM(orders[[#This Row],[Order Date]])</f>
        <v>10</v>
      </c>
      <c r="O1756" t="str" cm="1">
        <f t="array" ref="O1756">_xlfn.IFS(orders[[#This Row],[Customer Gender]]="M","Male", orders[[#This Row],[Customer Gender]]="F","Female", orders[[#This Row],[Customer Gender]]="O","Other", TRUE,"Unknown")</f>
        <v>Male</v>
      </c>
    </row>
    <row r="1757" spans="1:15" x14ac:dyDescent="0.3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1">
        <v>45722</v>
      </c>
      <c r="G1757" s="1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f>orders[[#This Row],[Ship Date]]-orders[[#This Row],[Order Date]]</f>
        <v>0</v>
      </c>
      <c r="N1757">
        <f>WEEKNUM(orders[[#This Row],[Order Date]])</f>
        <v>10</v>
      </c>
      <c r="O1757" t="str" cm="1">
        <f t="array" ref="O1757">_xlfn.IFS(orders[[#This Row],[Customer Gender]]="M","Male", orders[[#This Row],[Customer Gender]]="F","Female", orders[[#This Row],[Customer Gender]]="O","Other", TRUE,"Unknown")</f>
        <v>Female</v>
      </c>
    </row>
    <row r="1758" spans="1:15" x14ac:dyDescent="0.3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1">
        <v>45722</v>
      </c>
      <c r="G1758" s="1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f>orders[[#This Row],[Ship Date]]-orders[[#This Row],[Order Date]]</f>
        <v>4</v>
      </c>
      <c r="N1758">
        <f>WEEKNUM(orders[[#This Row],[Order Date]])</f>
        <v>10</v>
      </c>
      <c r="O1758" t="str" cm="1">
        <f t="array" ref="O1758">_xlfn.IFS(orders[[#This Row],[Customer Gender]]="M","Male", orders[[#This Row],[Customer Gender]]="F","Female", orders[[#This Row],[Customer Gender]]="O","Other", TRUE,"Unknown")</f>
        <v>Other</v>
      </c>
    </row>
    <row r="1759" spans="1:15" x14ac:dyDescent="0.3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1">
        <v>45722</v>
      </c>
      <c r="G1759" s="1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f>orders[[#This Row],[Ship Date]]-orders[[#This Row],[Order Date]]</f>
        <v>1</v>
      </c>
      <c r="N1759">
        <f>WEEKNUM(orders[[#This Row],[Order Date]])</f>
        <v>10</v>
      </c>
      <c r="O1759" t="str" cm="1">
        <f t="array" ref="O1759">_xlfn.IFS(orders[[#This Row],[Customer Gender]]="M","Male", orders[[#This Row],[Customer Gender]]="F","Female", orders[[#This Row],[Customer Gender]]="O","Other", TRUE,"Unknown")</f>
        <v>Male</v>
      </c>
    </row>
    <row r="1760" spans="1:15" x14ac:dyDescent="0.3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1">
        <v>45722</v>
      </c>
      <c r="G1760" s="1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f>orders[[#This Row],[Ship Date]]-orders[[#This Row],[Order Date]]</f>
        <v>7</v>
      </c>
      <c r="N1760">
        <f>WEEKNUM(orders[[#This Row],[Order Date]])</f>
        <v>10</v>
      </c>
      <c r="O1760" t="str" cm="1">
        <f t="array" ref="O1760">_xlfn.IFS(orders[[#This Row],[Customer Gender]]="M","Male", orders[[#This Row],[Customer Gender]]="F","Female", orders[[#This Row],[Customer Gender]]="O","Other", TRUE,"Unknown")</f>
        <v>Male</v>
      </c>
    </row>
    <row r="1761" spans="1:15" x14ac:dyDescent="0.3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1">
        <v>45722</v>
      </c>
      <c r="G1761" s="1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f>orders[[#This Row],[Ship Date]]-orders[[#This Row],[Order Date]]</f>
        <v>3</v>
      </c>
      <c r="N1761">
        <f>WEEKNUM(orders[[#This Row],[Order Date]])</f>
        <v>10</v>
      </c>
      <c r="O1761" t="str" cm="1">
        <f t="array" ref="O1761">_xlfn.IFS(orders[[#This Row],[Customer Gender]]="M","Male", orders[[#This Row],[Customer Gender]]="F","Female", orders[[#This Row],[Customer Gender]]="O","Other", TRUE,"Unknown")</f>
        <v>Female</v>
      </c>
    </row>
    <row r="1762" spans="1:15" x14ac:dyDescent="0.3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1">
        <v>45722</v>
      </c>
      <c r="G1762" s="1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f>orders[[#This Row],[Ship Date]]-orders[[#This Row],[Order Date]]</f>
        <v>3</v>
      </c>
      <c r="N1762">
        <f>WEEKNUM(orders[[#This Row],[Order Date]])</f>
        <v>10</v>
      </c>
      <c r="O1762" t="str" cm="1">
        <f t="array" ref="O1762">_xlfn.IFS(orders[[#This Row],[Customer Gender]]="M","Male", orders[[#This Row],[Customer Gender]]="F","Female", orders[[#This Row],[Customer Gender]]="O","Other", TRUE,"Unknown")</f>
        <v>Male</v>
      </c>
    </row>
    <row r="1763" spans="1:15" x14ac:dyDescent="0.3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1">
        <v>45722</v>
      </c>
      <c r="G1763" s="1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f>orders[[#This Row],[Ship Date]]-orders[[#This Row],[Order Date]]</f>
        <v>2</v>
      </c>
      <c r="N1763">
        <f>WEEKNUM(orders[[#This Row],[Order Date]])</f>
        <v>10</v>
      </c>
      <c r="O1763" t="str" cm="1">
        <f t="array" ref="O1763">_xlfn.IFS(orders[[#This Row],[Customer Gender]]="M","Male", orders[[#This Row],[Customer Gender]]="F","Female", orders[[#This Row],[Customer Gender]]="O","Other", TRUE,"Unknown")</f>
        <v>Male</v>
      </c>
    </row>
    <row r="1764" spans="1:15" x14ac:dyDescent="0.3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1">
        <v>45722</v>
      </c>
      <c r="G1764" s="1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f>orders[[#This Row],[Ship Date]]-orders[[#This Row],[Order Date]]</f>
        <v>2</v>
      </c>
      <c r="N1764">
        <f>WEEKNUM(orders[[#This Row],[Order Date]])</f>
        <v>10</v>
      </c>
      <c r="O1764" t="str" cm="1">
        <f t="array" ref="O1764">_xlfn.IFS(orders[[#This Row],[Customer Gender]]="M","Male", orders[[#This Row],[Customer Gender]]="F","Female", orders[[#This Row],[Customer Gender]]="O","Other", TRUE,"Unknown")</f>
        <v>Male</v>
      </c>
    </row>
    <row r="1765" spans="1:15" x14ac:dyDescent="0.3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1">
        <v>45722</v>
      </c>
      <c r="G1765" s="1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f>orders[[#This Row],[Ship Date]]-orders[[#This Row],[Order Date]]</f>
        <v>1</v>
      </c>
      <c r="N1765">
        <f>WEEKNUM(orders[[#This Row],[Order Date]])</f>
        <v>10</v>
      </c>
      <c r="O1765" t="str" cm="1">
        <f t="array" ref="O1765">_xlfn.IFS(orders[[#This Row],[Customer Gender]]="M","Male", orders[[#This Row],[Customer Gender]]="F","Female", orders[[#This Row],[Customer Gender]]="O","Other", TRUE,"Unknown")</f>
        <v>Male</v>
      </c>
    </row>
    <row r="1766" spans="1:15" x14ac:dyDescent="0.3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1">
        <v>45722</v>
      </c>
      <c r="G1766" s="1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f>orders[[#This Row],[Ship Date]]-orders[[#This Row],[Order Date]]</f>
        <v>2</v>
      </c>
      <c r="N1766">
        <f>WEEKNUM(orders[[#This Row],[Order Date]])</f>
        <v>10</v>
      </c>
      <c r="O1766" t="str" cm="1">
        <f t="array" ref="O1766">_xlfn.IFS(orders[[#This Row],[Customer Gender]]="M","Male", orders[[#This Row],[Customer Gender]]="F","Female", orders[[#This Row],[Customer Gender]]="O","Other", TRUE,"Unknown")</f>
        <v>Male</v>
      </c>
    </row>
    <row r="1767" spans="1:15" x14ac:dyDescent="0.3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1">
        <v>45722</v>
      </c>
      <c r="G1767" s="1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f>orders[[#This Row],[Ship Date]]-orders[[#This Row],[Order Date]]</f>
        <v>1</v>
      </c>
      <c r="N1767">
        <f>WEEKNUM(orders[[#This Row],[Order Date]])</f>
        <v>10</v>
      </c>
      <c r="O1767" t="str" cm="1">
        <f t="array" ref="O1767">_xlfn.IFS(orders[[#This Row],[Customer Gender]]="M","Male", orders[[#This Row],[Customer Gender]]="F","Female", orders[[#This Row],[Customer Gender]]="O","Other", TRUE,"Unknown")</f>
        <v>Male</v>
      </c>
    </row>
    <row r="1768" spans="1:15" x14ac:dyDescent="0.3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1">
        <v>45722</v>
      </c>
      <c r="G1768" s="1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f>orders[[#This Row],[Ship Date]]-orders[[#This Row],[Order Date]]</f>
        <v>1</v>
      </c>
      <c r="N1768">
        <f>WEEKNUM(orders[[#This Row],[Order Date]])</f>
        <v>10</v>
      </c>
      <c r="O1768" t="str" cm="1">
        <f t="array" ref="O1768">_xlfn.IFS(orders[[#This Row],[Customer Gender]]="M","Male", orders[[#This Row],[Customer Gender]]="F","Female", orders[[#This Row],[Customer Gender]]="O","Other", TRUE,"Unknown")</f>
        <v>Male</v>
      </c>
    </row>
    <row r="1769" spans="1:15" x14ac:dyDescent="0.3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1">
        <v>45722</v>
      </c>
      <c r="G1769" s="1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f>orders[[#This Row],[Ship Date]]-orders[[#This Row],[Order Date]]</f>
        <v>1</v>
      </c>
      <c r="N1769">
        <f>WEEKNUM(orders[[#This Row],[Order Date]])</f>
        <v>10</v>
      </c>
      <c r="O1769" t="str" cm="1">
        <f t="array" ref="O1769">_xlfn.IFS(orders[[#This Row],[Customer Gender]]="M","Male", orders[[#This Row],[Customer Gender]]="F","Female", orders[[#This Row],[Customer Gender]]="O","Other", TRUE,"Unknown")</f>
        <v>Male</v>
      </c>
    </row>
    <row r="1770" spans="1:15" x14ac:dyDescent="0.3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1">
        <v>45722</v>
      </c>
      <c r="G1770" s="1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f>orders[[#This Row],[Ship Date]]-orders[[#This Row],[Order Date]]</f>
        <v>2</v>
      </c>
      <c r="N1770">
        <f>WEEKNUM(orders[[#This Row],[Order Date]])</f>
        <v>10</v>
      </c>
      <c r="O1770" t="str" cm="1">
        <f t="array" ref="O1770">_xlfn.IFS(orders[[#This Row],[Customer Gender]]="M","Male", orders[[#This Row],[Customer Gender]]="F","Female", orders[[#This Row],[Customer Gender]]="O","Other", TRUE,"Unknown")</f>
        <v>Female</v>
      </c>
    </row>
    <row r="1771" spans="1:15" x14ac:dyDescent="0.3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1">
        <v>45722</v>
      </c>
      <c r="G1771" s="1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f>orders[[#This Row],[Ship Date]]-orders[[#This Row],[Order Date]]</f>
        <v>2</v>
      </c>
      <c r="N1771">
        <f>WEEKNUM(orders[[#This Row],[Order Date]])</f>
        <v>10</v>
      </c>
      <c r="O1771" t="str" cm="1">
        <f t="array" ref="O1771">_xlfn.IFS(orders[[#This Row],[Customer Gender]]="M","Male", orders[[#This Row],[Customer Gender]]="F","Female", orders[[#This Row],[Customer Gender]]="O","Other", TRUE,"Unknown")</f>
        <v>Female</v>
      </c>
    </row>
    <row r="1772" spans="1:15" x14ac:dyDescent="0.3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1">
        <v>45722</v>
      </c>
      <c r="G1772" s="1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f>orders[[#This Row],[Ship Date]]-orders[[#This Row],[Order Date]]</f>
        <v>0</v>
      </c>
      <c r="N1772">
        <f>WEEKNUM(orders[[#This Row],[Order Date]])</f>
        <v>10</v>
      </c>
      <c r="O1772" t="str" cm="1">
        <f t="array" ref="O1772">_xlfn.IFS(orders[[#This Row],[Customer Gender]]="M","Male", orders[[#This Row],[Customer Gender]]="F","Female", orders[[#This Row],[Customer Gender]]="O","Other", TRUE,"Unknown")</f>
        <v>Male</v>
      </c>
    </row>
    <row r="1773" spans="1:15" x14ac:dyDescent="0.3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1">
        <v>45722</v>
      </c>
      <c r="G1773" s="1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f>orders[[#This Row],[Ship Date]]-orders[[#This Row],[Order Date]]</f>
        <v>7</v>
      </c>
      <c r="N1773">
        <f>WEEKNUM(orders[[#This Row],[Order Date]])</f>
        <v>10</v>
      </c>
      <c r="O1773" t="str" cm="1">
        <f t="array" ref="O1773">_xlfn.IFS(orders[[#This Row],[Customer Gender]]="M","Male", orders[[#This Row],[Customer Gender]]="F","Female", orders[[#This Row],[Customer Gender]]="O","Other", TRUE,"Unknown")</f>
        <v>Male</v>
      </c>
    </row>
    <row r="1774" spans="1:15" x14ac:dyDescent="0.3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1">
        <v>45722</v>
      </c>
      <c r="G1774" s="1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f>orders[[#This Row],[Ship Date]]-orders[[#This Row],[Order Date]]</f>
        <v>4</v>
      </c>
      <c r="N1774">
        <f>WEEKNUM(orders[[#This Row],[Order Date]])</f>
        <v>10</v>
      </c>
      <c r="O1774" t="str" cm="1">
        <f t="array" ref="O1774">_xlfn.IFS(orders[[#This Row],[Customer Gender]]="M","Male", orders[[#This Row],[Customer Gender]]="F","Female", orders[[#This Row],[Customer Gender]]="O","Other", TRUE,"Unknown")</f>
        <v>Female</v>
      </c>
    </row>
    <row r="1775" spans="1:15" x14ac:dyDescent="0.3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1">
        <v>45722</v>
      </c>
      <c r="G1775" s="1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f>orders[[#This Row],[Ship Date]]-orders[[#This Row],[Order Date]]</f>
        <v>2</v>
      </c>
      <c r="N1775">
        <f>WEEKNUM(orders[[#This Row],[Order Date]])</f>
        <v>10</v>
      </c>
      <c r="O1775" t="str" cm="1">
        <f t="array" ref="O1775">_xlfn.IFS(orders[[#This Row],[Customer Gender]]="M","Male", orders[[#This Row],[Customer Gender]]="F","Female", orders[[#This Row],[Customer Gender]]="O","Other", TRUE,"Unknown")</f>
        <v>Female</v>
      </c>
    </row>
    <row r="1776" spans="1:15" x14ac:dyDescent="0.3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1">
        <v>45722</v>
      </c>
      <c r="G1776" s="1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f>orders[[#This Row],[Ship Date]]-orders[[#This Row],[Order Date]]</f>
        <v>1</v>
      </c>
      <c r="N1776">
        <f>WEEKNUM(orders[[#This Row],[Order Date]])</f>
        <v>10</v>
      </c>
      <c r="O1776" t="str" cm="1">
        <f t="array" ref="O1776">_xlfn.IFS(orders[[#This Row],[Customer Gender]]="M","Male", orders[[#This Row],[Customer Gender]]="F","Female", orders[[#This Row],[Customer Gender]]="O","Other", TRUE,"Unknown")</f>
        <v>Male</v>
      </c>
    </row>
    <row r="1777" spans="1:15" x14ac:dyDescent="0.3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1">
        <v>45722</v>
      </c>
      <c r="G1777" s="1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f>orders[[#This Row],[Ship Date]]-orders[[#This Row],[Order Date]]</f>
        <v>2</v>
      </c>
      <c r="N1777">
        <f>WEEKNUM(orders[[#This Row],[Order Date]])</f>
        <v>10</v>
      </c>
      <c r="O1777" t="str" cm="1">
        <f t="array" ref="O1777">_xlfn.IFS(orders[[#This Row],[Customer Gender]]="M","Male", orders[[#This Row],[Customer Gender]]="F","Female", orders[[#This Row],[Customer Gender]]="O","Other", TRUE,"Unknown")</f>
        <v>Male</v>
      </c>
    </row>
    <row r="1778" spans="1:15" x14ac:dyDescent="0.3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1">
        <v>45722</v>
      </c>
      <c r="G1778" s="1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f>orders[[#This Row],[Ship Date]]-orders[[#This Row],[Order Date]]</f>
        <v>2</v>
      </c>
      <c r="N1778">
        <f>WEEKNUM(orders[[#This Row],[Order Date]])</f>
        <v>10</v>
      </c>
      <c r="O1778" t="str" cm="1">
        <f t="array" ref="O1778">_xlfn.IFS(orders[[#This Row],[Customer Gender]]="M","Male", orders[[#This Row],[Customer Gender]]="F","Female", orders[[#This Row],[Customer Gender]]="O","Other", TRUE,"Unknown")</f>
        <v>Male</v>
      </c>
    </row>
    <row r="1779" spans="1:15" x14ac:dyDescent="0.3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1">
        <v>45722</v>
      </c>
      <c r="G1779" s="1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f>orders[[#This Row],[Ship Date]]-orders[[#This Row],[Order Date]]</f>
        <v>3</v>
      </c>
      <c r="N1779">
        <f>WEEKNUM(orders[[#This Row],[Order Date]])</f>
        <v>10</v>
      </c>
      <c r="O1779" t="str" cm="1">
        <f t="array" ref="O1779">_xlfn.IFS(orders[[#This Row],[Customer Gender]]="M","Male", orders[[#This Row],[Customer Gender]]="F","Female", orders[[#This Row],[Customer Gender]]="O","Other", TRUE,"Unknown")</f>
        <v>Male</v>
      </c>
    </row>
    <row r="1780" spans="1:15" x14ac:dyDescent="0.3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1">
        <v>45722</v>
      </c>
      <c r="G1780" s="1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f>orders[[#This Row],[Ship Date]]-orders[[#This Row],[Order Date]]</f>
        <v>2</v>
      </c>
      <c r="N1780">
        <f>WEEKNUM(orders[[#This Row],[Order Date]])</f>
        <v>10</v>
      </c>
      <c r="O1780" t="str" cm="1">
        <f t="array" ref="O1780">_xlfn.IFS(orders[[#This Row],[Customer Gender]]="M","Male", orders[[#This Row],[Customer Gender]]="F","Female", orders[[#This Row],[Customer Gender]]="O","Other", TRUE,"Unknown")</f>
        <v>Female</v>
      </c>
    </row>
    <row r="1781" spans="1:15" x14ac:dyDescent="0.3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1">
        <v>45722</v>
      </c>
      <c r="G1781" s="1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f>orders[[#This Row],[Ship Date]]-orders[[#This Row],[Order Date]]</f>
        <v>5</v>
      </c>
      <c r="N1781">
        <f>WEEKNUM(orders[[#This Row],[Order Date]])</f>
        <v>10</v>
      </c>
      <c r="O1781" t="str" cm="1">
        <f t="array" ref="O1781">_xlfn.IFS(orders[[#This Row],[Customer Gender]]="M","Male", orders[[#This Row],[Customer Gender]]="F","Female", orders[[#This Row],[Customer Gender]]="O","Other", TRUE,"Unknown")</f>
        <v>Female</v>
      </c>
    </row>
    <row r="1782" spans="1:15" x14ac:dyDescent="0.3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1">
        <v>45722</v>
      </c>
      <c r="G1782" s="1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f>orders[[#This Row],[Ship Date]]-orders[[#This Row],[Order Date]]</f>
        <v>1</v>
      </c>
      <c r="N1782">
        <f>WEEKNUM(orders[[#This Row],[Order Date]])</f>
        <v>10</v>
      </c>
      <c r="O1782" t="str" cm="1">
        <f t="array" ref="O1782">_xlfn.IFS(orders[[#This Row],[Customer Gender]]="M","Male", orders[[#This Row],[Customer Gender]]="F","Female", orders[[#This Row],[Customer Gender]]="O","Other", TRUE,"Unknown")</f>
        <v>Female</v>
      </c>
    </row>
    <row r="1783" spans="1:15" x14ac:dyDescent="0.3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1">
        <v>45722</v>
      </c>
      <c r="G1783" s="1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f>orders[[#This Row],[Ship Date]]-orders[[#This Row],[Order Date]]</f>
        <v>3</v>
      </c>
      <c r="N1783">
        <f>WEEKNUM(orders[[#This Row],[Order Date]])</f>
        <v>10</v>
      </c>
      <c r="O1783" t="str" cm="1">
        <f t="array" ref="O1783">_xlfn.IFS(orders[[#This Row],[Customer Gender]]="M","Male", orders[[#This Row],[Customer Gender]]="F","Female", orders[[#This Row],[Customer Gender]]="O","Other", TRUE,"Unknown")</f>
        <v>Female</v>
      </c>
    </row>
    <row r="1784" spans="1:15" x14ac:dyDescent="0.3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1">
        <v>45722</v>
      </c>
      <c r="G1784" s="1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f>orders[[#This Row],[Ship Date]]-orders[[#This Row],[Order Date]]</f>
        <v>10</v>
      </c>
      <c r="N1784">
        <f>WEEKNUM(orders[[#This Row],[Order Date]])</f>
        <v>10</v>
      </c>
      <c r="O1784" t="str" cm="1">
        <f t="array" ref="O1784">_xlfn.IFS(orders[[#This Row],[Customer Gender]]="M","Male", orders[[#This Row],[Customer Gender]]="F","Female", orders[[#This Row],[Customer Gender]]="O","Other", TRUE,"Unknown")</f>
        <v>Male</v>
      </c>
    </row>
    <row r="1785" spans="1:15" x14ac:dyDescent="0.3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1">
        <v>45722</v>
      </c>
      <c r="G1785" s="1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f>orders[[#This Row],[Ship Date]]-orders[[#This Row],[Order Date]]</f>
        <v>1</v>
      </c>
      <c r="N1785">
        <f>WEEKNUM(orders[[#This Row],[Order Date]])</f>
        <v>10</v>
      </c>
      <c r="O1785" t="str" cm="1">
        <f t="array" ref="O1785">_xlfn.IFS(orders[[#This Row],[Customer Gender]]="M","Male", orders[[#This Row],[Customer Gender]]="F","Female", orders[[#This Row],[Customer Gender]]="O","Other", TRUE,"Unknown")</f>
        <v>Female</v>
      </c>
    </row>
    <row r="1786" spans="1:15" x14ac:dyDescent="0.3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1">
        <v>45722</v>
      </c>
      <c r="G1786" s="1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f>orders[[#This Row],[Ship Date]]-orders[[#This Row],[Order Date]]</f>
        <v>2</v>
      </c>
      <c r="N1786">
        <f>WEEKNUM(orders[[#This Row],[Order Date]])</f>
        <v>10</v>
      </c>
      <c r="O1786" t="str" cm="1">
        <f t="array" ref="O1786">_xlfn.IFS(orders[[#This Row],[Customer Gender]]="M","Male", orders[[#This Row],[Customer Gender]]="F","Female", orders[[#This Row],[Customer Gender]]="O","Other", TRUE,"Unknown")</f>
        <v>Female</v>
      </c>
    </row>
    <row r="1787" spans="1:15" x14ac:dyDescent="0.3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1">
        <v>45722</v>
      </c>
      <c r="G1787" s="1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f>orders[[#This Row],[Ship Date]]-orders[[#This Row],[Order Date]]</f>
        <v>2</v>
      </c>
      <c r="N1787">
        <f>WEEKNUM(orders[[#This Row],[Order Date]])</f>
        <v>10</v>
      </c>
      <c r="O1787" t="str" cm="1">
        <f t="array" ref="O1787">_xlfn.IFS(orders[[#This Row],[Customer Gender]]="M","Male", orders[[#This Row],[Customer Gender]]="F","Female", orders[[#This Row],[Customer Gender]]="O","Other", TRUE,"Unknown")</f>
        <v>Female</v>
      </c>
    </row>
    <row r="1788" spans="1:15" x14ac:dyDescent="0.3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1">
        <v>45722</v>
      </c>
      <c r="G1788" s="1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f>orders[[#This Row],[Ship Date]]-orders[[#This Row],[Order Date]]</f>
        <v>0</v>
      </c>
      <c r="N1788">
        <f>WEEKNUM(orders[[#This Row],[Order Date]])</f>
        <v>10</v>
      </c>
      <c r="O1788" t="str" cm="1">
        <f t="array" ref="O1788">_xlfn.IFS(orders[[#This Row],[Customer Gender]]="M","Male", orders[[#This Row],[Customer Gender]]="F","Female", orders[[#This Row],[Customer Gender]]="O","Other", TRUE,"Unknown")</f>
        <v>Female</v>
      </c>
    </row>
    <row r="1789" spans="1:15" x14ac:dyDescent="0.3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1">
        <v>45723</v>
      </c>
      <c r="G1789" s="1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f>orders[[#This Row],[Ship Date]]-orders[[#This Row],[Order Date]]</f>
        <v>1</v>
      </c>
      <c r="N1789">
        <f>WEEKNUM(orders[[#This Row],[Order Date]])</f>
        <v>10</v>
      </c>
      <c r="O1789" t="str" cm="1">
        <f t="array" ref="O1789">_xlfn.IFS(orders[[#This Row],[Customer Gender]]="M","Male", orders[[#This Row],[Customer Gender]]="F","Female", orders[[#This Row],[Customer Gender]]="O","Other", TRUE,"Unknown")</f>
        <v>Male</v>
      </c>
    </row>
    <row r="1790" spans="1:15" x14ac:dyDescent="0.3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1">
        <v>45723</v>
      </c>
      <c r="G1790" s="1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f>orders[[#This Row],[Ship Date]]-orders[[#This Row],[Order Date]]</f>
        <v>4</v>
      </c>
      <c r="N1790">
        <f>WEEKNUM(orders[[#This Row],[Order Date]])</f>
        <v>10</v>
      </c>
      <c r="O1790" t="str" cm="1">
        <f t="array" ref="O1790">_xlfn.IFS(orders[[#This Row],[Customer Gender]]="M","Male", orders[[#This Row],[Customer Gender]]="F","Female", orders[[#This Row],[Customer Gender]]="O","Other", TRUE,"Unknown")</f>
        <v>Female</v>
      </c>
    </row>
    <row r="1791" spans="1:15" x14ac:dyDescent="0.3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1">
        <v>45723</v>
      </c>
      <c r="G1791" s="1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f>orders[[#This Row],[Ship Date]]-orders[[#This Row],[Order Date]]</f>
        <v>4</v>
      </c>
      <c r="N1791">
        <f>WEEKNUM(orders[[#This Row],[Order Date]])</f>
        <v>10</v>
      </c>
      <c r="O1791" t="str" cm="1">
        <f t="array" ref="O1791">_xlfn.IFS(orders[[#This Row],[Customer Gender]]="M","Male", orders[[#This Row],[Customer Gender]]="F","Female", orders[[#This Row],[Customer Gender]]="O","Other", TRUE,"Unknown")</f>
        <v>Female</v>
      </c>
    </row>
    <row r="1792" spans="1:15" x14ac:dyDescent="0.3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1">
        <v>45723</v>
      </c>
      <c r="G1792" s="1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f>orders[[#This Row],[Ship Date]]-orders[[#This Row],[Order Date]]</f>
        <v>3</v>
      </c>
      <c r="N1792">
        <f>WEEKNUM(orders[[#This Row],[Order Date]])</f>
        <v>10</v>
      </c>
      <c r="O1792" t="str" cm="1">
        <f t="array" ref="O1792">_xlfn.IFS(orders[[#This Row],[Customer Gender]]="M","Male", orders[[#This Row],[Customer Gender]]="F","Female", orders[[#This Row],[Customer Gender]]="O","Other", TRUE,"Unknown")</f>
        <v>Male</v>
      </c>
    </row>
    <row r="1793" spans="1:15" x14ac:dyDescent="0.3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1">
        <v>45723</v>
      </c>
      <c r="G1793" s="1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f>orders[[#This Row],[Ship Date]]-orders[[#This Row],[Order Date]]</f>
        <v>1</v>
      </c>
      <c r="N1793">
        <f>WEEKNUM(orders[[#This Row],[Order Date]])</f>
        <v>10</v>
      </c>
      <c r="O1793" t="str" cm="1">
        <f t="array" ref="O1793">_xlfn.IFS(orders[[#This Row],[Customer Gender]]="M","Male", orders[[#This Row],[Customer Gender]]="F","Female", orders[[#This Row],[Customer Gender]]="O","Other", TRUE,"Unknown")</f>
        <v>Male</v>
      </c>
    </row>
    <row r="1794" spans="1:15" x14ac:dyDescent="0.3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1">
        <v>45723</v>
      </c>
      <c r="G1794" s="1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f>orders[[#This Row],[Ship Date]]-orders[[#This Row],[Order Date]]</f>
        <v>5</v>
      </c>
      <c r="N1794">
        <f>WEEKNUM(orders[[#This Row],[Order Date]])</f>
        <v>10</v>
      </c>
      <c r="O1794" t="str" cm="1">
        <f t="array" ref="O1794">_xlfn.IFS(orders[[#This Row],[Customer Gender]]="M","Male", orders[[#This Row],[Customer Gender]]="F","Female", orders[[#This Row],[Customer Gender]]="O","Other", TRUE,"Unknown")</f>
        <v>Female</v>
      </c>
    </row>
    <row r="1795" spans="1:15" x14ac:dyDescent="0.3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1">
        <v>45723</v>
      </c>
      <c r="G1795" s="1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f>orders[[#This Row],[Ship Date]]-orders[[#This Row],[Order Date]]</f>
        <v>1</v>
      </c>
      <c r="N1795">
        <f>WEEKNUM(orders[[#This Row],[Order Date]])</f>
        <v>10</v>
      </c>
      <c r="O1795" t="str" cm="1">
        <f t="array" ref="O1795">_xlfn.IFS(orders[[#This Row],[Customer Gender]]="M","Male", orders[[#This Row],[Customer Gender]]="F","Female", orders[[#This Row],[Customer Gender]]="O","Other", TRUE,"Unknown")</f>
        <v>Male</v>
      </c>
    </row>
    <row r="1796" spans="1:15" x14ac:dyDescent="0.3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1">
        <v>45723</v>
      </c>
      <c r="G1796" s="1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f>orders[[#This Row],[Ship Date]]-orders[[#This Row],[Order Date]]</f>
        <v>1</v>
      </c>
      <c r="N1796">
        <f>WEEKNUM(orders[[#This Row],[Order Date]])</f>
        <v>10</v>
      </c>
      <c r="O1796" t="str" cm="1">
        <f t="array" ref="O1796">_xlfn.IFS(orders[[#This Row],[Customer Gender]]="M","Male", orders[[#This Row],[Customer Gender]]="F","Female", orders[[#This Row],[Customer Gender]]="O","Other", TRUE,"Unknown")</f>
        <v>Male</v>
      </c>
    </row>
    <row r="1797" spans="1:15" x14ac:dyDescent="0.3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1">
        <v>45723</v>
      </c>
      <c r="G1797" s="1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f>orders[[#This Row],[Ship Date]]-orders[[#This Row],[Order Date]]</f>
        <v>1</v>
      </c>
      <c r="N1797">
        <f>WEEKNUM(orders[[#This Row],[Order Date]])</f>
        <v>10</v>
      </c>
      <c r="O1797" t="str" cm="1">
        <f t="array" ref="O1797">_xlfn.IFS(orders[[#This Row],[Customer Gender]]="M","Male", orders[[#This Row],[Customer Gender]]="F","Female", orders[[#This Row],[Customer Gender]]="O","Other", TRUE,"Unknown")</f>
        <v>Male</v>
      </c>
    </row>
    <row r="1798" spans="1:15" x14ac:dyDescent="0.3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1">
        <v>45723</v>
      </c>
      <c r="G1798" s="1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f>orders[[#This Row],[Ship Date]]-orders[[#This Row],[Order Date]]</f>
        <v>1</v>
      </c>
      <c r="N1798">
        <f>WEEKNUM(orders[[#This Row],[Order Date]])</f>
        <v>10</v>
      </c>
      <c r="O1798" t="str" cm="1">
        <f t="array" ref="O1798">_xlfn.IFS(orders[[#This Row],[Customer Gender]]="M","Male", orders[[#This Row],[Customer Gender]]="F","Female", orders[[#This Row],[Customer Gender]]="O","Other", TRUE,"Unknown")</f>
        <v>Female</v>
      </c>
    </row>
    <row r="1799" spans="1:15" x14ac:dyDescent="0.3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1">
        <v>45723</v>
      </c>
      <c r="G1799" s="1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f>orders[[#This Row],[Ship Date]]-orders[[#This Row],[Order Date]]</f>
        <v>2</v>
      </c>
      <c r="N1799">
        <f>WEEKNUM(orders[[#This Row],[Order Date]])</f>
        <v>10</v>
      </c>
      <c r="O1799" t="str" cm="1">
        <f t="array" ref="O1799">_xlfn.IFS(orders[[#This Row],[Customer Gender]]="M","Male", orders[[#This Row],[Customer Gender]]="F","Female", orders[[#This Row],[Customer Gender]]="O","Other", TRUE,"Unknown")</f>
        <v>Male</v>
      </c>
    </row>
    <row r="1800" spans="1:15" x14ac:dyDescent="0.3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1">
        <v>45723</v>
      </c>
      <c r="G1800" s="1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f>orders[[#This Row],[Ship Date]]-orders[[#This Row],[Order Date]]</f>
        <v>5</v>
      </c>
      <c r="N1800">
        <f>WEEKNUM(orders[[#This Row],[Order Date]])</f>
        <v>10</v>
      </c>
      <c r="O1800" t="str" cm="1">
        <f t="array" ref="O1800">_xlfn.IFS(orders[[#This Row],[Customer Gender]]="M","Male", orders[[#This Row],[Customer Gender]]="F","Female", orders[[#This Row],[Customer Gender]]="O","Other", TRUE,"Unknown")</f>
        <v>Female</v>
      </c>
    </row>
    <row r="1801" spans="1:15" x14ac:dyDescent="0.3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1">
        <v>45723</v>
      </c>
      <c r="G1801" s="1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f>orders[[#This Row],[Ship Date]]-orders[[#This Row],[Order Date]]</f>
        <v>1</v>
      </c>
      <c r="N1801">
        <f>WEEKNUM(orders[[#This Row],[Order Date]])</f>
        <v>10</v>
      </c>
      <c r="O1801" t="str" cm="1">
        <f t="array" ref="O1801">_xlfn.IFS(orders[[#This Row],[Customer Gender]]="M","Male", orders[[#This Row],[Customer Gender]]="F","Female", orders[[#This Row],[Customer Gender]]="O","Other", TRUE,"Unknown")</f>
        <v>Female</v>
      </c>
    </row>
    <row r="1802" spans="1:15" x14ac:dyDescent="0.3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1">
        <v>45723</v>
      </c>
      <c r="G1802" s="1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f>orders[[#This Row],[Ship Date]]-orders[[#This Row],[Order Date]]</f>
        <v>0</v>
      </c>
      <c r="N1802">
        <f>WEEKNUM(orders[[#This Row],[Order Date]])</f>
        <v>10</v>
      </c>
      <c r="O1802" t="str" cm="1">
        <f t="array" ref="O1802">_xlfn.IFS(orders[[#This Row],[Customer Gender]]="M","Male", orders[[#This Row],[Customer Gender]]="F","Female", orders[[#This Row],[Customer Gender]]="O","Other", TRUE,"Unknown")</f>
        <v>Female</v>
      </c>
    </row>
    <row r="1803" spans="1:15" x14ac:dyDescent="0.3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1">
        <v>45723</v>
      </c>
      <c r="G1803" s="1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f>orders[[#This Row],[Ship Date]]-orders[[#This Row],[Order Date]]</f>
        <v>1</v>
      </c>
      <c r="N1803">
        <f>WEEKNUM(orders[[#This Row],[Order Date]])</f>
        <v>10</v>
      </c>
      <c r="O1803" t="str" cm="1">
        <f t="array" ref="O1803">_xlfn.IFS(orders[[#This Row],[Customer Gender]]="M","Male", orders[[#This Row],[Customer Gender]]="F","Female", orders[[#This Row],[Customer Gender]]="O","Other", TRUE,"Unknown")</f>
        <v>Female</v>
      </c>
    </row>
    <row r="1804" spans="1:15" x14ac:dyDescent="0.3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1">
        <v>45723</v>
      </c>
      <c r="G1804" s="1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f>orders[[#This Row],[Ship Date]]-orders[[#This Row],[Order Date]]</f>
        <v>1</v>
      </c>
      <c r="N1804">
        <f>WEEKNUM(orders[[#This Row],[Order Date]])</f>
        <v>10</v>
      </c>
      <c r="O1804" t="str" cm="1">
        <f t="array" ref="O1804">_xlfn.IFS(orders[[#This Row],[Customer Gender]]="M","Male", orders[[#This Row],[Customer Gender]]="F","Female", orders[[#This Row],[Customer Gender]]="O","Other", TRUE,"Unknown")</f>
        <v>Female</v>
      </c>
    </row>
    <row r="1805" spans="1:15" x14ac:dyDescent="0.3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1">
        <v>45723</v>
      </c>
      <c r="G1805" s="1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f>orders[[#This Row],[Ship Date]]-orders[[#This Row],[Order Date]]</f>
        <v>1</v>
      </c>
      <c r="N1805">
        <f>WEEKNUM(orders[[#This Row],[Order Date]])</f>
        <v>10</v>
      </c>
      <c r="O1805" t="str" cm="1">
        <f t="array" ref="O1805">_xlfn.IFS(orders[[#This Row],[Customer Gender]]="M","Male", orders[[#This Row],[Customer Gender]]="F","Female", orders[[#This Row],[Customer Gender]]="O","Other", TRUE,"Unknown")</f>
        <v>Male</v>
      </c>
    </row>
    <row r="1806" spans="1:15" x14ac:dyDescent="0.3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1">
        <v>45723</v>
      </c>
      <c r="G1806" s="1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f>orders[[#This Row],[Ship Date]]-orders[[#This Row],[Order Date]]</f>
        <v>6</v>
      </c>
      <c r="N1806">
        <f>WEEKNUM(orders[[#This Row],[Order Date]])</f>
        <v>10</v>
      </c>
      <c r="O1806" t="str" cm="1">
        <f t="array" ref="O1806">_xlfn.IFS(orders[[#This Row],[Customer Gender]]="M","Male", orders[[#This Row],[Customer Gender]]="F","Female", orders[[#This Row],[Customer Gender]]="O","Other", TRUE,"Unknown")</f>
        <v>Male</v>
      </c>
    </row>
    <row r="1807" spans="1:15" x14ac:dyDescent="0.3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1">
        <v>45723</v>
      </c>
      <c r="G1807" s="1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f>orders[[#This Row],[Ship Date]]-orders[[#This Row],[Order Date]]</f>
        <v>1</v>
      </c>
      <c r="N1807">
        <f>WEEKNUM(orders[[#This Row],[Order Date]])</f>
        <v>10</v>
      </c>
      <c r="O1807" t="str" cm="1">
        <f t="array" ref="O1807">_xlfn.IFS(orders[[#This Row],[Customer Gender]]="M","Male", orders[[#This Row],[Customer Gender]]="F","Female", orders[[#This Row],[Customer Gender]]="O","Other", TRUE,"Unknown")</f>
        <v>Female</v>
      </c>
    </row>
    <row r="1808" spans="1:15" x14ac:dyDescent="0.3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1">
        <v>45724</v>
      </c>
      <c r="G1808" s="1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f>orders[[#This Row],[Ship Date]]-orders[[#This Row],[Order Date]]</f>
        <v>4</v>
      </c>
      <c r="N1808">
        <f>WEEKNUM(orders[[#This Row],[Order Date]])</f>
        <v>10</v>
      </c>
      <c r="O1808" t="str" cm="1">
        <f t="array" ref="O1808">_xlfn.IFS(orders[[#This Row],[Customer Gender]]="M","Male", orders[[#This Row],[Customer Gender]]="F","Female", orders[[#This Row],[Customer Gender]]="O","Other", TRUE,"Unknown")</f>
        <v>Male</v>
      </c>
    </row>
    <row r="1809" spans="1:15" x14ac:dyDescent="0.3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1">
        <v>45724</v>
      </c>
      <c r="G1809" s="1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f>orders[[#This Row],[Ship Date]]-orders[[#This Row],[Order Date]]</f>
        <v>1</v>
      </c>
      <c r="N1809">
        <f>WEEKNUM(orders[[#This Row],[Order Date]])</f>
        <v>10</v>
      </c>
      <c r="O1809" t="str" cm="1">
        <f t="array" ref="O1809">_xlfn.IFS(orders[[#This Row],[Customer Gender]]="M","Male", orders[[#This Row],[Customer Gender]]="F","Female", orders[[#This Row],[Customer Gender]]="O","Other", TRUE,"Unknown")</f>
        <v>Female</v>
      </c>
    </row>
    <row r="1810" spans="1:15" x14ac:dyDescent="0.3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1">
        <v>45724</v>
      </c>
      <c r="G1810" s="1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f>orders[[#This Row],[Ship Date]]-orders[[#This Row],[Order Date]]</f>
        <v>2</v>
      </c>
      <c r="N1810">
        <f>WEEKNUM(orders[[#This Row],[Order Date]])</f>
        <v>10</v>
      </c>
      <c r="O1810" t="str" cm="1">
        <f t="array" ref="O1810">_xlfn.IFS(orders[[#This Row],[Customer Gender]]="M","Male", orders[[#This Row],[Customer Gender]]="F","Female", orders[[#This Row],[Customer Gender]]="O","Other", TRUE,"Unknown")</f>
        <v>Female</v>
      </c>
    </row>
    <row r="1811" spans="1:15" x14ac:dyDescent="0.3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1">
        <v>45724</v>
      </c>
      <c r="G1811" s="1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f>orders[[#This Row],[Ship Date]]-orders[[#This Row],[Order Date]]</f>
        <v>4</v>
      </c>
      <c r="N1811">
        <f>WEEKNUM(orders[[#This Row],[Order Date]])</f>
        <v>10</v>
      </c>
      <c r="O1811" t="str" cm="1">
        <f t="array" ref="O1811">_xlfn.IFS(orders[[#This Row],[Customer Gender]]="M","Male", orders[[#This Row],[Customer Gender]]="F","Female", orders[[#This Row],[Customer Gender]]="O","Other", TRUE,"Unknown")</f>
        <v>Female</v>
      </c>
    </row>
    <row r="1812" spans="1:15" x14ac:dyDescent="0.3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1">
        <v>45724</v>
      </c>
      <c r="G1812" s="1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f>orders[[#This Row],[Ship Date]]-orders[[#This Row],[Order Date]]</f>
        <v>4</v>
      </c>
      <c r="N1812">
        <f>WEEKNUM(orders[[#This Row],[Order Date]])</f>
        <v>10</v>
      </c>
      <c r="O1812" t="str" cm="1">
        <f t="array" ref="O1812">_xlfn.IFS(orders[[#This Row],[Customer Gender]]="M","Male", orders[[#This Row],[Customer Gender]]="F","Female", orders[[#This Row],[Customer Gender]]="O","Other", TRUE,"Unknown")</f>
        <v>Other</v>
      </c>
    </row>
    <row r="1813" spans="1:15" x14ac:dyDescent="0.3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1">
        <v>45724</v>
      </c>
      <c r="G1813" s="1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f>orders[[#This Row],[Ship Date]]-orders[[#This Row],[Order Date]]</f>
        <v>3</v>
      </c>
      <c r="N1813">
        <f>WEEKNUM(orders[[#This Row],[Order Date]])</f>
        <v>10</v>
      </c>
      <c r="O1813" t="str" cm="1">
        <f t="array" ref="O1813">_xlfn.IFS(orders[[#This Row],[Customer Gender]]="M","Male", orders[[#This Row],[Customer Gender]]="F","Female", orders[[#This Row],[Customer Gender]]="O","Other", TRUE,"Unknown")</f>
        <v>Female</v>
      </c>
    </row>
    <row r="1814" spans="1:15" x14ac:dyDescent="0.3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1">
        <v>45724</v>
      </c>
      <c r="G1814" s="1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f>orders[[#This Row],[Ship Date]]-orders[[#This Row],[Order Date]]</f>
        <v>1</v>
      </c>
      <c r="N1814">
        <f>WEEKNUM(orders[[#This Row],[Order Date]])</f>
        <v>10</v>
      </c>
      <c r="O1814" t="str" cm="1">
        <f t="array" ref="O1814">_xlfn.IFS(orders[[#This Row],[Customer Gender]]="M","Male", orders[[#This Row],[Customer Gender]]="F","Female", orders[[#This Row],[Customer Gender]]="O","Other", TRUE,"Unknown")</f>
        <v>Female</v>
      </c>
    </row>
    <row r="1815" spans="1:15" x14ac:dyDescent="0.3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1">
        <v>45724</v>
      </c>
      <c r="G1815" s="1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f>orders[[#This Row],[Ship Date]]-orders[[#This Row],[Order Date]]</f>
        <v>3</v>
      </c>
      <c r="N1815">
        <f>WEEKNUM(orders[[#This Row],[Order Date]])</f>
        <v>10</v>
      </c>
      <c r="O1815" t="str" cm="1">
        <f t="array" ref="O1815">_xlfn.IFS(orders[[#This Row],[Customer Gender]]="M","Male", orders[[#This Row],[Customer Gender]]="F","Female", orders[[#This Row],[Customer Gender]]="O","Other", TRUE,"Unknown")</f>
        <v>Male</v>
      </c>
    </row>
    <row r="1816" spans="1:15" x14ac:dyDescent="0.3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1">
        <v>45724</v>
      </c>
      <c r="G1816" s="1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f>orders[[#This Row],[Ship Date]]-orders[[#This Row],[Order Date]]</f>
        <v>2</v>
      </c>
      <c r="N1816">
        <f>WEEKNUM(orders[[#This Row],[Order Date]])</f>
        <v>10</v>
      </c>
      <c r="O1816" t="str" cm="1">
        <f t="array" ref="O1816">_xlfn.IFS(orders[[#This Row],[Customer Gender]]="M","Male", orders[[#This Row],[Customer Gender]]="F","Female", orders[[#This Row],[Customer Gender]]="O","Other", TRUE,"Unknown")</f>
        <v>Female</v>
      </c>
    </row>
    <row r="1817" spans="1:15" x14ac:dyDescent="0.3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1">
        <v>45724</v>
      </c>
      <c r="G1817" s="1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f>orders[[#This Row],[Ship Date]]-orders[[#This Row],[Order Date]]</f>
        <v>0</v>
      </c>
      <c r="N1817">
        <f>WEEKNUM(orders[[#This Row],[Order Date]])</f>
        <v>10</v>
      </c>
      <c r="O1817" t="str" cm="1">
        <f t="array" ref="O1817">_xlfn.IFS(orders[[#This Row],[Customer Gender]]="M","Male", orders[[#This Row],[Customer Gender]]="F","Female", orders[[#This Row],[Customer Gender]]="O","Other", TRUE,"Unknown")</f>
        <v>Male</v>
      </c>
    </row>
    <row r="1818" spans="1:15" x14ac:dyDescent="0.3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1">
        <v>45724</v>
      </c>
      <c r="G1818" s="1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f>orders[[#This Row],[Ship Date]]-orders[[#This Row],[Order Date]]</f>
        <v>2</v>
      </c>
      <c r="N1818">
        <f>WEEKNUM(orders[[#This Row],[Order Date]])</f>
        <v>10</v>
      </c>
      <c r="O1818" t="str" cm="1">
        <f t="array" ref="O1818">_xlfn.IFS(orders[[#This Row],[Customer Gender]]="M","Male", orders[[#This Row],[Customer Gender]]="F","Female", orders[[#This Row],[Customer Gender]]="O","Other", TRUE,"Unknown")</f>
        <v>Other</v>
      </c>
    </row>
    <row r="1819" spans="1:15" x14ac:dyDescent="0.3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1">
        <v>45724</v>
      </c>
      <c r="G1819" s="1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f>orders[[#This Row],[Ship Date]]-orders[[#This Row],[Order Date]]</f>
        <v>0</v>
      </c>
      <c r="N1819">
        <f>WEEKNUM(orders[[#This Row],[Order Date]])</f>
        <v>10</v>
      </c>
      <c r="O1819" t="str" cm="1">
        <f t="array" ref="O1819">_xlfn.IFS(orders[[#This Row],[Customer Gender]]="M","Male", orders[[#This Row],[Customer Gender]]="F","Female", orders[[#This Row],[Customer Gender]]="O","Other", TRUE,"Unknown")</f>
        <v>Female</v>
      </c>
    </row>
    <row r="1820" spans="1:15" x14ac:dyDescent="0.3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1">
        <v>45724</v>
      </c>
      <c r="G1820" s="1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f>orders[[#This Row],[Ship Date]]-orders[[#This Row],[Order Date]]</f>
        <v>4</v>
      </c>
      <c r="N1820">
        <f>WEEKNUM(orders[[#This Row],[Order Date]])</f>
        <v>10</v>
      </c>
      <c r="O1820" t="str" cm="1">
        <f t="array" ref="O1820">_xlfn.IFS(orders[[#This Row],[Customer Gender]]="M","Male", orders[[#This Row],[Customer Gender]]="F","Female", orders[[#This Row],[Customer Gender]]="O","Other", TRUE,"Unknown")</f>
        <v>Unknown</v>
      </c>
    </row>
    <row r="1821" spans="1:15" x14ac:dyDescent="0.3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1">
        <v>45724</v>
      </c>
      <c r="G1821" s="1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f>orders[[#This Row],[Ship Date]]-orders[[#This Row],[Order Date]]</f>
        <v>2</v>
      </c>
      <c r="N1821">
        <f>WEEKNUM(orders[[#This Row],[Order Date]])</f>
        <v>10</v>
      </c>
      <c r="O1821" t="str" cm="1">
        <f t="array" ref="O1821">_xlfn.IFS(orders[[#This Row],[Customer Gender]]="M","Male", orders[[#This Row],[Customer Gender]]="F","Female", orders[[#This Row],[Customer Gender]]="O","Other", TRUE,"Unknown")</f>
        <v>Female</v>
      </c>
    </row>
    <row r="1822" spans="1:15" x14ac:dyDescent="0.3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1">
        <v>45724</v>
      </c>
      <c r="G1822" s="1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f>orders[[#This Row],[Ship Date]]-orders[[#This Row],[Order Date]]</f>
        <v>1</v>
      </c>
      <c r="N1822">
        <f>WEEKNUM(orders[[#This Row],[Order Date]])</f>
        <v>10</v>
      </c>
      <c r="O1822" t="str" cm="1">
        <f t="array" ref="O1822">_xlfn.IFS(orders[[#This Row],[Customer Gender]]="M","Male", orders[[#This Row],[Customer Gender]]="F","Female", orders[[#This Row],[Customer Gender]]="O","Other", TRUE,"Unknown")</f>
        <v>Female</v>
      </c>
    </row>
    <row r="1823" spans="1:15" x14ac:dyDescent="0.3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1">
        <v>45724</v>
      </c>
      <c r="G1823" s="1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f>orders[[#This Row],[Ship Date]]-orders[[#This Row],[Order Date]]</f>
        <v>2</v>
      </c>
      <c r="N1823">
        <f>WEEKNUM(orders[[#This Row],[Order Date]])</f>
        <v>10</v>
      </c>
      <c r="O1823" t="str" cm="1">
        <f t="array" ref="O1823">_xlfn.IFS(orders[[#This Row],[Customer Gender]]="M","Male", orders[[#This Row],[Customer Gender]]="F","Female", orders[[#This Row],[Customer Gender]]="O","Other", TRUE,"Unknown")</f>
        <v>Unknown</v>
      </c>
    </row>
    <row r="1824" spans="1:15" x14ac:dyDescent="0.3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1">
        <v>45724</v>
      </c>
      <c r="G1824" s="1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f>orders[[#This Row],[Ship Date]]-orders[[#This Row],[Order Date]]</f>
        <v>0</v>
      </c>
      <c r="N1824">
        <f>WEEKNUM(orders[[#This Row],[Order Date]])</f>
        <v>10</v>
      </c>
      <c r="O1824" t="str" cm="1">
        <f t="array" ref="O1824">_xlfn.IFS(orders[[#This Row],[Customer Gender]]="M","Male", orders[[#This Row],[Customer Gender]]="F","Female", orders[[#This Row],[Customer Gender]]="O","Other", TRUE,"Unknown")</f>
        <v>Male</v>
      </c>
    </row>
    <row r="1825" spans="1:15" x14ac:dyDescent="0.3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1">
        <v>45724</v>
      </c>
      <c r="G1825" s="1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f>orders[[#This Row],[Ship Date]]-orders[[#This Row],[Order Date]]</f>
        <v>1</v>
      </c>
      <c r="N1825">
        <f>WEEKNUM(orders[[#This Row],[Order Date]])</f>
        <v>10</v>
      </c>
      <c r="O1825" t="str" cm="1">
        <f t="array" ref="O1825">_xlfn.IFS(orders[[#This Row],[Customer Gender]]="M","Male", orders[[#This Row],[Customer Gender]]="F","Female", orders[[#This Row],[Customer Gender]]="O","Other", TRUE,"Unknown")</f>
        <v>Other</v>
      </c>
    </row>
    <row r="1826" spans="1:15" x14ac:dyDescent="0.3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1">
        <v>45724</v>
      </c>
      <c r="G1826" s="1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f>orders[[#This Row],[Ship Date]]-orders[[#This Row],[Order Date]]</f>
        <v>2</v>
      </c>
      <c r="N1826">
        <f>WEEKNUM(orders[[#This Row],[Order Date]])</f>
        <v>10</v>
      </c>
      <c r="O1826" t="str" cm="1">
        <f t="array" ref="O1826">_xlfn.IFS(orders[[#This Row],[Customer Gender]]="M","Male", orders[[#This Row],[Customer Gender]]="F","Female", orders[[#This Row],[Customer Gender]]="O","Other", TRUE,"Unknown")</f>
        <v>Male</v>
      </c>
    </row>
    <row r="1827" spans="1:15" x14ac:dyDescent="0.3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1">
        <v>45724</v>
      </c>
      <c r="G1827" s="1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f>orders[[#This Row],[Ship Date]]-orders[[#This Row],[Order Date]]</f>
        <v>1</v>
      </c>
      <c r="N1827">
        <f>WEEKNUM(orders[[#This Row],[Order Date]])</f>
        <v>10</v>
      </c>
      <c r="O1827" t="str" cm="1">
        <f t="array" ref="O1827">_xlfn.IFS(orders[[#This Row],[Customer Gender]]="M","Male", orders[[#This Row],[Customer Gender]]="F","Female", orders[[#This Row],[Customer Gender]]="O","Other", TRUE,"Unknown")</f>
        <v>Female</v>
      </c>
    </row>
    <row r="1828" spans="1:15" x14ac:dyDescent="0.3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1">
        <v>45724</v>
      </c>
      <c r="G1828" s="1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f>orders[[#This Row],[Ship Date]]-orders[[#This Row],[Order Date]]</f>
        <v>1</v>
      </c>
      <c r="N1828">
        <f>WEEKNUM(orders[[#This Row],[Order Date]])</f>
        <v>10</v>
      </c>
      <c r="O1828" t="str" cm="1">
        <f t="array" ref="O1828">_xlfn.IFS(orders[[#This Row],[Customer Gender]]="M","Male", orders[[#This Row],[Customer Gender]]="F","Female", orders[[#This Row],[Customer Gender]]="O","Other", TRUE,"Unknown")</f>
        <v>Unknown</v>
      </c>
    </row>
    <row r="1829" spans="1:15" x14ac:dyDescent="0.3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1">
        <v>45725</v>
      </c>
      <c r="G1829" s="1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f>orders[[#This Row],[Ship Date]]-orders[[#This Row],[Order Date]]</f>
        <v>1</v>
      </c>
      <c r="N1829">
        <f>WEEKNUM(orders[[#This Row],[Order Date]])</f>
        <v>11</v>
      </c>
      <c r="O1829" t="str" cm="1">
        <f t="array" ref="O1829">_xlfn.IFS(orders[[#This Row],[Customer Gender]]="M","Male", orders[[#This Row],[Customer Gender]]="F","Female", orders[[#This Row],[Customer Gender]]="O","Other", TRUE,"Unknown")</f>
        <v>Male</v>
      </c>
    </row>
    <row r="1830" spans="1:15" x14ac:dyDescent="0.3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1">
        <v>45725</v>
      </c>
      <c r="G1830" s="1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f>orders[[#This Row],[Ship Date]]-orders[[#This Row],[Order Date]]</f>
        <v>6</v>
      </c>
      <c r="N1830">
        <f>WEEKNUM(orders[[#This Row],[Order Date]])</f>
        <v>11</v>
      </c>
      <c r="O1830" t="str" cm="1">
        <f t="array" ref="O1830">_xlfn.IFS(orders[[#This Row],[Customer Gender]]="M","Male", orders[[#This Row],[Customer Gender]]="F","Female", orders[[#This Row],[Customer Gender]]="O","Other", TRUE,"Unknown")</f>
        <v>Female</v>
      </c>
    </row>
    <row r="1831" spans="1:15" x14ac:dyDescent="0.3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1">
        <v>45725</v>
      </c>
      <c r="G1831" s="1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f>orders[[#This Row],[Ship Date]]-orders[[#This Row],[Order Date]]</f>
        <v>1</v>
      </c>
      <c r="N1831">
        <f>WEEKNUM(orders[[#This Row],[Order Date]])</f>
        <v>11</v>
      </c>
      <c r="O1831" t="str" cm="1">
        <f t="array" ref="O1831">_xlfn.IFS(orders[[#This Row],[Customer Gender]]="M","Male", orders[[#This Row],[Customer Gender]]="F","Female", orders[[#This Row],[Customer Gender]]="O","Other", TRUE,"Unknown")</f>
        <v>Male</v>
      </c>
    </row>
    <row r="1832" spans="1:15" x14ac:dyDescent="0.3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1">
        <v>45725</v>
      </c>
      <c r="G1832" s="1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f>orders[[#This Row],[Ship Date]]-orders[[#This Row],[Order Date]]</f>
        <v>1</v>
      </c>
      <c r="N1832">
        <f>WEEKNUM(orders[[#This Row],[Order Date]])</f>
        <v>11</v>
      </c>
      <c r="O1832" t="str" cm="1">
        <f t="array" ref="O1832">_xlfn.IFS(orders[[#This Row],[Customer Gender]]="M","Male", orders[[#This Row],[Customer Gender]]="F","Female", orders[[#This Row],[Customer Gender]]="O","Other", TRUE,"Unknown")</f>
        <v>Female</v>
      </c>
    </row>
    <row r="1833" spans="1:15" x14ac:dyDescent="0.3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1">
        <v>45725</v>
      </c>
      <c r="G1833" s="1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f>orders[[#This Row],[Ship Date]]-orders[[#This Row],[Order Date]]</f>
        <v>2</v>
      </c>
      <c r="N1833">
        <f>WEEKNUM(orders[[#This Row],[Order Date]])</f>
        <v>11</v>
      </c>
      <c r="O1833" t="str" cm="1">
        <f t="array" ref="O1833">_xlfn.IFS(orders[[#This Row],[Customer Gender]]="M","Male", orders[[#This Row],[Customer Gender]]="F","Female", orders[[#This Row],[Customer Gender]]="O","Other", TRUE,"Unknown")</f>
        <v>Unknown</v>
      </c>
    </row>
    <row r="1834" spans="1:15" x14ac:dyDescent="0.3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1">
        <v>45725</v>
      </c>
      <c r="G1834" s="1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f>orders[[#This Row],[Ship Date]]-orders[[#This Row],[Order Date]]</f>
        <v>12</v>
      </c>
      <c r="N1834">
        <f>WEEKNUM(orders[[#This Row],[Order Date]])</f>
        <v>11</v>
      </c>
      <c r="O1834" t="str" cm="1">
        <f t="array" ref="O1834">_xlfn.IFS(orders[[#This Row],[Customer Gender]]="M","Male", orders[[#This Row],[Customer Gender]]="F","Female", orders[[#This Row],[Customer Gender]]="O","Other", TRUE,"Unknown")</f>
        <v>Female</v>
      </c>
    </row>
    <row r="1835" spans="1:15" x14ac:dyDescent="0.3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1">
        <v>45725</v>
      </c>
      <c r="G1835" s="1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f>orders[[#This Row],[Ship Date]]-orders[[#This Row],[Order Date]]</f>
        <v>6</v>
      </c>
      <c r="N1835">
        <f>WEEKNUM(orders[[#This Row],[Order Date]])</f>
        <v>11</v>
      </c>
      <c r="O1835" t="str" cm="1">
        <f t="array" ref="O1835">_xlfn.IFS(orders[[#This Row],[Customer Gender]]="M","Male", orders[[#This Row],[Customer Gender]]="F","Female", orders[[#This Row],[Customer Gender]]="O","Other", TRUE,"Unknown")</f>
        <v>Male</v>
      </c>
    </row>
    <row r="1836" spans="1:15" x14ac:dyDescent="0.3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1">
        <v>45725</v>
      </c>
      <c r="G1836" s="1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f>orders[[#This Row],[Ship Date]]-orders[[#This Row],[Order Date]]</f>
        <v>4</v>
      </c>
      <c r="N1836">
        <f>WEEKNUM(orders[[#This Row],[Order Date]])</f>
        <v>11</v>
      </c>
      <c r="O1836" t="str" cm="1">
        <f t="array" ref="O1836">_xlfn.IFS(orders[[#This Row],[Customer Gender]]="M","Male", orders[[#This Row],[Customer Gender]]="F","Female", orders[[#This Row],[Customer Gender]]="O","Other", TRUE,"Unknown")</f>
        <v>Male</v>
      </c>
    </row>
    <row r="1837" spans="1:15" x14ac:dyDescent="0.3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1">
        <v>45725</v>
      </c>
      <c r="G1837" s="1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f>orders[[#This Row],[Ship Date]]-orders[[#This Row],[Order Date]]</f>
        <v>1</v>
      </c>
      <c r="N1837">
        <f>WEEKNUM(orders[[#This Row],[Order Date]])</f>
        <v>11</v>
      </c>
      <c r="O1837" t="str" cm="1">
        <f t="array" ref="O1837">_xlfn.IFS(orders[[#This Row],[Customer Gender]]="M","Male", orders[[#This Row],[Customer Gender]]="F","Female", orders[[#This Row],[Customer Gender]]="O","Other", TRUE,"Unknown")</f>
        <v>Female</v>
      </c>
    </row>
    <row r="1838" spans="1:15" x14ac:dyDescent="0.3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1">
        <v>45725</v>
      </c>
      <c r="G1838" s="1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f>orders[[#This Row],[Ship Date]]-orders[[#This Row],[Order Date]]</f>
        <v>1</v>
      </c>
      <c r="N1838">
        <f>WEEKNUM(orders[[#This Row],[Order Date]])</f>
        <v>11</v>
      </c>
      <c r="O1838" t="str" cm="1">
        <f t="array" ref="O1838">_xlfn.IFS(orders[[#This Row],[Customer Gender]]="M","Male", orders[[#This Row],[Customer Gender]]="F","Female", orders[[#This Row],[Customer Gender]]="O","Other", TRUE,"Unknown")</f>
        <v>Female</v>
      </c>
    </row>
    <row r="1839" spans="1:15" x14ac:dyDescent="0.3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1">
        <v>45725</v>
      </c>
      <c r="G1839" s="1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f>orders[[#This Row],[Ship Date]]-orders[[#This Row],[Order Date]]</f>
        <v>5</v>
      </c>
      <c r="N1839">
        <f>WEEKNUM(orders[[#This Row],[Order Date]])</f>
        <v>11</v>
      </c>
      <c r="O1839" t="str" cm="1">
        <f t="array" ref="O1839">_xlfn.IFS(orders[[#This Row],[Customer Gender]]="M","Male", orders[[#This Row],[Customer Gender]]="F","Female", orders[[#This Row],[Customer Gender]]="O","Other", TRUE,"Unknown")</f>
        <v>Female</v>
      </c>
    </row>
    <row r="1840" spans="1:15" x14ac:dyDescent="0.3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1">
        <v>45725</v>
      </c>
      <c r="G1840" s="1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f>orders[[#This Row],[Ship Date]]-orders[[#This Row],[Order Date]]</f>
        <v>6</v>
      </c>
      <c r="N1840">
        <f>WEEKNUM(orders[[#This Row],[Order Date]])</f>
        <v>11</v>
      </c>
      <c r="O1840" t="str" cm="1">
        <f t="array" ref="O1840">_xlfn.IFS(orders[[#This Row],[Customer Gender]]="M","Male", orders[[#This Row],[Customer Gender]]="F","Female", orders[[#This Row],[Customer Gender]]="O","Other", TRUE,"Unknown")</f>
        <v>Male</v>
      </c>
    </row>
    <row r="1841" spans="1:15" x14ac:dyDescent="0.3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1">
        <v>45725</v>
      </c>
      <c r="G1841" s="1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f>orders[[#This Row],[Ship Date]]-orders[[#This Row],[Order Date]]</f>
        <v>8</v>
      </c>
      <c r="N1841">
        <f>WEEKNUM(orders[[#This Row],[Order Date]])</f>
        <v>11</v>
      </c>
      <c r="O1841" t="str" cm="1">
        <f t="array" ref="O1841">_xlfn.IFS(orders[[#This Row],[Customer Gender]]="M","Male", orders[[#This Row],[Customer Gender]]="F","Female", orders[[#This Row],[Customer Gender]]="O","Other", TRUE,"Unknown")</f>
        <v>Female</v>
      </c>
    </row>
    <row r="1842" spans="1:15" x14ac:dyDescent="0.3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1">
        <v>45725</v>
      </c>
      <c r="G1842" s="1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f>orders[[#This Row],[Ship Date]]-orders[[#This Row],[Order Date]]</f>
        <v>1</v>
      </c>
      <c r="N1842">
        <f>WEEKNUM(orders[[#This Row],[Order Date]])</f>
        <v>11</v>
      </c>
      <c r="O1842" t="str" cm="1">
        <f t="array" ref="O1842">_xlfn.IFS(orders[[#This Row],[Customer Gender]]="M","Male", orders[[#This Row],[Customer Gender]]="F","Female", orders[[#This Row],[Customer Gender]]="O","Other", TRUE,"Unknown")</f>
        <v>Male</v>
      </c>
    </row>
    <row r="1843" spans="1:15" x14ac:dyDescent="0.3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1">
        <v>45725</v>
      </c>
      <c r="G1843" s="1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f>orders[[#This Row],[Ship Date]]-orders[[#This Row],[Order Date]]</f>
        <v>1</v>
      </c>
      <c r="N1843">
        <f>WEEKNUM(orders[[#This Row],[Order Date]])</f>
        <v>11</v>
      </c>
      <c r="O1843" t="str" cm="1">
        <f t="array" ref="O1843">_xlfn.IFS(orders[[#This Row],[Customer Gender]]="M","Male", orders[[#This Row],[Customer Gender]]="F","Female", orders[[#This Row],[Customer Gender]]="O","Other", TRUE,"Unknown")</f>
        <v>Female</v>
      </c>
    </row>
    <row r="1844" spans="1:15" x14ac:dyDescent="0.3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1">
        <v>45725</v>
      </c>
      <c r="G1844" s="1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f>orders[[#This Row],[Ship Date]]-orders[[#This Row],[Order Date]]</f>
        <v>3</v>
      </c>
      <c r="N1844">
        <f>WEEKNUM(orders[[#This Row],[Order Date]])</f>
        <v>11</v>
      </c>
      <c r="O1844" t="str" cm="1">
        <f t="array" ref="O1844">_xlfn.IFS(orders[[#This Row],[Customer Gender]]="M","Male", orders[[#This Row],[Customer Gender]]="F","Female", orders[[#This Row],[Customer Gender]]="O","Other", TRUE,"Unknown")</f>
        <v>Unknown</v>
      </c>
    </row>
    <row r="1845" spans="1:15" x14ac:dyDescent="0.3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1">
        <v>45725</v>
      </c>
      <c r="G1845" s="1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f>orders[[#This Row],[Ship Date]]-orders[[#This Row],[Order Date]]</f>
        <v>4</v>
      </c>
      <c r="N1845">
        <f>WEEKNUM(orders[[#This Row],[Order Date]])</f>
        <v>11</v>
      </c>
      <c r="O1845" t="str" cm="1">
        <f t="array" ref="O1845">_xlfn.IFS(orders[[#This Row],[Customer Gender]]="M","Male", orders[[#This Row],[Customer Gender]]="F","Female", orders[[#This Row],[Customer Gender]]="O","Other", TRUE,"Unknown")</f>
        <v>Female</v>
      </c>
    </row>
    <row r="1846" spans="1:15" x14ac:dyDescent="0.3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1">
        <v>45725</v>
      </c>
      <c r="G1846" s="1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f>orders[[#This Row],[Ship Date]]-orders[[#This Row],[Order Date]]</f>
        <v>1</v>
      </c>
      <c r="N1846">
        <f>WEEKNUM(orders[[#This Row],[Order Date]])</f>
        <v>11</v>
      </c>
      <c r="O1846" t="str" cm="1">
        <f t="array" ref="O1846">_xlfn.IFS(orders[[#This Row],[Customer Gender]]="M","Male", orders[[#This Row],[Customer Gender]]="F","Female", orders[[#This Row],[Customer Gender]]="O","Other", TRUE,"Unknown")</f>
        <v>Male</v>
      </c>
    </row>
    <row r="1847" spans="1:15" x14ac:dyDescent="0.3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1">
        <v>45725</v>
      </c>
      <c r="G1847" s="1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f>orders[[#This Row],[Ship Date]]-orders[[#This Row],[Order Date]]</f>
        <v>1</v>
      </c>
      <c r="N1847">
        <f>WEEKNUM(orders[[#This Row],[Order Date]])</f>
        <v>11</v>
      </c>
      <c r="O1847" t="str" cm="1">
        <f t="array" ref="O1847">_xlfn.IFS(orders[[#This Row],[Customer Gender]]="M","Male", orders[[#This Row],[Customer Gender]]="F","Female", orders[[#This Row],[Customer Gender]]="O","Other", TRUE,"Unknown")</f>
        <v>Other</v>
      </c>
    </row>
    <row r="1848" spans="1:15" x14ac:dyDescent="0.3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1">
        <v>45725</v>
      </c>
      <c r="G1848" s="1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f>orders[[#This Row],[Ship Date]]-orders[[#This Row],[Order Date]]</f>
        <v>5</v>
      </c>
      <c r="N1848">
        <f>WEEKNUM(orders[[#This Row],[Order Date]])</f>
        <v>11</v>
      </c>
      <c r="O1848" t="str" cm="1">
        <f t="array" ref="O1848">_xlfn.IFS(orders[[#This Row],[Customer Gender]]="M","Male", orders[[#This Row],[Customer Gender]]="F","Female", orders[[#This Row],[Customer Gender]]="O","Other", TRUE,"Unknown")</f>
        <v>Female</v>
      </c>
    </row>
    <row r="1849" spans="1:15" x14ac:dyDescent="0.3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1">
        <v>45725</v>
      </c>
      <c r="G1849" s="1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f>orders[[#This Row],[Ship Date]]-orders[[#This Row],[Order Date]]</f>
        <v>2</v>
      </c>
      <c r="N1849">
        <f>WEEKNUM(orders[[#This Row],[Order Date]])</f>
        <v>11</v>
      </c>
      <c r="O1849" t="str" cm="1">
        <f t="array" ref="O1849">_xlfn.IFS(orders[[#This Row],[Customer Gender]]="M","Male", orders[[#This Row],[Customer Gender]]="F","Female", orders[[#This Row],[Customer Gender]]="O","Other", TRUE,"Unknown")</f>
        <v>Female</v>
      </c>
    </row>
    <row r="1850" spans="1:15" x14ac:dyDescent="0.3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1">
        <v>45725</v>
      </c>
      <c r="G1850" s="1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f>orders[[#This Row],[Ship Date]]-orders[[#This Row],[Order Date]]</f>
        <v>1</v>
      </c>
      <c r="N1850">
        <f>WEEKNUM(orders[[#This Row],[Order Date]])</f>
        <v>11</v>
      </c>
      <c r="O1850" t="str" cm="1">
        <f t="array" ref="O1850">_xlfn.IFS(orders[[#This Row],[Customer Gender]]="M","Male", orders[[#This Row],[Customer Gender]]="F","Female", orders[[#This Row],[Customer Gender]]="O","Other", TRUE,"Unknown")</f>
        <v>Female</v>
      </c>
    </row>
    <row r="1851" spans="1:15" x14ac:dyDescent="0.3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1">
        <v>45725</v>
      </c>
      <c r="G1851" s="1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f>orders[[#This Row],[Ship Date]]-orders[[#This Row],[Order Date]]</f>
        <v>6</v>
      </c>
      <c r="N1851">
        <f>WEEKNUM(orders[[#This Row],[Order Date]])</f>
        <v>11</v>
      </c>
      <c r="O1851" t="str" cm="1">
        <f t="array" ref="O1851">_xlfn.IFS(orders[[#This Row],[Customer Gender]]="M","Male", orders[[#This Row],[Customer Gender]]="F","Female", orders[[#This Row],[Customer Gender]]="O","Other", TRUE,"Unknown")</f>
        <v>Male</v>
      </c>
    </row>
    <row r="1852" spans="1:15" x14ac:dyDescent="0.3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1">
        <v>45725</v>
      </c>
      <c r="G1852" s="1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f>orders[[#This Row],[Ship Date]]-orders[[#This Row],[Order Date]]</f>
        <v>1</v>
      </c>
      <c r="N1852">
        <f>WEEKNUM(orders[[#This Row],[Order Date]])</f>
        <v>11</v>
      </c>
      <c r="O1852" t="str" cm="1">
        <f t="array" ref="O1852">_xlfn.IFS(orders[[#This Row],[Customer Gender]]="M","Male", orders[[#This Row],[Customer Gender]]="F","Female", orders[[#This Row],[Customer Gender]]="O","Other", TRUE,"Unknown")</f>
        <v>Female</v>
      </c>
    </row>
    <row r="1853" spans="1:15" x14ac:dyDescent="0.3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1">
        <v>45725</v>
      </c>
      <c r="G1853" s="1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f>orders[[#This Row],[Ship Date]]-orders[[#This Row],[Order Date]]</f>
        <v>1</v>
      </c>
      <c r="N1853">
        <f>WEEKNUM(orders[[#This Row],[Order Date]])</f>
        <v>11</v>
      </c>
      <c r="O1853" t="str" cm="1">
        <f t="array" ref="O1853">_xlfn.IFS(orders[[#This Row],[Customer Gender]]="M","Male", orders[[#This Row],[Customer Gender]]="F","Female", orders[[#This Row],[Customer Gender]]="O","Other", TRUE,"Unknown")</f>
        <v>Female</v>
      </c>
    </row>
    <row r="1854" spans="1:15" x14ac:dyDescent="0.3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1">
        <v>45725</v>
      </c>
      <c r="G1854" s="1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f>orders[[#This Row],[Ship Date]]-orders[[#This Row],[Order Date]]</f>
        <v>2</v>
      </c>
      <c r="N1854">
        <f>WEEKNUM(orders[[#This Row],[Order Date]])</f>
        <v>11</v>
      </c>
      <c r="O1854" t="str" cm="1">
        <f t="array" ref="O1854">_xlfn.IFS(orders[[#This Row],[Customer Gender]]="M","Male", orders[[#This Row],[Customer Gender]]="F","Female", orders[[#This Row],[Customer Gender]]="O","Other", TRUE,"Unknown")</f>
        <v>Female</v>
      </c>
    </row>
    <row r="1855" spans="1:15" x14ac:dyDescent="0.3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1">
        <v>45725</v>
      </c>
      <c r="G1855" s="1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f>orders[[#This Row],[Ship Date]]-orders[[#This Row],[Order Date]]</f>
        <v>3</v>
      </c>
      <c r="N1855">
        <f>WEEKNUM(orders[[#This Row],[Order Date]])</f>
        <v>11</v>
      </c>
      <c r="O1855" t="str" cm="1">
        <f t="array" ref="O1855">_xlfn.IFS(orders[[#This Row],[Customer Gender]]="M","Male", orders[[#This Row],[Customer Gender]]="F","Female", orders[[#This Row],[Customer Gender]]="O","Other", TRUE,"Unknown")</f>
        <v>Male</v>
      </c>
    </row>
    <row r="1856" spans="1:15" x14ac:dyDescent="0.3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1">
        <v>45726</v>
      </c>
      <c r="G1856" s="1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f>orders[[#This Row],[Ship Date]]-orders[[#This Row],[Order Date]]</f>
        <v>2</v>
      </c>
      <c r="N1856">
        <f>WEEKNUM(orders[[#This Row],[Order Date]])</f>
        <v>11</v>
      </c>
      <c r="O1856" t="str" cm="1">
        <f t="array" ref="O1856">_xlfn.IFS(orders[[#This Row],[Customer Gender]]="M","Male", orders[[#This Row],[Customer Gender]]="F","Female", orders[[#This Row],[Customer Gender]]="O","Other", TRUE,"Unknown")</f>
        <v>Female</v>
      </c>
    </row>
    <row r="1857" spans="1:15" x14ac:dyDescent="0.3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1">
        <v>45726</v>
      </c>
      <c r="G1857" s="1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f>orders[[#This Row],[Ship Date]]-orders[[#This Row],[Order Date]]</f>
        <v>1</v>
      </c>
      <c r="N1857">
        <f>WEEKNUM(orders[[#This Row],[Order Date]])</f>
        <v>11</v>
      </c>
      <c r="O1857" t="str" cm="1">
        <f t="array" ref="O1857">_xlfn.IFS(orders[[#This Row],[Customer Gender]]="M","Male", orders[[#This Row],[Customer Gender]]="F","Female", orders[[#This Row],[Customer Gender]]="O","Other", TRUE,"Unknown")</f>
        <v>Male</v>
      </c>
    </row>
    <row r="1858" spans="1:15" x14ac:dyDescent="0.3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1">
        <v>45726</v>
      </c>
      <c r="G1858" s="1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f>orders[[#This Row],[Ship Date]]-orders[[#This Row],[Order Date]]</f>
        <v>6</v>
      </c>
      <c r="N1858">
        <f>WEEKNUM(orders[[#This Row],[Order Date]])</f>
        <v>11</v>
      </c>
      <c r="O1858" t="str" cm="1">
        <f t="array" ref="O1858">_xlfn.IFS(orders[[#This Row],[Customer Gender]]="M","Male", orders[[#This Row],[Customer Gender]]="F","Female", orders[[#This Row],[Customer Gender]]="O","Other", TRUE,"Unknown")</f>
        <v>Female</v>
      </c>
    </row>
    <row r="1859" spans="1:15" x14ac:dyDescent="0.3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1">
        <v>45726</v>
      </c>
      <c r="G1859" s="1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f>orders[[#This Row],[Ship Date]]-orders[[#This Row],[Order Date]]</f>
        <v>5</v>
      </c>
      <c r="N1859">
        <f>WEEKNUM(orders[[#This Row],[Order Date]])</f>
        <v>11</v>
      </c>
      <c r="O1859" t="str" cm="1">
        <f t="array" ref="O1859">_xlfn.IFS(orders[[#This Row],[Customer Gender]]="M","Male", orders[[#This Row],[Customer Gender]]="F","Female", orders[[#This Row],[Customer Gender]]="O","Other", TRUE,"Unknown")</f>
        <v>Female</v>
      </c>
    </row>
    <row r="1860" spans="1:15" x14ac:dyDescent="0.3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1">
        <v>45726</v>
      </c>
      <c r="G1860" s="1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f>orders[[#This Row],[Ship Date]]-orders[[#This Row],[Order Date]]</f>
        <v>3</v>
      </c>
      <c r="N1860">
        <f>WEEKNUM(orders[[#This Row],[Order Date]])</f>
        <v>11</v>
      </c>
      <c r="O1860" t="str" cm="1">
        <f t="array" ref="O1860">_xlfn.IFS(orders[[#This Row],[Customer Gender]]="M","Male", orders[[#This Row],[Customer Gender]]="F","Female", orders[[#This Row],[Customer Gender]]="O","Other", TRUE,"Unknown")</f>
        <v>Female</v>
      </c>
    </row>
    <row r="1861" spans="1:15" x14ac:dyDescent="0.3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1">
        <v>45726</v>
      </c>
      <c r="G1861" s="1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f>orders[[#This Row],[Ship Date]]-orders[[#This Row],[Order Date]]</f>
        <v>0</v>
      </c>
      <c r="N1861">
        <f>WEEKNUM(orders[[#This Row],[Order Date]])</f>
        <v>11</v>
      </c>
      <c r="O1861" t="str" cm="1">
        <f t="array" ref="O1861">_xlfn.IFS(orders[[#This Row],[Customer Gender]]="M","Male", orders[[#This Row],[Customer Gender]]="F","Female", orders[[#This Row],[Customer Gender]]="O","Other", TRUE,"Unknown")</f>
        <v>Male</v>
      </c>
    </row>
    <row r="1862" spans="1:15" x14ac:dyDescent="0.3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1">
        <v>45726</v>
      </c>
      <c r="G1862" s="1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f>orders[[#This Row],[Ship Date]]-orders[[#This Row],[Order Date]]</f>
        <v>1</v>
      </c>
      <c r="N1862">
        <f>WEEKNUM(orders[[#This Row],[Order Date]])</f>
        <v>11</v>
      </c>
      <c r="O1862" t="str" cm="1">
        <f t="array" ref="O1862">_xlfn.IFS(orders[[#This Row],[Customer Gender]]="M","Male", orders[[#This Row],[Customer Gender]]="F","Female", orders[[#This Row],[Customer Gender]]="O","Other", TRUE,"Unknown")</f>
        <v>Male</v>
      </c>
    </row>
    <row r="1863" spans="1:15" x14ac:dyDescent="0.3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1">
        <v>45726</v>
      </c>
      <c r="G1863" s="1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f>orders[[#This Row],[Ship Date]]-orders[[#This Row],[Order Date]]</f>
        <v>2</v>
      </c>
      <c r="N1863">
        <f>WEEKNUM(orders[[#This Row],[Order Date]])</f>
        <v>11</v>
      </c>
      <c r="O1863" t="str" cm="1">
        <f t="array" ref="O1863">_xlfn.IFS(orders[[#This Row],[Customer Gender]]="M","Male", orders[[#This Row],[Customer Gender]]="F","Female", orders[[#This Row],[Customer Gender]]="O","Other", TRUE,"Unknown")</f>
        <v>Other</v>
      </c>
    </row>
    <row r="1864" spans="1:15" x14ac:dyDescent="0.3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1">
        <v>45726</v>
      </c>
      <c r="G1864" s="1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f>orders[[#This Row],[Ship Date]]-orders[[#This Row],[Order Date]]</f>
        <v>1</v>
      </c>
      <c r="N1864">
        <f>WEEKNUM(orders[[#This Row],[Order Date]])</f>
        <v>11</v>
      </c>
      <c r="O1864" t="str" cm="1">
        <f t="array" ref="O1864">_xlfn.IFS(orders[[#This Row],[Customer Gender]]="M","Male", orders[[#This Row],[Customer Gender]]="F","Female", orders[[#This Row],[Customer Gender]]="O","Other", TRUE,"Unknown")</f>
        <v>Male</v>
      </c>
    </row>
    <row r="1865" spans="1:15" x14ac:dyDescent="0.3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1">
        <v>45726</v>
      </c>
      <c r="G1865" s="1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f>orders[[#This Row],[Ship Date]]-orders[[#This Row],[Order Date]]</f>
        <v>2</v>
      </c>
      <c r="N1865">
        <f>WEEKNUM(orders[[#This Row],[Order Date]])</f>
        <v>11</v>
      </c>
      <c r="O1865" t="str" cm="1">
        <f t="array" ref="O1865">_xlfn.IFS(orders[[#This Row],[Customer Gender]]="M","Male", orders[[#This Row],[Customer Gender]]="F","Female", orders[[#This Row],[Customer Gender]]="O","Other", TRUE,"Unknown")</f>
        <v>Female</v>
      </c>
    </row>
    <row r="1866" spans="1:15" x14ac:dyDescent="0.3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1">
        <v>45726</v>
      </c>
      <c r="G1866" s="1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f>orders[[#This Row],[Ship Date]]-orders[[#This Row],[Order Date]]</f>
        <v>2</v>
      </c>
      <c r="N1866">
        <f>WEEKNUM(orders[[#This Row],[Order Date]])</f>
        <v>11</v>
      </c>
      <c r="O1866" t="str" cm="1">
        <f t="array" ref="O1866">_xlfn.IFS(orders[[#This Row],[Customer Gender]]="M","Male", orders[[#This Row],[Customer Gender]]="F","Female", orders[[#This Row],[Customer Gender]]="O","Other", TRUE,"Unknown")</f>
        <v>Female</v>
      </c>
    </row>
    <row r="1867" spans="1:15" x14ac:dyDescent="0.3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1">
        <v>45726</v>
      </c>
      <c r="G1867" s="1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f>orders[[#This Row],[Ship Date]]-orders[[#This Row],[Order Date]]</f>
        <v>2</v>
      </c>
      <c r="N1867">
        <f>WEEKNUM(orders[[#This Row],[Order Date]])</f>
        <v>11</v>
      </c>
      <c r="O1867" t="str" cm="1">
        <f t="array" ref="O1867">_xlfn.IFS(orders[[#This Row],[Customer Gender]]="M","Male", orders[[#This Row],[Customer Gender]]="F","Female", orders[[#This Row],[Customer Gender]]="O","Other", TRUE,"Unknown")</f>
        <v>Male</v>
      </c>
    </row>
    <row r="1868" spans="1:15" x14ac:dyDescent="0.3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1">
        <v>45726</v>
      </c>
      <c r="G1868" s="1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f>orders[[#This Row],[Ship Date]]-orders[[#This Row],[Order Date]]</f>
        <v>0</v>
      </c>
      <c r="N1868">
        <f>WEEKNUM(orders[[#This Row],[Order Date]])</f>
        <v>11</v>
      </c>
      <c r="O1868" t="str" cm="1">
        <f t="array" ref="O1868">_xlfn.IFS(orders[[#This Row],[Customer Gender]]="M","Male", orders[[#This Row],[Customer Gender]]="F","Female", orders[[#This Row],[Customer Gender]]="O","Other", TRUE,"Unknown")</f>
        <v>Other</v>
      </c>
    </row>
    <row r="1869" spans="1:15" x14ac:dyDescent="0.3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1">
        <v>45726</v>
      </c>
      <c r="G1869" s="1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f>orders[[#This Row],[Ship Date]]-orders[[#This Row],[Order Date]]</f>
        <v>1</v>
      </c>
      <c r="N1869">
        <f>WEEKNUM(orders[[#This Row],[Order Date]])</f>
        <v>11</v>
      </c>
      <c r="O1869" t="str" cm="1">
        <f t="array" ref="O1869">_xlfn.IFS(orders[[#This Row],[Customer Gender]]="M","Male", orders[[#This Row],[Customer Gender]]="F","Female", orders[[#This Row],[Customer Gender]]="O","Other", TRUE,"Unknown")</f>
        <v>Female</v>
      </c>
    </row>
    <row r="1870" spans="1:15" x14ac:dyDescent="0.3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1">
        <v>45726</v>
      </c>
      <c r="G1870" s="1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f>orders[[#This Row],[Ship Date]]-orders[[#This Row],[Order Date]]</f>
        <v>1</v>
      </c>
      <c r="N1870">
        <f>WEEKNUM(orders[[#This Row],[Order Date]])</f>
        <v>11</v>
      </c>
      <c r="O1870" t="str" cm="1">
        <f t="array" ref="O1870">_xlfn.IFS(orders[[#This Row],[Customer Gender]]="M","Male", orders[[#This Row],[Customer Gender]]="F","Female", orders[[#This Row],[Customer Gender]]="O","Other", TRUE,"Unknown")</f>
        <v>Other</v>
      </c>
    </row>
    <row r="1871" spans="1:15" x14ac:dyDescent="0.3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1">
        <v>45726</v>
      </c>
      <c r="G1871" s="1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f>orders[[#This Row],[Ship Date]]-orders[[#This Row],[Order Date]]</f>
        <v>0</v>
      </c>
      <c r="N1871">
        <f>WEEKNUM(orders[[#This Row],[Order Date]])</f>
        <v>11</v>
      </c>
      <c r="O1871" t="str" cm="1">
        <f t="array" ref="O1871">_xlfn.IFS(orders[[#This Row],[Customer Gender]]="M","Male", orders[[#This Row],[Customer Gender]]="F","Female", orders[[#This Row],[Customer Gender]]="O","Other", TRUE,"Unknown")</f>
        <v>Female</v>
      </c>
    </row>
    <row r="1872" spans="1:15" x14ac:dyDescent="0.3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1">
        <v>45726</v>
      </c>
      <c r="G1872" s="1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f>orders[[#This Row],[Ship Date]]-orders[[#This Row],[Order Date]]</f>
        <v>3</v>
      </c>
      <c r="N1872">
        <f>WEEKNUM(orders[[#This Row],[Order Date]])</f>
        <v>11</v>
      </c>
      <c r="O1872" t="str" cm="1">
        <f t="array" ref="O1872">_xlfn.IFS(orders[[#This Row],[Customer Gender]]="M","Male", orders[[#This Row],[Customer Gender]]="F","Female", orders[[#This Row],[Customer Gender]]="O","Other", TRUE,"Unknown")</f>
        <v>Female</v>
      </c>
    </row>
    <row r="1873" spans="1:15" x14ac:dyDescent="0.3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1">
        <v>45726</v>
      </c>
      <c r="G1873" s="1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f>orders[[#This Row],[Ship Date]]-orders[[#This Row],[Order Date]]</f>
        <v>2</v>
      </c>
      <c r="N1873">
        <f>WEEKNUM(orders[[#This Row],[Order Date]])</f>
        <v>11</v>
      </c>
      <c r="O1873" t="str" cm="1">
        <f t="array" ref="O1873">_xlfn.IFS(orders[[#This Row],[Customer Gender]]="M","Male", orders[[#This Row],[Customer Gender]]="F","Female", orders[[#This Row],[Customer Gender]]="O","Other", TRUE,"Unknown")</f>
        <v>Male</v>
      </c>
    </row>
    <row r="1874" spans="1:15" x14ac:dyDescent="0.3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1">
        <v>45726</v>
      </c>
      <c r="G1874" s="1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f>orders[[#This Row],[Ship Date]]-orders[[#This Row],[Order Date]]</f>
        <v>1</v>
      </c>
      <c r="N1874">
        <f>WEEKNUM(orders[[#This Row],[Order Date]])</f>
        <v>11</v>
      </c>
      <c r="O1874" t="str" cm="1">
        <f t="array" ref="O1874">_xlfn.IFS(orders[[#This Row],[Customer Gender]]="M","Male", orders[[#This Row],[Customer Gender]]="F","Female", orders[[#This Row],[Customer Gender]]="O","Other", TRUE,"Unknown")</f>
        <v>Female</v>
      </c>
    </row>
    <row r="1875" spans="1:15" x14ac:dyDescent="0.3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1">
        <v>45726</v>
      </c>
      <c r="G1875" s="1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f>orders[[#This Row],[Ship Date]]-orders[[#This Row],[Order Date]]</f>
        <v>2</v>
      </c>
      <c r="N1875">
        <f>WEEKNUM(orders[[#This Row],[Order Date]])</f>
        <v>11</v>
      </c>
      <c r="O1875" t="str" cm="1">
        <f t="array" ref="O1875">_xlfn.IFS(orders[[#This Row],[Customer Gender]]="M","Male", orders[[#This Row],[Customer Gender]]="F","Female", orders[[#This Row],[Customer Gender]]="O","Other", TRUE,"Unknown")</f>
        <v>Other</v>
      </c>
    </row>
    <row r="1876" spans="1:15" x14ac:dyDescent="0.3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1">
        <v>45726</v>
      </c>
      <c r="G1876" s="1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f>orders[[#This Row],[Ship Date]]-orders[[#This Row],[Order Date]]</f>
        <v>2</v>
      </c>
      <c r="N1876">
        <f>WEEKNUM(orders[[#This Row],[Order Date]])</f>
        <v>11</v>
      </c>
      <c r="O1876" t="str" cm="1">
        <f t="array" ref="O1876">_xlfn.IFS(orders[[#This Row],[Customer Gender]]="M","Male", orders[[#This Row],[Customer Gender]]="F","Female", orders[[#This Row],[Customer Gender]]="O","Other", TRUE,"Unknown")</f>
        <v>Female</v>
      </c>
    </row>
    <row r="1877" spans="1:15" x14ac:dyDescent="0.3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1">
        <v>45726</v>
      </c>
      <c r="G1877" s="1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f>orders[[#This Row],[Ship Date]]-orders[[#This Row],[Order Date]]</f>
        <v>5</v>
      </c>
      <c r="N1877">
        <f>WEEKNUM(orders[[#This Row],[Order Date]])</f>
        <v>11</v>
      </c>
      <c r="O1877" t="str" cm="1">
        <f t="array" ref="O1877">_xlfn.IFS(orders[[#This Row],[Customer Gender]]="M","Male", orders[[#This Row],[Customer Gender]]="F","Female", orders[[#This Row],[Customer Gender]]="O","Other", TRUE,"Unknown")</f>
        <v>Female</v>
      </c>
    </row>
    <row r="1878" spans="1:15" x14ac:dyDescent="0.3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1">
        <v>45726</v>
      </c>
      <c r="G1878" s="1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f>orders[[#This Row],[Ship Date]]-orders[[#This Row],[Order Date]]</f>
        <v>1</v>
      </c>
      <c r="N1878">
        <f>WEEKNUM(orders[[#This Row],[Order Date]])</f>
        <v>11</v>
      </c>
      <c r="O1878" t="str" cm="1">
        <f t="array" ref="O1878">_xlfn.IFS(orders[[#This Row],[Customer Gender]]="M","Male", orders[[#This Row],[Customer Gender]]="F","Female", orders[[#This Row],[Customer Gender]]="O","Other", TRUE,"Unknown")</f>
        <v>Female</v>
      </c>
    </row>
    <row r="1879" spans="1:15" x14ac:dyDescent="0.3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1">
        <v>45726</v>
      </c>
      <c r="G1879" s="1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f>orders[[#This Row],[Ship Date]]-orders[[#This Row],[Order Date]]</f>
        <v>2</v>
      </c>
      <c r="N1879">
        <f>WEEKNUM(orders[[#This Row],[Order Date]])</f>
        <v>11</v>
      </c>
      <c r="O1879" t="str" cm="1">
        <f t="array" ref="O1879">_xlfn.IFS(orders[[#This Row],[Customer Gender]]="M","Male", orders[[#This Row],[Customer Gender]]="F","Female", orders[[#This Row],[Customer Gender]]="O","Other", TRUE,"Unknown")</f>
        <v>Female</v>
      </c>
    </row>
    <row r="1880" spans="1:15" x14ac:dyDescent="0.3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1">
        <v>45726</v>
      </c>
      <c r="G1880" s="1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f>orders[[#This Row],[Ship Date]]-orders[[#This Row],[Order Date]]</f>
        <v>1</v>
      </c>
      <c r="N1880">
        <f>WEEKNUM(orders[[#This Row],[Order Date]])</f>
        <v>11</v>
      </c>
      <c r="O1880" t="str" cm="1">
        <f t="array" ref="O1880">_xlfn.IFS(orders[[#This Row],[Customer Gender]]="M","Male", orders[[#This Row],[Customer Gender]]="F","Female", orders[[#This Row],[Customer Gender]]="O","Other", TRUE,"Unknown")</f>
        <v>Female</v>
      </c>
    </row>
    <row r="1881" spans="1:15" x14ac:dyDescent="0.3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1">
        <v>45726</v>
      </c>
      <c r="G1881" s="1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f>orders[[#This Row],[Ship Date]]-orders[[#This Row],[Order Date]]</f>
        <v>1</v>
      </c>
      <c r="N1881">
        <f>WEEKNUM(orders[[#This Row],[Order Date]])</f>
        <v>11</v>
      </c>
      <c r="O1881" t="str" cm="1">
        <f t="array" ref="O1881">_xlfn.IFS(orders[[#This Row],[Customer Gender]]="M","Male", orders[[#This Row],[Customer Gender]]="F","Female", orders[[#This Row],[Customer Gender]]="O","Other", TRUE,"Unknown")</f>
        <v>Male</v>
      </c>
    </row>
    <row r="1882" spans="1:15" x14ac:dyDescent="0.3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1">
        <v>45726</v>
      </c>
      <c r="G1882" s="1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f>orders[[#This Row],[Ship Date]]-orders[[#This Row],[Order Date]]</f>
        <v>1</v>
      </c>
      <c r="N1882">
        <f>WEEKNUM(orders[[#This Row],[Order Date]])</f>
        <v>11</v>
      </c>
      <c r="O1882" t="str" cm="1">
        <f t="array" ref="O1882">_xlfn.IFS(orders[[#This Row],[Customer Gender]]="M","Male", orders[[#This Row],[Customer Gender]]="F","Female", orders[[#This Row],[Customer Gender]]="O","Other", TRUE,"Unknown")</f>
        <v>Female</v>
      </c>
    </row>
    <row r="1883" spans="1:15" x14ac:dyDescent="0.3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1">
        <v>45726</v>
      </c>
      <c r="G1883" s="1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f>orders[[#This Row],[Ship Date]]-orders[[#This Row],[Order Date]]</f>
        <v>2</v>
      </c>
      <c r="N1883">
        <f>WEEKNUM(orders[[#This Row],[Order Date]])</f>
        <v>11</v>
      </c>
      <c r="O1883" t="str" cm="1">
        <f t="array" ref="O1883">_xlfn.IFS(orders[[#This Row],[Customer Gender]]="M","Male", orders[[#This Row],[Customer Gender]]="F","Female", orders[[#This Row],[Customer Gender]]="O","Other", TRUE,"Unknown")</f>
        <v>Female</v>
      </c>
    </row>
    <row r="1884" spans="1:15" x14ac:dyDescent="0.3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1">
        <v>45726</v>
      </c>
      <c r="G1884" s="1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f>orders[[#This Row],[Ship Date]]-orders[[#This Row],[Order Date]]</f>
        <v>2</v>
      </c>
      <c r="N1884">
        <f>WEEKNUM(orders[[#This Row],[Order Date]])</f>
        <v>11</v>
      </c>
      <c r="O1884" t="str" cm="1">
        <f t="array" ref="O1884">_xlfn.IFS(orders[[#This Row],[Customer Gender]]="M","Male", orders[[#This Row],[Customer Gender]]="F","Female", orders[[#This Row],[Customer Gender]]="O","Other", TRUE,"Unknown")</f>
        <v>Male</v>
      </c>
    </row>
    <row r="1885" spans="1:15" x14ac:dyDescent="0.3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1">
        <v>45726</v>
      </c>
      <c r="G1885" s="1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f>orders[[#This Row],[Ship Date]]-orders[[#This Row],[Order Date]]</f>
        <v>3</v>
      </c>
      <c r="N1885">
        <f>WEEKNUM(orders[[#This Row],[Order Date]])</f>
        <v>11</v>
      </c>
      <c r="O1885" t="str" cm="1">
        <f t="array" ref="O1885">_xlfn.IFS(orders[[#This Row],[Customer Gender]]="M","Male", orders[[#This Row],[Customer Gender]]="F","Female", orders[[#This Row],[Customer Gender]]="O","Other", TRUE,"Unknown")</f>
        <v>Male</v>
      </c>
    </row>
    <row r="1886" spans="1:15" x14ac:dyDescent="0.3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1">
        <v>45726</v>
      </c>
      <c r="G1886" s="1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f>orders[[#This Row],[Ship Date]]-orders[[#This Row],[Order Date]]</f>
        <v>14</v>
      </c>
      <c r="N1886">
        <f>WEEKNUM(orders[[#This Row],[Order Date]])</f>
        <v>11</v>
      </c>
      <c r="O1886" t="str" cm="1">
        <f t="array" ref="O1886">_xlfn.IFS(orders[[#This Row],[Customer Gender]]="M","Male", orders[[#This Row],[Customer Gender]]="F","Female", orders[[#This Row],[Customer Gender]]="O","Other", TRUE,"Unknown")</f>
        <v>Unknown</v>
      </c>
    </row>
    <row r="1887" spans="1:15" x14ac:dyDescent="0.3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1">
        <v>45726</v>
      </c>
      <c r="G1887" s="1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f>orders[[#This Row],[Ship Date]]-orders[[#This Row],[Order Date]]</f>
        <v>1</v>
      </c>
      <c r="N1887">
        <f>WEEKNUM(orders[[#This Row],[Order Date]])</f>
        <v>11</v>
      </c>
      <c r="O1887" t="str" cm="1">
        <f t="array" ref="O1887">_xlfn.IFS(orders[[#This Row],[Customer Gender]]="M","Male", orders[[#This Row],[Customer Gender]]="F","Female", orders[[#This Row],[Customer Gender]]="O","Other", TRUE,"Unknown")</f>
        <v>Male</v>
      </c>
    </row>
    <row r="1888" spans="1:15" x14ac:dyDescent="0.3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1">
        <v>45726</v>
      </c>
      <c r="G1888" s="1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f>orders[[#This Row],[Ship Date]]-orders[[#This Row],[Order Date]]</f>
        <v>3</v>
      </c>
      <c r="N1888">
        <f>WEEKNUM(orders[[#This Row],[Order Date]])</f>
        <v>11</v>
      </c>
      <c r="O1888" t="str" cm="1">
        <f t="array" ref="O1888">_xlfn.IFS(orders[[#This Row],[Customer Gender]]="M","Male", orders[[#This Row],[Customer Gender]]="F","Female", orders[[#This Row],[Customer Gender]]="O","Other", TRUE,"Unknown")</f>
        <v>Female</v>
      </c>
    </row>
    <row r="1889" spans="1:15" x14ac:dyDescent="0.3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1">
        <v>45726</v>
      </c>
      <c r="G1889" s="1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f>orders[[#This Row],[Ship Date]]-orders[[#This Row],[Order Date]]</f>
        <v>2</v>
      </c>
      <c r="N1889">
        <f>WEEKNUM(orders[[#This Row],[Order Date]])</f>
        <v>11</v>
      </c>
      <c r="O1889" t="str" cm="1">
        <f t="array" ref="O1889">_xlfn.IFS(orders[[#This Row],[Customer Gender]]="M","Male", orders[[#This Row],[Customer Gender]]="F","Female", orders[[#This Row],[Customer Gender]]="O","Other", TRUE,"Unknown")</f>
        <v>Female</v>
      </c>
    </row>
    <row r="1890" spans="1:15" x14ac:dyDescent="0.3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1">
        <v>45727</v>
      </c>
      <c r="G1890" s="1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f>orders[[#This Row],[Ship Date]]-orders[[#This Row],[Order Date]]</f>
        <v>3</v>
      </c>
      <c r="N1890">
        <f>WEEKNUM(orders[[#This Row],[Order Date]])</f>
        <v>11</v>
      </c>
      <c r="O1890" t="str" cm="1">
        <f t="array" ref="O1890">_xlfn.IFS(orders[[#This Row],[Customer Gender]]="M","Male", orders[[#This Row],[Customer Gender]]="F","Female", orders[[#This Row],[Customer Gender]]="O","Other", TRUE,"Unknown")</f>
        <v>Female</v>
      </c>
    </row>
    <row r="1891" spans="1:15" x14ac:dyDescent="0.3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1">
        <v>45727</v>
      </c>
      <c r="G1891" s="1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f>orders[[#This Row],[Ship Date]]-orders[[#This Row],[Order Date]]</f>
        <v>1</v>
      </c>
      <c r="N1891">
        <f>WEEKNUM(orders[[#This Row],[Order Date]])</f>
        <v>11</v>
      </c>
      <c r="O1891" t="str" cm="1">
        <f t="array" ref="O1891">_xlfn.IFS(orders[[#This Row],[Customer Gender]]="M","Male", orders[[#This Row],[Customer Gender]]="F","Female", orders[[#This Row],[Customer Gender]]="O","Other", TRUE,"Unknown")</f>
        <v>Male</v>
      </c>
    </row>
    <row r="1892" spans="1:15" x14ac:dyDescent="0.3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1">
        <v>45727</v>
      </c>
      <c r="G1892" s="1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f>orders[[#This Row],[Ship Date]]-orders[[#This Row],[Order Date]]</f>
        <v>2</v>
      </c>
      <c r="N1892">
        <f>WEEKNUM(orders[[#This Row],[Order Date]])</f>
        <v>11</v>
      </c>
      <c r="O1892" t="str" cm="1">
        <f t="array" ref="O1892">_xlfn.IFS(orders[[#This Row],[Customer Gender]]="M","Male", orders[[#This Row],[Customer Gender]]="F","Female", orders[[#This Row],[Customer Gender]]="O","Other", TRUE,"Unknown")</f>
        <v>Female</v>
      </c>
    </row>
    <row r="1893" spans="1:15" x14ac:dyDescent="0.3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1">
        <v>45727</v>
      </c>
      <c r="G1893" s="1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f>orders[[#This Row],[Ship Date]]-orders[[#This Row],[Order Date]]</f>
        <v>6</v>
      </c>
      <c r="N1893">
        <f>WEEKNUM(orders[[#This Row],[Order Date]])</f>
        <v>11</v>
      </c>
      <c r="O1893" t="str" cm="1">
        <f t="array" ref="O1893">_xlfn.IFS(orders[[#This Row],[Customer Gender]]="M","Male", orders[[#This Row],[Customer Gender]]="F","Female", orders[[#This Row],[Customer Gender]]="O","Other", TRUE,"Unknown")</f>
        <v>Male</v>
      </c>
    </row>
    <row r="1894" spans="1:15" x14ac:dyDescent="0.3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1">
        <v>45727</v>
      </c>
      <c r="G1894" s="1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f>orders[[#This Row],[Ship Date]]-orders[[#This Row],[Order Date]]</f>
        <v>1</v>
      </c>
      <c r="N1894">
        <f>WEEKNUM(orders[[#This Row],[Order Date]])</f>
        <v>11</v>
      </c>
      <c r="O1894" t="str" cm="1">
        <f t="array" ref="O1894">_xlfn.IFS(orders[[#This Row],[Customer Gender]]="M","Male", orders[[#This Row],[Customer Gender]]="F","Female", orders[[#This Row],[Customer Gender]]="O","Other", TRUE,"Unknown")</f>
        <v>Male</v>
      </c>
    </row>
    <row r="1895" spans="1:15" x14ac:dyDescent="0.3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1">
        <v>45727</v>
      </c>
      <c r="G1895" s="1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f>orders[[#This Row],[Ship Date]]-orders[[#This Row],[Order Date]]</f>
        <v>2</v>
      </c>
      <c r="N1895">
        <f>WEEKNUM(orders[[#This Row],[Order Date]])</f>
        <v>11</v>
      </c>
      <c r="O1895" t="str" cm="1">
        <f t="array" ref="O1895">_xlfn.IFS(orders[[#This Row],[Customer Gender]]="M","Male", orders[[#This Row],[Customer Gender]]="F","Female", orders[[#This Row],[Customer Gender]]="O","Other", TRUE,"Unknown")</f>
        <v>Male</v>
      </c>
    </row>
    <row r="1896" spans="1:15" x14ac:dyDescent="0.3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1">
        <v>45727</v>
      </c>
      <c r="G1896" s="1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f>orders[[#This Row],[Ship Date]]-orders[[#This Row],[Order Date]]</f>
        <v>2</v>
      </c>
      <c r="N1896">
        <f>WEEKNUM(orders[[#This Row],[Order Date]])</f>
        <v>11</v>
      </c>
      <c r="O1896" t="str" cm="1">
        <f t="array" ref="O1896">_xlfn.IFS(orders[[#This Row],[Customer Gender]]="M","Male", orders[[#This Row],[Customer Gender]]="F","Female", orders[[#This Row],[Customer Gender]]="O","Other", TRUE,"Unknown")</f>
        <v>Female</v>
      </c>
    </row>
    <row r="1897" spans="1:15" x14ac:dyDescent="0.3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1">
        <v>45727</v>
      </c>
      <c r="G1897" s="1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f>orders[[#This Row],[Ship Date]]-orders[[#This Row],[Order Date]]</f>
        <v>1</v>
      </c>
      <c r="N1897">
        <f>WEEKNUM(orders[[#This Row],[Order Date]])</f>
        <v>11</v>
      </c>
      <c r="O1897" t="str" cm="1">
        <f t="array" ref="O1897">_xlfn.IFS(orders[[#This Row],[Customer Gender]]="M","Male", orders[[#This Row],[Customer Gender]]="F","Female", orders[[#This Row],[Customer Gender]]="O","Other", TRUE,"Unknown")</f>
        <v>Male</v>
      </c>
    </row>
    <row r="1898" spans="1:15" x14ac:dyDescent="0.3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1">
        <v>45727</v>
      </c>
      <c r="G1898" s="1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f>orders[[#This Row],[Ship Date]]-orders[[#This Row],[Order Date]]</f>
        <v>3</v>
      </c>
      <c r="N1898">
        <f>WEEKNUM(orders[[#This Row],[Order Date]])</f>
        <v>11</v>
      </c>
      <c r="O1898" t="str" cm="1">
        <f t="array" ref="O1898">_xlfn.IFS(orders[[#This Row],[Customer Gender]]="M","Male", orders[[#This Row],[Customer Gender]]="F","Female", orders[[#This Row],[Customer Gender]]="O","Other", TRUE,"Unknown")</f>
        <v>Male</v>
      </c>
    </row>
    <row r="1899" spans="1:15" x14ac:dyDescent="0.3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1">
        <v>45727</v>
      </c>
      <c r="G1899" s="1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f>orders[[#This Row],[Ship Date]]-orders[[#This Row],[Order Date]]</f>
        <v>3</v>
      </c>
      <c r="N1899">
        <f>WEEKNUM(orders[[#This Row],[Order Date]])</f>
        <v>11</v>
      </c>
      <c r="O1899" t="str" cm="1">
        <f t="array" ref="O1899">_xlfn.IFS(orders[[#This Row],[Customer Gender]]="M","Male", orders[[#This Row],[Customer Gender]]="F","Female", orders[[#This Row],[Customer Gender]]="O","Other", TRUE,"Unknown")</f>
        <v>Male</v>
      </c>
    </row>
    <row r="1900" spans="1:15" x14ac:dyDescent="0.3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1">
        <v>45727</v>
      </c>
      <c r="G1900" s="1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f>orders[[#This Row],[Ship Date]]-orders[[#This Row],[Order Date]]</f>
        <v>13</v>
      </c>
      <c r="N1900">
        <f>WEEKNUM(orders[[#This Row],[Order Date]])</f>
        <v>11</v>
      </c>
      <c r="O1900" t="str" cm="1">
        <f t="array" ref="O1900">_xlfn.IFS(orders[[#This Row],[Customer Gender]]="M","Male", orders[[#This Row],[Customer Gender]]="F","Female", orders[[#This Row],[Customer Gender]]="O","Other", TRUE,"Unknown")</f>
        <v>Female</v>
      </c>
    </row>
    <row r="1901" spans="1:15" x14ac:dyDescent="0.3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1">
        <v>45727</v>
      </c>
      <c r="G1901" s="1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f>orders[[#This Row],[Ship Date]]-orders[[#This Row],[Order Date]]</f>
        <v>1</v>
      </c>
      <c r="N1901">
        <f>WEEKNUM(orders[[#This Row],[Order Date]])</f>
        <v>11</v>
      </c>
      <c r="O1901" t="str" cm="1">
        <f t="array" ref="O1901">_xlfn.IFS(orders[[#This Row],[Customer Gender]]="M","Male", orders[[#This Row],[Customer Gender]]="F","Female", orders[[#This Row],[Customer Gender]]="O","Other", TRUE,"Unknown")</f>
        <v>Female</v>
      </c>
    </row>
    <row r="1902" spans="1:15" x14ac:dyDescent="0.3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1">
        <v>45727</v>
      </c>
      <c r="G1902" s="1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f>orders[[#This Row],[Ship Date]]-orders[[#This Row],[Order Date]]</f>
        <v>0</v>
      </c>
      <c r="N1902">
        <f>WEEKNUM(orders[[#This Row],[Order Date]])</f>
        <v>11</v>
      </c>
      <c r="O1902" t="str" cm="1">
        <f t="array" ref="O1902">_xlfn.IFS(orders[[#This Row],[Customer Gender]]="M","Male", orders[[#This Row],[Customer Gender]]="F","Female", orders[[#This Row],[Customer Gender]]="O","Other", TRUE,"Unknown")</f>
        <v>Female</v>
      </c>
    </row>
    <row r="1903" spans="1:15" x14ac:dyDescent="0.3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1">
        <v>45727</v>
      </c>
      <c r="G1903" s="1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f>orders[[#This Row],[Ship Date]]-orders[[#This Row],[Order Date]]</f>
        <v>1</v>
      </c>
      <c r="N1903">
        <f>WEEKNUM(orders[[#This Row],[Order Date]])</f>
        <v>11</v>
      </c>
      <c r="O1903" t="str" cm="1">
        <f t="array" ref="O1903">_xlfn.IFS(orders[[#This Row],[Customer Gender]]="M","Male", orders[[#This Row],[Customer Gender]]="F","Female", orders[[#This Row],[Customer Gender]]="O","Other", TRUE,"Unknown")</f>
        <v>Female</v>
      </c>
    </row>
    <row r="1904" spans="1:15" x14ac:dyDescent="0.3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1">
        <v>45727</v>
      </c>
      <c r="G1904" s="1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f>orders[[#This Row],[Ship Date]]-orders[[#This Row],[Order Date]]</f>
        <v>1</v>
      </c>
      <c r="N1904">
        <f>WEEKNUM(orders[[#This Row],[Order Date]])</f>
        <v>11</v>
      </c>
      <c r="O1904" t="str" cm="1">
        <f t="array" ref="O1904">_xlfn.IFS(orders[[#This Row],[Customer Gender]]="M","Male", orders[[#This Row],[Customer Gender]]="F","Female", orders[[#This Row],[Customer Gender]]="O","Other", TRUE,"Unknown")</f>
        <v>Male</v>
      </c>
    </row>
    <row r="1905" spans="1:15" x14ac:dyDescent="0.3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1">
        <v>45727</v>
      </c>
      <c r="G1905" s="1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f>orders[[#This Row],[Ship Date]]-orders[[#This Row],[Order Date]]</f>
        <v>1</v>
      </c>
      <c r="N1905">
        <f>WEEKNUM(orders[[#This Row],[Order Date]])</f>
        <v>11</v>
      </c>
      <c r="O1905" t="str" cm="1">
        <f t="array" ref="O1905">_xlfn.IFS(orders[[#This Row],[Customer Gender]]="M","Male", orders[[#This Row],[Customer Gender]]="F","Female", orders[[#This Row],[Customer Gender]]="O","Other", TRUE,"Unknown")</f>
        <v>Female</v>
      </c>
    </row>
    <row r="1906" spans="1:15" x14ac:dyDescent="0.3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1">
        <v>45727</v>
      </c>
      <c r="G1906" s="1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f>orders[[#This Row],[Ship Date]]-orders[[#This Row],[Order Date]]</f>
        <v>1</v>
      </c>
      <c r="N1906">
        <f>WEEKNUM(orders[[#This Row],[Order Date]])</f>
        <v>11</v>
      </c>
      <c r="O1906" t="str" cm="1">
        <f t="array" ref="O1906">_xlfn.IFS(orders[[#This Row],[Customer Gender]]="M","Male", orders[[#This Row],[Customer Gender]]="F","Female", orders[[#This Row],[Customer Gender]]="O","Other", TRUE,"Unknown")</f>
        <v>Female</v>
      </c>
    </row>
    <row r="1907" spans="1:15" x14ac:dyDescent="0.3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1">
        <v>45727</v>
      </c>
      <c r="G1907" s="1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f>orders[[#This Row],[Ship Date]]-orders[[#This Row],[Order Date]]</f>
        <v>3</v>
      </c>
      <c r="N1907">
        <f>WEEKNUM(orders[[#This Row],[Order Date]])</f>
        <v>11</v>
      </c>
      <c r="O1907" t="str" cm="1">
        <f t="array" ref="O1907">_xlfn.IFS(orders[[#This Row],[Customer Gender]]="M","Male", orders[[#This Row],[Customer Gender]]="F","Female", orders[[#This Row],[Customer Gender]]="O","Other", TRUE,"Unknown")</f>
        <v>Male</v>
      </c>
    </row>
    <row r="1908" spans="1:15" x14ac:dyDescent="0.3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1">
        <v>45727</v>
      </c>
      <c r="G1908" s="1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f>orders[[#This Row],[Ship Date]]-orders[[#This Row],[Order Date]]</f>
        <v>2</v>
      </c>
      <c r="N1908">
        <f>WEEKNUM(orders[[#This Row],[Order Date]])</f>
        <v>11</v>
      </c>
      <c r="O1908" t="str" cm="1">
        <f t="array" ref="O1908">_xlfn.IFS(orders[[#This Row],[Customer Gender]]="M","Male", orders[[#This Row],[Customer Gender]]="F","Female", orders[[#This Row],[Customer Gender]]="O","Other", TRUE,"Unknown")</f>
        <v>Male</v>
      </c>
    </row>
    <row r="1909" spans="1:15" x14ac:dyDescent="0.3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1">
        <v>45727</v>
      </c>
      <c r="G1909" s="1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f>orders[[#This Row],[Ship Date]]-orders[[#This Row],[Order Date]]</f>
        <v>1</v>
      </c>
      <c r="N1909">
        <f>WEEKNUM(orders[[#This Row],[Order Date]])</f>
        <v>11</v>
      </c>
      <c r="O1909" t="str" cm="1">
        <f t="array" ref="O1909">_xlfn.IFS(orders[[#This Row],[Customer Gender]]="M","Male", orders[[#This Row],[Customer Gender]]="F","Female", orders[[#This Row],[Customer Gender]]="O","Other", TRUE,"Unknown")</f>
        <v>Female</v>
      </c>
    </row>
    <row r="1910" spans="1:15" x14ac:dyDescent="0.3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1">
        <v>45727</v>
      </c>
      <c r="G1910" s="1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f>orders[[#This Row],[Ship Date]]-orders[[#This Row],[Order Date]]</f>
        <v>3</v>
      </c>
      <c r="N1910">
        <f>WEEKNUM(orders[[#This Row],[Order Date]])</f>
        <v>11</v>
      </c>
      <c r="O1910" t="str" cm="1">
        <f t="array" ref="O1910">_xlfn.IFS(orders[[#This Row],[Customer Gender]]="M","Male", orders[[#This Row],[Customer Gender]]="F","Female", orders[[#This Row],[Customer Gender]]="O","Other", TRUE,"Unknown")</f>
        <v>Unknown</v>
      </c>
    </row>
    <row r="1911" spans="1:15" x14ac:dyDescent="0.3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1">
        <v>45727</v>
      </c>
      <c r="G1911" s="1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f>orders[[#This Row],[Ship Date]]-orders[[#This Row],[Order Date]]</f>
        <v>1</v>
      </c>
      <c r="N1911">
        <f>WEEKNUM(orders[[#This Row],[Order Date]])</f>
        <v>11</v>
      </c>
      <c r="O1911" t="str" cm="1">
        <f t="array" ref="O1911">_xlfn.IFS(orders[[#This Row],[Customer Gender]]="M","Male", orders[[#This Row],[Customer Gender]]="F","Female", orders[[#This Row],[Customer Gender]]="O","Other", TRUE,"Unknown")</f>
        <v>Female</v>
      </c>
    </row>
    <row r="1912" spans="1:15" x14ac:dyDescent="0.3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1">
        <v>45727</v>
      </c>
      <c r="G1912" s="1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f>orders[[#This Row],[Ship Date]]-orders[[#This Row],[Order Date]]</f>
        <v>1</v>
      </c>
      <c r="N1912">
        <f>WEEKNUM(orders[[#This Row],[Order Date]])</f>
        <v>11</v>
      </c>
      <c r="O1912" t="str" cm="1">
        <f t="array" ref="O1912">_xlfn.IFS(orders[[#This Row],[Customer Gender]]="M","Male", orders[[#This Row],[Customer Gender]]="F","Female", orders[[#This Row],[Customer Gender]]="O","Other", TRUE,"Unknown")</f>
        <v>Female</v>
      </c>
    </row>
    <row r="1913" spans="1:15" x14ac:dyDescent="0.3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1">
        <v>45727</v>
      </c>
      <c r="G1913" s="1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f>orders[[#This Row],[Ship Date]]-orders[[#This Row],[Order Date]]</f>
        <v>1</v>
      </c>
      <c r="N1913">
        <f>WEEKNUM(orders[[#This Row],[Order Date]])</f>
        <v>11</v>
      </c>
      <c r="O1913" t="str" cm="1">
        <f t="array" ref="O1913">_xlfn.IFS(orders[[#This Row],[Customer Gender]]="M","Male", orders[[#This Row],[Customer Gender]]="F","Female", orders[[#This Row],[Customer Gender]]="O","Other", TRUE,"Unknown")</f>
        <v>Other</v>
      </c>
    </row>
    <row r="1914" spans="1:15" x14ac:dyDescent="0.3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1">
        <v>45727</v>
      </c>
      <c r="G1914" s="1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f>orders[[#This Row],[Ship Date]]-orders[[#This Row],[Order Date]]</f>
        <v>5</v>
      </c>
      <c r="N1914">
        <f>WEEKNUM(orders[[#This Row],[Order Date]])</f>
        <v>11</v>
      </c>
      <c r="O1914" t="str" cm="1">
        <f t="array" ref="O1914">_xlfn.IFS(orders[[#This Row],[Customer Gender]]="M","Male", orders[[#This Row],[Customer Gender]]="F","Female", orders[[#This Row],[Customer Gender]]="O","Other", TRUE,"Unknown")</f>
        <v>Male</v>
      </c>
    </row>
    <row r="1915" spans="1:15" x14ac:dyDescent="0.3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1">
        <v>45727</v>
      </c>
      <c r="G1915" s="1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f>orders[[#This Row],[Ship Date]]-orders[[#This Row],[Order Date]]</f>
        <v>5</v>
      </c>
      <c r="N1915">
        <f>WEEKNUM(orders[[#This Row],[Order Date]])</f>
        <v>11</v>
      </c>
      <c r="O1915" t="str" cm="1">
        <f t="array" ref="O1915">_xlfn.IFS(orders[[#This Row],[Customer Gender]]="M","Male", orders[[#This Row],[Customer Gender]]="F","Female", orders[[#This Row],[Customer Gender]]="O","Other", TRUE,"Unknown")</f>
        <v>Female</v>
      </c>
    </row>
    <row r="1916" spans="1:15" x14ac:dyDescent="0.3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1">
        <v>45727</v>
      </c>
      <c r="G1916" s="1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f>orders[[#This Row],[Ship Date]]-orders[[#This Row],[Order Date]]</f>
        <v>2</v>
      </c>
      <c r="N1916">
        <f>WEEKNUM(orders[[#This Row],[Order Date]])</f>
        <v>11</v>
      </c>
      <c r="O1916" t="str" cm="1">
        <f t="array" ref="O1916">_xlfn.IFS(orders[[#This Row],[Customer Gender]]="M","Male", orders[[#This Row],[Customer Gender]]="F","Female", orders[[#This Row],[Customer Gender]]="O","Other", TRUE,"Unknown")</f>
        <v>Female</v>
      </c>
    </row>
    <row r="1917" spans="1:15" x14ac:dyDescent="0.3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1">
        <v>45727</v>
      </c>
      <c r="G1917" s="1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f>orders[[#This Row],[Ship Date]]-orders[[#This Row],[Order Date]]</f>
        <v>0</v>
      </c>
      <c r="N1917">
        <f>WEEKNUM(orders[[#This Row],[Order Date]])</f>
        <v>11</v>
      </c>
      <c r="O1917" t="str" cm="1">
        <f t="array" ref="O1917">_xlfn.IFS(orders[[#This Row],[Customer Gender]]="M","Male", orders[[#This Row],[Customer Gender]]="F","Female", orders[[#This Row],[Customer Gender]]="O","Other", TRUE,"Unknown")</f>
        <v>Female</v>
      </c>
    </row>
    <row r="1918" spans="1:15" x14ac:dyDescent="0.3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1">
        <v>45727</v>
      </c>
      <c r="G1918" s="1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f>orders[[#This Row],[Ship Date]]-orders[[#This Row],[Order Date]]</f>
        <v>2</v>
      </c>
      <c r="N1918">
        <f>WEEKNUM(orders[[#This Row],[Order Date]])</f>
        <v>11</v>
      </c>
      <c r="O1918" t="str" cm="1">
        <f t="array" ref="O1918">_xlfn.IFS(orders[[#This Row],[Customer Gender]]="M","Male", orders[[#This Row],[Customer Gender]]="F","Female", orders[[#This Row],[Customer Gender]]="O","Other", TRUE,"Unknown")</f>
        <v>Other</v>
      </c>
    </row>
    <row r="1919" spans="1:15" x14ac:dyDescent="0.3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1">
        <v>45727</v>
      </c>
      <c r="G1919" s="1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f>orders[[#This Row],[Ship Date]]-orders[[#This Row],[Order Date]]</f>
        <v>2</v>
      </c>
      <c r="N1919">
        <f>WEEKNUM(orders[[#This Row],[Order Date]])</f>
        <v>11</v>
      </c>
      <c r="O1919" t="str" cm="1">
        <f t="array" ref="O1919">_xlfn.IFS(orders[[#This Row],[Customer Gender]]="M","Male", orders[[#This Row],[Customer Gender]]="F","Female", orders[[#This Row],[Customer Gender]]="O","Other", TRUE,"Unknown")</f>
        <v>Female</v>
      </c>
    </row>
    <row r="1920" spans="1:15" x14ac:dyDescent="0.3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1">
        <v>45728</v>
      </c>
      <c r="G1920" s="1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f>orders[[#This Row],[Ship Date]]-orders[[#This Row],[Order Date]]</f>
        <v>3</v>
      </c>
      <c r="N1920">
        <f>WEEKNUM(orders[[#This Row],[Order Date]])</f>
        <v>11</v>
      </c>
      <c r="O1920" t="str" cm="1">
        <f t="array" ref="O1920">_xlfn.IFS(orders[[#This Row],[Customer Gender]]="M","Male", orders[[#This Row],[Customer Gender]]="F","Female", orders[[#This Row],[Customer Gender]]="O","Other", TRUE,"Unknown")</f>
        <v>Female</v>
      </c>
    </row>
    <row r="1921" spans="1:15" x14ac:dyDescent="0.3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1">
        <v>45728</v>
      </c>
      <c r="G1921" s="1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f>orders[[#This Row],[Ship Date]]-orders[[#This Row],[Order Date]]</f>
        <v>1</v>
      </c>
      <c r="N1921">
        <f>WEEKNUM(orders[[#This Row],[Order Date]])</f>
        <v>11</v>
      </c>
      <c r="O1921" t="str" cm="1">
        <f t="array" ref="O1921">_xlfn.IFS(orders[[#This Row],[Customer Gender]]="M","Male", orders[[#This Row],[Customer Gender]]="F","Female", orders[[#This Row],[Customer Gender]]="O","Other", TRUE,"Unknown")</f>
        <v>Male</v>
      </c>
    </row>
    <row r="1922" spans="1:15" x14ac:dyDescent="0.3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1">
        <v>45728</v>
      </c>
      <c r="G1922" s="1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f>orders[[#This Row],[Ship Date]]-orders[[#This Row],[Order Date]]</f>
        <v>1</v>
      </c>
      <c r="N1922">
        <f>WEEKNUM(orders[[#This Row],[Order Date]])</f>
        <v>11</v>
      </c>
      <c r="O1922" t="str" cm="1">
        <f t="array" ref="O1922">_xlfn.IFS(orders[[#This Row],[Customer Gender]]="M","Male", orders[[#This Row],[Customer Gender]]="F","Female", orders[[#This Row],[Customer Gender]]="O","Other", TRUE,"Unknown")</f>
        <v>Male</v>
      </c>
    </row>
    <row r="1923" spans="1:15" x14ac:dyDescent="0.3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1">
        <v>45728</v>
      </c>
      <c r="G1923" s="1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f>orders[[#This Row],[Ship Date]]-orders[[#This Row],[Order Date]]</f>
        <v>2</v>
      </c>
      <c r="N1923">
        <f>WEEKNUM(orders[[#This Row],[Order Date]])</f>
        <v>11</v>
      </c>
      <c r="O1923" t="str" cm="1">
        <f t="array" ref="O1923">_xlfn.IFS(orders[[#This Row],[Customer Gender]]="M","Male", orders[[#This Row],[Customer Gender]]="F","Female", orders[[#This Row],[Customer Gender]]="O","Other", TRUE,"Unknown")</f>
        <v>Male</v>
      </c>
    </row>
    <row r="1924" spans="1:15" x14ac:dyDescent="0.3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1">
        <v>45728</v>
      </c>
      <c r="G1924" s="1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f>orders[[#This Row],[Ship Date]]-orders[[#This Row],[Order Date]]</f>
        <v>1</v>
      </c>
      <c r="N1924">
        <f>WEEKNUM(orders[[#This Row],[Order Date]])</f>
        <v>11</v>
      </c>
      <c r="O1924" t="str" cm="1">
        <f t="array" ref="O1924">_xlfn.IFS(orders[[#This Row],[Customer Gender]]="M","Male", orders[[#This Row],[Customer Gender]]="F","Female", orders[[#This Row],[Customer Gender]]="O","Other", TRUE,"Unknown")</f>
        <v>Male</v>
      </c>
    </row>
    <row r="1925" spans="1:15" x14ac:dyDescent="0.3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1">
        <v>45728</v>
      </c>
      <c r="G1925" s="1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f>orders[[#This Row],[Ship Date]]-orders[[#This Row],[Order Date]]</f>
        <v>2</v>
      </c>
      <c r="N1925">
        <f>WEEKNUM(orders[[#This Row],[Order Date]])</f>
        <v>11</v>
      </c>
      <c r="O1925" t="str" cm="1">
        <f t="array" ref="O1925">_xlfn.IFS(orders[[#This Row],[Customer Gender]]="M","Male", orders[[#This Row],[Customer Gender]]="F","Female", orders[[#This Row],[Customer Gender]]="O","Other", TRUE,"Unknown")</f>
        <v>Female</v>
      </c>
    </row>
    <row r="1926" spans="1:15" x14ac:dyDescent="0.3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1">
        <v>45728</v>
      </c>
      <c r="G1926" s="1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f>orders[[#This Row],[Ship Date]]-orders[[#This Row],[Order Date]]</f>
        <v>3</v>
      </c>
      <c r="N1926">
        <f>WEEKNUM(orders[[#This Row],[Order Date]])</f>
        <v>11</v>
      </c>
      <c r="O1926" t="str" cm="1">
        <f t="array" ref="O1926">_xlfn.IFS(orders[[#This Row],[Customer Gender]]="M","Male", orders[[#This Row],[Customer Gender]]="F","Female", orders[[#This Row],[Customer Gender]]="O","Other", TRUE,"Unknown")</f>
        <v>Female</v>
      </c>
    </row>
    <row r="1927" spans="1:15" x14ac:dyDescent="0.3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1">
        <v>45728</v>
      </c>
      <c r="G1927" s="1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f>orders[[#This Row],[Ship Date]]-orders[[#This Row],[Order Date]]</f>
        <v>0</v>
      </c>
      <c r="N1927">
        <f>WEEKNUM(orders[[#This Row],[Order Date]])</f>
        <v>11</v>
      </c>
      <c r="O1927" t="str" cm="1">
        <f t="array" ref="O1927">_xlfn.IFS(orders[[#This Row],[Customer Gender]]="M","Male", orders[[#This Row],[Customer Gender]]="F","Female", orders[[#This Row],[Customer Gender]]="O","Other", TRUE,"Unknown")</f>
        <v>Female</v>
      </c>
    </row>
    <row r="1928" spans="1:15" x14ac:dyDescent="0.3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1">
        <v>45728</v>
      </c>
      <c r="G1928" s="1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f>orders[[#This Row],[Ship Date]]-orders[[#This Row],[Order Date]]</f>
        <v>0</v>
      </c>
      <c r="N1928">
        <f>WEEKNUM(orders[[#This Row],[Order Date]])</f>
        <v>11</v>
      </c>
      <c r="O1928" t="str" cm="1">
        <f t="array" ref="O1928">_xlfn.IFS(orders[[#This Row],[Customer Gender]]="M","Male", orders[[#This Row],[Customer Gender]]="F","Female", orders[[#This Row],[Customer Gender]]="O","Other", TRUE,"Unknown")</f>
        <v>Unknown</v>
      </c>
    </row>
    <row r="1929" spans="1:15" x14ac:dyDescent="0.3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1">
        <v>45728</v>
      </c>
      <c r="G1929" s="1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f>orders[[#This Row],[Ship Date]]-orders[[#This Row],[Order Date]]</f>
        <v>2</v>
      </c>
      <c r="N1929">
        <f>WEEKNUM(orders[[#This Row],[Order Date]])</f>
        <v>11</v>
      </c>
      <c r="O1929" t="str" cm="1">
        <f t="array" ref="O1929">_xlfn.IFS(orders[[#This Row],[Customer Gender]]="M","Male", orders[[#This Row],[Customer Gender]]="F","Female", orders[[#This Row],[Customer Gender]]="O","Other", TRUE,"Unknown")</f>
        <v>Other</v>
      </c>
    </row>
    <row r="1930" spans="1:15" x14ac:dyDescent="0.3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1">
        <v>45728</v>
      </c>
      <c r="G1930" s="1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f>orders[[#This Row],[Ship Date]]-orders[[#This Row],[Order Date]]</f>
        <v>8</v>
      </c>
      <c r="N1930">
        <f>WEEKNUM(orders[[#This Row],[Order Date]])</f>
        <v>11</v>
      </c>
      <c r="O1930" t="str" cm="1">
        <f t="array" ref="O1930">_xlfn.IFS(orders[[#This Row],[Customer Gender]]="M","Male", orders[[#This Row],[Customer Gender]]="F","Female", orders[[#This Row],[Customer Gender]]="O","Other", TRUE,"Unknown")</f>
        <v>Female</v>
      </c>
    </row>
    <row r="1931" spans="1:15" x14ac:dyDescent="0.3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1">
        <v>45728</v>
      </c>
      <c r="G1931" s="1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f>orders[[#This Row],[Ship Date]]-orders[[#This Row],[Order Date]]</f>
        <v>3</v>
      </c>
      <c r="N1931">
        <f>WEEKNUM(orders[[#This Row],[Order Date]])</f>
        <v>11</v>
      </c>
      <c r="O1931" t="str" cm="1">
        <f t="array" ref="O1931">_xlfn.IFS(orders[[#This Row],[Customer Gender]]="M","Male", orders[[#This Row],[Customer Gender]]="F","Female", orders[[#This Row],[Customer Gender]]="O","Other", TRUE,"Unknown")</f>
        <v>Male</v>
      </c>
    </row>
    <row r="1932" spans="1:15" x14ac:dyDescent="0.3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1">
        <v>45728</v>
      </c>
      <c r="G1932" s="1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f>orders[[#This Row],[Ship Date]]-orders[[#This Row],[Order Date]]</f>
        <v>4</v>
      </c>
      <c r="N1932">
        <f>WEEKNUM(orders[[#This Row],[Order Date]])</f>
        <v>11</v>
      </c>
      <c r="O1932" t="str" cm="1">
        <f t="array" ref="O1932">_xlfn.IFS(orders[[#This Row],[Customer Gender]]="M","Male", orders[[#This Row],[Customer Gender]]="F","Female", orders[[#This Row],[Customer Gender]]="O","Other", TRUE,"Unknown")</f>
        <v>Male</v>
      </c>
    </row>
    <row r="1933" spans="1:15" x14ac:dyDescent="0.3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1">
        <v>45728</v>
      </c>
      <c r="G1933" s="1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f>orders[[#This Row],[Ship Date]]-orders[[#This Row],[Order Date]]</f>
        <v>2</v>
      </c>
      <c r="N1933">
        <f>WEEKNUM(orders[[#This Row],[Order Date]])</f>
        <v>11</v>
      </c>
      <c r="O1933" t="str" cm="1">
        <f t="array" ref="O1933">_xlfn.IFS(orders[[#This Row],[Customer Gender]]="M","Male", orders[[#This Row],[Customer Gender]]="F","Female", orders[[#This Row],[Customer Gender]]="O","Other", TRUE,"Unknown")</f>
        <v>Female</v>
      </c>
    </row>
    <row r="1934" spans="1:15" x14ac:dyDescent="0.3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1">
        <v>45728</v>
      </c>
      <c r="G1934" s="1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f>orders[[#This Row],[Ship Date]]-orders[[#This Row],[Order Date]]</f>
        <v>1</v>
      </c>
      <c r="N1934">
        <f>WEEKNUM(orders[[#This Row],[Order Date]])</f>
        <v>11</v>
      </c>
      <c r="O1934" t="str" cm="1">
        <f t="array" ref="O1934">_xlfn.IFS(orders[[#This Row],[Customer Gender]]="M","Male", orders[[#This Row],[Customer Gender]]="F","Female", orders[[#This Row],[Customer Gender]]="O","Other", TRUE,"Unknown")</f>
        <v>Female</v>
      </c>
    </row>
    <row r="1935" spans="1:15" x14ac:dyDescent="0.3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1">
        <v>45728</v>
      </c>
      <c r="G1935" s="1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f>orders[[#This Row],[Ship Date]]-orders[[#This Row],[Order Date]]</f>
        <v>1</v>
      </c>
      <c r="N1935">
        <f>WEEKNUM(orders[[#This Row],[Order Date]])</f>
        <v>11</v>
      </c>
      <c r="O1935" t="str" cm="1">
        <f t="array" ref="O1935">_xlfn.IFS(orders[[#This Row],[Customer Gender]]="M","Male", orders[[#This Row],[Customer Gender]]="F","Female", orders[[#This Row],[Customer Gender]]="O","Other", TRUE,"Unknown")</f>
        <v>Male</v>
      </c>
    </row>
    <row r="1936" spans="1:15" x14ac:dyDescent="0.3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1">
        <v>45728</v>
      </c>
      <c r="G1936" s="1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f>orders[[#This Row],[Ship Date]]-orders[[#This Row],[Order Date]]</f>
        <v>3</v>
      </c>
      <c r="N1936">
        <f>WEEKNUM(orders[[#This Row],[Order Date]])</f>
        <v>11</v>
      </c>
      <c r="O1936" t="str" cm="1">
        <f t="array" ref="O1936">_xlfn.IFS(orders[[#This Row],[Customer Gender]]="M","Male", orders[[#This Row],[Customer Gender]]="F","Female", orders[[#This Row],[Customer Gender]]="O","Other", TRUE,"Unknown")</f>
        <v>Female</v>
      </c>
    </row>
    <row r="1937" spans="1:15" x14ac:dyDescent="0.3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1">
        <v>45728</v>
      </c>
      <c r="G1937" s="1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f>orders[[#This Row],[Ship Date]]-orders[[#This Row],[Order Date]]</f>
        <v>1</v>
      </c>
      <c r="N1937">
        <f>WEEKNUM(orders[[#This Row],[Order Date]])</f>
        <v>11</v>
      </c>
      <c r="O1937" t="str" cm="1">
        <f t="array" ref="O1937">_xlfn.IFS(orders[[#This Row],[Customer Gender]]="M","Male", orders[[#This Row],[Customer Gender]]="F","Female", orders[[#This Row],[Customer Gender]]="O","Other", TRUE,"Unknown")</f>
        <v>Male</v>
      </c>
    </row>
    <row r="1938" spans="1:15" x14ac:dyDescent="0.3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1">
        <v>45728</v>
      </c>
      <c r="G1938" s="1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f>orders[[#This Row],[Ship Date]]-orders[[#This Row],[Order Date]]</f>
        <v>5</v>
      </c>
      <c r="N1938">
        <f>WEEKNUM(orders[[#This Row],[Order Date]])</f>
        <v>11</v>
      </c>
      <c r="O1938" t="str" cm="1">
        <f t="array" ref="O1938">_xlfn.IFS(orders[[#This Row],[Customer Gender]]="M","Male", orders[[#This Row],[Customer Gender]]="F","Female", orders[[#This Row],[Customer Gender]]="O","Other", TRUE,"Unknown")</f>
        <v>Female</v>
      </c>
    </row>
    <row r="1939" spans="1:15" x14ac:dyDescent="0.3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1">
        <v>45728</v>
      </c>
      <c r="G1939" s="1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f>orders[[#This Row],[Ship Date]]-orders[[#This Row],[Order Date]]</f>
        <v>0</v>
      </c>
      <c r="N1939">
        <f>WEEKNUM(orders[[#This Row],[Order Date]])</f>
        <v>11</v>
      </c>
      <c r="O1939" t="str" cm="1">
        <f t="array" ref="O1939">_xlfn.IFS(orders[[#This Row],[Customer Gender]]="M","Male", orders[[#This Row],[Customer Gender]]="F","Female", orders[[#This Row],[Customer Gender]]="O","Other", TRUE,"Unknown")</f>
        <v>Female</v>
      </c>
    </row>
    <row r="1940" spans="1:15" x14ac:dyDescent="0.3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1">
        <v>45728</v>
      </c>
      <c r="G1940" s="1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f>orders[[#This Row],[Ship Date]]-orders[[#This Row],[Order Date]]</f>
        <v>1</v>
      </c>
      <c r="N1940">
        <f>WEEKNUM(orders[[#This Row],[Order Date]])</f>
        <v>11</v>
      </c>
      <c r="O1940" t="str" cm="1">
        <f t="array" ref="O1940">_xlfn.IFS(orders[[#This Row],[Customer Gender]]="M","Male", orders[[#This Row],[Customer Gender]]="F","Female", orders[[#This Row],[Customer Gender]]="O","Other", TRUE,"Unknown")</f>
        <v>Male</v>
      </c>
    </row>
    <row r="1941" spans="1:15" x14ac:dyDescent="0.3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1">
        <v>45728</v>
      </c>
      <c r="G1941" s="1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f>orders[[#This Row],[Ship Date]]-orders[[#This Row],[Order Date]]</f>
        <v>1</v>
      </c>
      <c r="N1941">
        <f>WEEKNUM(orders[[#This Row],[Order Date]])</f>
        <v>11</v>
      </c>
      <c r="O1941" t="str" cm="1">
        <f t="array" ref="O1941">_xlfn.IFS(orders[[#This Row],[Customer Gender]]="M","Male", orders[[#This Row],[Customer Gender]]="F","Female", orders[[#This Row],[Customer Gender]]="O","Other", TRUE,"Unknown")</f>
        <v>Male</v>
      </c>
    </row>
    <row r="1942" spans="1:15" x14ac:dyDescent="0.3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1">
        <v>45728</v>
      </c>
      <c r="G1942" s="1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f>orders[[#This Row],[Ship Date]]-orders[[#This Row],[Order Date]]</f>
        <v>1</v>
      </c>
      <c r="N1942">
        <f>WEEKNUM(orders[[#This Row],[Order Date]])</f>
        <v>11</v>
      </c>
      <c r="O1942" t="str" cm="1">
        <f t="array" ref="O1942">_xlfn.IFS(orders[[#This Row],[Customer Gender]]="M","Male", orders[[#This Row],[Customer Gender]]="F","Female", orders[[#This Row],[Customer Gender]]="O","Other", TRUE,"Unknown")</f>
        <v>Male</v>
      </c>
    </row>
    <row r="1943" spans="1:15" x14ac:dyDescent="0.3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1">
        <v>45728</v>
      </c>
      <c r="G1943" s="1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f>orders[[#This Row],[Ship Date]]-orders[[#This Row],[Order Date]]</f>
        <v>1</v>
      </c>
      <c r="N1943">
        <f>WEEKNUM(orders[[#This Row],[Order Date]])</f>
        <v>11</v>
      </c>
      <c r="O1943" t="str" cm="1">
        <f t="array" ref="O1943">_xlfn.IFS(orders[[#This Row],[Customer Gender]]="M","Male", orders[[#This Row],[Customer Gender]]="F","Female", orders[[#This Row],[Customer Gender]]="O","Other", TRUE,"Unknown")</f>
        <v>Female</v>
      </c>
    </row>
    <row r="1944" spans="1:15" x14ac:dyDescent="0.3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1">
        <v>45728</v>
      </c>
      <c r="G1944" s="1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f>orders[[#This Row],[Ship Date]]-orders[[#This Row],[Order Date]]</f>
        <v>6</v>
      </c>
      <c r="N1944">
        <f>WEEKNUM(orders[[#This Row],[Order Date]])</f>
        <v>11</v>
      </c>
      <c r="O1944" t="str" cm="1">
        <f t="array" ref="O1944">_xlfn.IFS(orders[[#This Row],[Customer Gender]]="M","Male", orders[[#This Row],[Customer Gender]]="F","Female", orders[[#This Row],[Customer Gender]]="O","Other", TRUE,"Unknown")</f>
        <v>Male</v>
      </c>
    </row>
    <row r="1945" spans="1:15" x14ac:dyDescent="0.3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1">
        <v>45728</v>
      </c>
      <c r="G1945" s="1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f>orders[[#This Row],[Ship Date]]-orders[[#This Row],[Order Date]]</f>
        <v>3</v>
      </c>
      <c r="N1945">
        <f>WEEKNUM(orders[[#This Row],[Order Date]])</f>
        <v>11</v>
      </c>
      <c r="O1945" t="str" cm="1">
        <f t="array" ref="O1945">_xlfn.IFS(orders[[#This Row],[Customer Gender]]="M","Male", orders[[#This Row],[Customer Gender]]="F","Female", orders[[#This Row],[Customer Gender]]="O","Other", TRUE,"Unknown")</f>
        <v>Male</v>
      </c>
    </row>
    <row r="1946" spans="1:15" x14ac:dyDescent="0.3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1">
        <v>45728</v>
      </c>
      <c r="G1946" s="1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f>orders[[#This Row],[Ship Date]]-orders[[#This Row],[Order Date]]</f>
        <v>3</v>
      </c>
      <c r="N1946">
        <f>WEEKNUM(orders[[#This Row],[Order Date]])</f>
        <v>11</v>
      </c>
      <c r="O1946" t="str" cm="1">
        <f t="array" ref="O1946">_xlfn.IFS(orders[[#This Row],[Customer Gender]]="M","Male", orders[[#This Row],[Customer Gender]]="F","Female", orders[[#This Row],[Customer Gender]]="O","Other", TRUE,"Unknown")</f>
        <v>Male</v>
      </c>
    </row>
    <row r="1947" spans="1:15" x14ac:dyDescent="0.3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1">
        <v>45728</v>
      </c>
      <c r="G1947" s="1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f>orders[[#This Row],[Ship Date]]-orders[[#This Row],[Order Date]]</f>
        <v>11</v>
      </c>
      <c r="N1947">
        <f>WEEKNUM(orders[[#This Row],[Order Date]])</f>
        <v>11</v>
      </c>
      <c r="O1947" t="str" cm="1">
        <f t="array" ref="O1947">_xlfn.IFS(orders[[#This Row],[Customer Gender]]="M","Male", orders[[#This Row],[Customer Gender]]="F","Female", orders[[#This Row],[Customer Gender]]="O","Other", TRUE,"Unknown")</f>
        <v>Male</v>
      </c>
    </row>
    <row r="1948" spans="1:15" x14ac:dyDescent="0.3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1">
        <v>45728</v>
      </c>
      <c r="G1948" s="1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f>orders[[#This Row],[Ship Date]]-orders[[#This Row],[Order Date]]</f>
        <v>1</v>
      </c>
      <c r="N1948">
        <f>WEEKNUM(orders[[#This Row],[Order Date]])</f>
        <v>11</v>
      </c>
      <c r="O1948" t="str" cm="1">
        <f t="array" ref="O1948">_xlfn.IFS(orders[[#This Row],[Customer Gender]]="M","Male", orders[[#This Row],[Customer Gender]]="F","Female", orders[[#This Row],[Customer Gender]]="O","Other", TRUE,"Unknown")</f>
        <v>Unknown</v>
      </c>
    </row>
    <row r="1949" spans="1:15" x14ac:dyDescent="0.3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1">
        <v>45728</v>
      </c>
      <c r="G1949" s="1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f>orders[[#This Row],[Ship Date]]-orders[[#This Row],[Order Date]]</f>
        <v>2</v>
      </c>
      <c r="N1949">
        <f>WEEKNUM(orders[[#This Row],[Order Date]])</f>
        <v>11</v>
      </c>
      <c r="O1949" t="str" cm="1">
        <f t="array" ref="O1949">_xlfn.IFS(orders[[#This Row],[Customer Gender]]="M","Male", orders[[#This Row],[Customer Gender]]="F","Female", orders[[#This Row],[Customer Gender]]="O","Other", TRUE,"Unknown")</f>
        <v>Male</v>
      </c>
    </row>
    <row r="1950" spans="1:15" x14ac:dyDescent="0.3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1">
        <v>45728</v>
      </c>
      <c r="G1950" s="1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f>orders[[#This Row],[Ship Date]]-orders[[#This Row],[Order Date]]</f>
        <v>2</v>
      </c>
      <c r="N1950">
        <f>WEEKNUM(orders[[#This Row],[Order Date]])</f>
        <v>11</v>
      </c>
      <c r="O1950" t="str" cm="1">
        <f t="array" ref="O1950">_xlfn.IFS(orders[[#This Row],[Customer Gender]]="M","Male", orders[[#This Row],[Customer Gender]]="F","Female", orders[[#This Row],[Customer Gender]]="O","Other", TRUE,"Unknown")</f>
        <v>Female</v>
      </c>
    </row>
    <row r="1951" spans="1:15" x14ac:dyDescent="0.3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1">
        <v>45728</v>
      </c>
      <c r="G1951" s="1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f>orders[[#This Row],[Ship Date]]-orders[[#This Row],[Order Date]]</f>
        <v>2</v>
      </c>
      <c r="N1951">
        <f>WEEKNUM(orders[[#This Row],[Order Date]])</f>
        <v>11</v>
      </c>
      <c r="O1951" t="str" cm="1">
        <f t="array" ref="O1951">_xlfn.IFS(orders[[#This Row],[Customer Gender]]="M","Male", orders[[#This Row],[Customer Gender]]="F","Female", orders[[#This Row],[Customer Gender]]="O","Other", TRUE,"Unknown")</f>
        <v>Female</v>
      </c>
    </row>
    <row r="1952" spans="1:15" x14ac:dyDescent="0.3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1">
        <v>45729</v>
      </c>
      <c r="G1952" s="1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f>orders[[#This Row],[Ship Date]]-orders[[#This Row],[Order Date]]</f>
        <v>1</v>
      </c>
      <c r="N1952">
        <f>WEEKNUM(orders[[#This Row],[Order Date]])</f>
        <v>11</v>
      </c>
      <c r="O1952" t="str" cm="1">
        <f t="array" ref="O1952">_xlfn.IFS(orders[[#This Row],[Customer Gender]]="M","Male", orders[[#This Row],[Customer Gender]]="F","Female", orders[[#This Row],[Customer Gender]]="O","Other", TRUE,"Unknown")</f>
        <v>Male</v>
      </c>
    </row>
    <row r="1953" spans="1:15" x14ac:dyDescent="0.3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1">
        <v>45729</v>
      </c>
      <c r="G1953" s="1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f>orders[[#This Row],[Ship Date]]-orders[[#This Row],[Order Date]]</f>
        <v>2</v>
      </c>
      <c r="N1953">
        <f>WEEKNUM(orders[[#This Row],[Order Date]])</f>
        <v>11</v>
      </c>
      <c r="O1953" t="str" cm="1">
        <f t="array" ref="O1953">_xlfn.IFS(orders[[#This Row],[Customer Gender]]="M","Male", orders[[#This Row],[Customer Gender]]="F","Female", orders[[#This Row],[Customer Gender]]="O","Other", TRUE,"Unknown")</f>
        <v>Female</v>
      </c>
    </row>
    <row r="1954" spans="1:15" x14ac:dyDescent="0.3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1">
        <v>45729</v>
      </c>
      <c r="G1954" s="1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f>orders[[#This Row],[Ship Date]]-orders[[#This Row],[Order Date]]</f>
        <v>1</v>
      </c>
      <c r="N1954">
        <f>WEEKNUM(orders[[#This Row],[Order Date]])</f>
        <v>11</v>
      </c>
      <c r="O1954" t="str" cm="1">
        <f t="array" ref="O1954">_xlfn.IFS(orders[[#This Row],[Customer Gender]]="M","Male", orders[[#This Row],[Customer Gender]]="F","Female", orders[[#This Row],[Customer Gender]]="O","Other", TRUE,"Unknown")</f>
        <v>Male</v>
      </c>
    </row>
    <row r="1955" spans="1:15" x14ac:dyDescent="0.3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1">
        <v>45729</v>
      </c>
      <c r="G1955" s="1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f>orders[[#This Row],[Ship Date]]-orders[[#This Row],[Order Date]]</f>
        <v>3</v>
      </c>
      <c r="N1955">
        <f>WEEKNUM(orders[[#This Row],[Order Date]])</f>
        <v>11</v>
      </c>
      <c r="O1955" t="str" cm="1">
        <f t="array" ref="O1955">_xlfn.IFS(orders[[#This Row],[Customer Gender]]="M","Male", orders[[#This Row],[Customer Gender]]="F","Female", orders[[#This Row],[Customer Gender]]="O","Other", TRUE,"Unknown")</f>
        <v>Male</v>
      </c>
    </row>
    <row r="1956" spans="1:15" x14ac:dyDescent="0.3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1">
        <v>45729</v>
      </c>
      <c r="G1956" s="1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f>orders[[#This Row],[Ship Date]]-orders[[#This Row],[Order Date]]</f>
        <v>2</v>
      </c>
      <c r="N1956">
        <f>WEEKNUM(orders[[#This Row],[Order Date]])</f>
        <v>11</v>
      </c>
      <c r="O1956" t="str" cm="1">
        <f t="array" ref="O1956">_xlfn.IFS(orders[[#This Row],[Customer Gender]]="M","Male", orders[[#This Row],[Customer Gender]]="F","Female", orders[[#This Row],[Customer Gender]]="O","Other", TRUE,"Unknown")</f>
        <v>Female</v>
      </c>
    </row>
    <row r="1957" spans="1:15" x14ac:dyDescent="0.3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1">
        <v>45729</v>
      </c>
      <c r="G1957" s="1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f>orders[[#This Row],[Ship Date]]-orders[[#This Row],[Order Date]]</f>
        <v>4</v>
      </c>
      <c r="N1957">
        <f>WEEKNUM(orders[[#This Row],[Order Date]])</f>
        <v>11</v>
      </c>
      <c r="O1957" t="str" cm="1">
        <f t="array" ref="O1957">_xlfn.IFS(orders[[#This Row],[Customer Gender]]="M","Male", orders[[#This Row],[Customer Gender]]="F","Female", orders[[#This Row],[Customer Gender]]="O","Other", TRUE,"Unknown")</f>
        <v>Female</v>
      </c>
    </row>
    <row r="1958" spans="1:15" x14ac:dyDescent="0.3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1">
        <v>45729</v>
      </c>
      <c r="G1958" s="1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f>orders[[#This Row],[Ship Date]]-orders[[#This Row],[Order Date]]</f>
        <v>2</v>
      </c>
      <c r="N1958">
        <f>WEEKNUM(orders[[#This Row],[Order Date]])</f>
        <v>11</v>
      </c>
      <c r="O1958" t="str" cm="1">
        <f t="array" ref="O1958">_xlfn.IFS(orders[[#This Row],[Customer Gender]]="M","Male", orders[[#This Row],[Customer Gender]]="F","Female", orders[[#This Row],[Customer Gender]]="O","Other", TRUE,"Unknown")</f>
        <v>Female</v>
      </c>
    </row>
    <row r="1959" spans="1:15" x14ac:dyDescent="0.3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1">
        <v>45729</v>
      </c>
      <c r="G1959" s="1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f>orders[[#This Row],[Ship Date]]-orders[[#This Row],[Order Date]]</f>
        <v>3</v>
      </c>
      <c r="N1959">
        <f>WEEKNUM(orders[[#This Row],[Order Date]])</f>
        <v>11</v>
      </c>
      <c r="O1959" t="str" cm="1">
        <f t="array" ref="O1959">_xlfn.IFS(orders[[#This Row],[Customer Gender]]="M","Male", orders[[#This Row],[Customer Gender]]="F","Female", orders[[#This Row],[Customer Gender]]="O","Other", TRUE,"Unknown")</f>
        <v>Male</v>
      </c>
    </row>
    <row r="1960" spans="1:15" x14ac:dyDescent="0.3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1">
        <v>45729</v>
      </c>
      <c r="G1960" s="1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f>orders[[#This Row],[Ship Date]]-orders[[#This Row],[Order Date]]</f>
        <v>2</v>
      </c>
      <c r="N1960">
        <f>WEEKNUM(orders[[#This Row],[Order Date]])</f>
        <v>11</v>
      </c>
      <c r="O1960" t="str" cm="1">
        <f t="array" ref="O1960">_xlfn.IFS(orders[[#This Row],[Customer Gender]]="M","Male", orders[[#This Row],[Customer Gender]]="F","Female", orders[[#This Row],[Customer Gender]]="O","Other", TRUE,"Unknown")</f>
        <v>Female</v>
      </c>
    </row>
    <row r="1961" spans="1:15" x14ac:dyDescent="0.3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1">
        <v>45729</v>
      </c>
      <c r="G1961" s="1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f>orders[[#This Row],[Ship Date]]-orders[[#This Row],[Order Date]]</f>
        <v>0</v>
      </c>
      <c r="N1961">
        <f>WEEKNUM(orders[[#This Row],[Order Date]])</f>
        <v>11</v>
      </c>
      <c r="O1961" t="str" cm="1">
        <f t="array" ref="O1961">_xlfn.IFS(orders[[#This Row],[Customer Gender]]="M","Male", orders[[#This Row],[Customer Gender]]="F","Female", orders[[#This Row],[Customer Gender]]="O","Other", TRUE,"Unknown")</f>
        <v>Male</v>
      </c>
    </row>
    <row r="1962" spans="1:15" x14ac:dyDescent="0.3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1">
        <v>45729</v>
      </c>
      <c r="G1962" s="1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f>orders[[#This Row],[Ship Date]]-orders[[#This Row],[Order Date]]</f>
        <v>1</v>
      </c>
      <c r="N1962">
        <f>WEEKNUM(orders[[#This Row],[Order Date]])</f>
        <v>11</v>
      </c>
      <c r="O1962" t="str" cm="1">
        <f t="array" ref="O1962">_xlfn.IFS(orders[[#This Row],[Customer Gender]]="M","Male", orders[[#This Row],[Customer Gender]]="F","Female", orders[[#This Row],[Customer Gender]]="O","Other", TRUE,"Unknown")</f>
        <v>Male</v>
      </c>
    </row>
    <row r="1963" spans="1:15" x14ac:dyDescent="0.3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1">
        <v>45729</v>
      </c>
      <c r="G1963" s="1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f>orders[[#This Row],[Ship Date]]-orders[[#This Row],[Order Date]]</f>
        <v>1</v>
      </c>
      <c r="N1963">
        <f>WEEKNUM(orders[[#This Row],[Order Date]])</f>
        <v>11</v>
      </c>
      <c r="O1963" t="str" cm="1">
        <f t="array" ref="O1963">_xlfn.IFS(orders[[#This Row],[Customer Gender]]="M","Male", orders[[#This Row],[Customer Gender]]="F","Female", orders[[#This Row],[Customer Gender]]="O","Other", TRUE,"Unknown")</f>
        <v>Male</v>
      </c>
    </row>
    <row r="1964" spans="1:15" x14ac:dyDescent="0.3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1">
        <v>45729</v>
      </c>
      <c r="G1964" s="1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f>orders[[#This Row],[Ship Date]]-orders[[#This Row],[Order Date]]</f>
        <v>1</v>
      </c>
      <c r="N1964">
        <f>WEEKNUM(orders[[#This Row],[Order Date]])</f>
        <v>11</v>
      </c>
      <c r="O1964" t="str" cm="1">
        <f t="array" ref="O1964">_xlfn.IFS(orders[[#This Row],[Customer Gender]]="M","Male", orders[[#This Row],[Customer Gender]]="F","Female", orders[[#This Row],[Customer Gender]]="O","Other", TRUE,"Unknown")</f>
        <v>Female</v>
      </c>
    </row>
    <row r="1965" spans="1:15" x14ac:dyDescent="0.3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1">
        <v>45729</v>
      </c>
      <c r="G1965" s="1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f>orders[[#This Row],[Ship Date]]-orders[[#This Row],[Order Date]]</f>
        <v>1</v>
      </c>
      <c r="N1965">
        <f>WEEKNUM(orders[[#This Row],[Order Date]])</f>
        <v>11</v>
      </c>
      <c r="O1965" t="str" cm="1">
        <f t="array" ref="O1965">_xlfn.IFS(orders[[#This Row],[Customer Gender]]="M","Male", orders[[#This Row],[Customer Gender]]="F","Female", orders[[#This Row],[Customer Gender]]="O","Other", TRUE,"Unknown")</f>
        <v>Male</v>
      </c>
    </row>
    <row r="1966" spans="1:15" x14ac:dyDescent="0.3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1">
        <v>45729</v>
      </c>
      <c r="G1966" s="1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f>orders[[#This Row],[Ship Date]]-orders[[#This Row],[Order Date]]</f>
        <v>1</v>
      </c>
      <c r="N1966">
        <f>WEEKNUM(orders[[#This Row],[Order Date]])</f>
        <v>11</v>
      </c>
      <c r="O1966" t="str" cm="1">
        <f t="array" ref="O1966">_xlfn.IFS(orders[[#This Row],[Customer Gender]]="M","Male", orders[[#This Row],[Customer Gender]]="F","Female", orders[[#This Row],[Customer Gender]]="O","Other", TRUE,"Unknown")</f>
        <v>Female</v>
      </c>
    </row>
    <row r="1967" spans="1:15" x14ac:dyDescent="0.3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1">
        <v>45729</v>
      </c>
      <c r="G1967" s="1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f>orders[[#This Row],[Ship Date]]-orders[[#This Row],[Order Date]]</f>
        <v>1</v>
      </c>
      <c r="N1967">
        <f>WEEKNUM(orders[[#This Row],[Order Date]])</f>
        <v>11</v>
      </c>
      <c r="O1967" t="str" cm="1">
        <f t="array" ref="O1967">_xlfn.IFS(orders[[#This Row],[Customer Gender]]="M","Male", orders[[#This Row],[Customer Gender]]="F","Female", orders[[#This Row],[Customer Gender]]="O","Other", TRUE,"Unknown")</f>
        <v>Male</v>
      </c>
    </row>
    <row r="1968" spans="1:15" x14ac:dyDescent="0.3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1">
        <v>45729</v>
      </c>
      <c r="G1968" s="1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f>orders[[#This Row],[Ship Date]]-orders[[#This Row],[Order Date]]</f>
        <v>1</v>
      </c>
      <c r="N1968">
        <f>WEEKNUM(orders[[#This Row],[Order Date]])</f>
        <v>11</v>
      </c>
      <c r="O1968" t="str" cm="1">
        <f t="array" ref="O1968">_xlfn.IFS(orders[[#This Row],[Customer Gender]]="M","Male", orders[[#This Row],[Customer Gender]]="F","Female", orders[[#This Row],[Customer Gender]]="O","Other", TRUE,"Unknown")</f>
        <v>Male</v>
      </c>
    </row>
    <row r="1969" spans="1:15" x14ac:dyDescent="0.3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1">
        <v>45729</v>
      </c>
      <c r="G1969" s="1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f>orders[[#This Row],[Ship Date]]-orders[[#This Row],[Order Date]]</f>
        <v>2</v>
      </c>
      <c r="N1969">
        <f>WEEKNUM(orders[[#This Row],[Order Date]])</f>
        <v>11</v>
      </c>
      <c r="O1969" t="str" cm="1">
        <f t="array" ref="O1969">_xlfn.IFS(orders[[#This Row],[Customer Gender]]="M","Male", orders[[#This Row],[Customer Gender]]="F","Female", orders[[#This Row],[Customer Gender]]="O","Other", TRUE,"Unknown")</f>
        <v>Female</v>
      </c>
    </row>
    <row r="1970" spans="1:15" x14ac:dyDescent="0.3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1">
        <v>45729</v>
      </c>
      <c r="G1970" s="1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f>orders[[#This Row],[Ship Date]]-orders[[#This Row],[Order Date]]</f>
        <v>8</v>
      </c>
      <c r="N1970">
        <f>WEEKNUM(orders[[#This Row],[Order Date]])</f>
        <v>11</v>
      </c>
      <c r="O1970" t="str" cm="1">
        <f t="array" ref="O1970">_xlfn.IFS(orders[[#This Row],[Customer Gender]]="M","Male", orders[[#This Row],[Customer Gender]]="F","Female", orders[[#This Row],[Customer Gender]]="O","Other", TRUE,"Unknown")</f>
        <v>Other</v>
      </c>
    </row>
    <row r="1971" spans="1:15" x14ac:dyDescent="0.3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1">
        <v>45729</v>
      </c>
      <c r="G1971" s="1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f>orders[[#This Row],[Ship Date]]-orders[[#This Row],[Order Date]]</f>
        <v>2</v>
      </c>
      <c r="N1971">
        <f>WEEKNUM(orders[[#This Row],[Order Date]])</f>
        <v>11</v>
      </c>
      <c r="O1971" t="str" cm="1">
        <f t="array" ref="O1971">_xlfn.IFS(orders[[#This Row],[Customer Gender]]="M","Male", orders[[#This Row],[Customer Gender]]="F","Female", orders[[#This Row],[Customer Gender]]="O","Other", TRUE,"Unknown")</f>
        <v>Unknown</v>
      </c>
    </row>
    <row r="1972" spans="1:15" x14ac:dyDescent="0.3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1">
        <v>45729</v>
      </c>
      <c r="G1972" s="1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f>orders[[#This Row],[Ship Date]]-orders[[#This Row],[Order Date]]</f>
        <v>2</v>
      </c>
      <c r="N1972">
        <f>WEEKNUM(orders[[#This Row],[Order Date]])</f>
        <v>11</v>
      </c>
      <c r="O1972" t="str" cm="1">
        <f t="array" ref="O1972">_xlfn.IFS(orders[[#This Row],[Customer Gender]]="M","Male", orders[[#This Row],[Customer Gender]]="F","Female", orders[[#This Row],[Customer Gender]]="O","Other", TRUE,"Unknown")</f>
        <v>Female</v>
      </c>
    </row>
    <row r="1973" spans="1:15" x14ac:dyDescent="0.3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1">
        <v>45729</v>
      </c>
      <c r="G1973" s="1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f>orders[[#This Row],[Ship Date]]-orders[[#This Row],[Order Date]]</f>
        <v>1</v>
      </c>
      <c r="N1973">
        <f>WEEKNUM(orders[[#This Row],[Order Date]])</f>
        <v>11</v>
      </c>
      <c r="O1973" t="str" cm="1">
        <f t="array" ref="O1973">_xlfn.IFS(orders[[#This Row],[Customer Gender]]="M","Male", orders[[#This Row],[Customer Gender]]="F","Female", orders[[#This Row],[Customer Gender]]="O","Other", TRUE,"Unknown")</f>
        <v>Male</v>
      </c>
    </row>
    <row r="1974" spans="1:15" x14ac:dyDescent="0.3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1">
        <v>45729</v>
      </c>
      <c r="G1974" s="1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f>orders[[#This Row],[Ship Date]]-orders[[#This Row],[Order Date]]</f>
        <v>1</v>
      </c>
      <c r="N1974">
        <f>WEEKNUM(orders[[#This Row],[Order Date]])</f>
        <v>11</v>
      </c>
      <c r="O1974" t="str" cm="1">
        <f t="array" ref="O1974">_xlfn.IFS(orders[[#This Row],[Customer Gender]]="M","Male", orders[[#This Row],[Customer Gender]]="F","Female", orders[[#This Row],[Customer Gender]]="O","Other", TRUE,"Unknown")</f>
        <v>Male</v>
      </c>
    </row>
    <row r="1975" spans="1:15" x14ac:dyDescent="0.3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1">
        <v>45729</v>
      </c>
      <c r="G1975" s="1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f>orders[[#This Row],[Ship Date]]-orders[[#This Row],[Order Date]]</f>
        <v>4</v>
      </c>
      <c r="N1975">
        <f>WEEKNUM(orders[[#This Row],[Order Date]])</f>
        <v>11</v>
      </c>
      <c r="O1975" t="str" cm="1">
        <f t="array" ref="O1975">_xlfn.IFS(orders[[#This Row],[Customer Gender]]="M","Male", orders[[#This Row],[Customer Gender]]="F","Female", orders[[#This Row],[Customer Gender]]="O","Other", TRUE,"Unknown")</f>
        <v>Female</v>
      </c>
    </row>
    <row r="1976" spans="1:15" x14ac:dyDescent="0.3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1">
        <v>45729</v>
      </c>
      <c r="G1976" s="1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f>orders[[#This Row],[Ship Date]]-orders[[#This Row],[Order Date]]</f>
        <v>1</v>
      </c>
      <c r="N1976">
        <f>WEEKNUM(orders[[#This Row],[Order Date]])</f>
        <v>11</v>
      </c>
      <c r="O1976" t="str" cm="1">
        <f t="array" ref="O1976">_xlfn.IFS(orders[[#This Row],[Customer Gender]]="M","Male", orders[[#This Row],[Customer Gender]]="F","Female", orders[[#This Row],[Customer Gender]]="O","Other", TRUE,"Unknown")</f>
        <v>Female</v>
      </c>
    </row>
    <row r="1977" spans="1:15" x14ac:dyDescent="0.3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1">
        <v>45729</v>
      </c>
      <c r="G1977" s="1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f>orders[[#This Row],[Ship Date]]-orders[[#This Row],[Order Date]]</f>
        <v>2</v>
      </c>
      <c r="N1977">
        <f>WEEKNUM(orders[[#This Row],[Order Date]])</f>
        <v>11</v>
      </c>
      <c r="O1977" t="str" cm="1">
        <f t="array" ref="O1977">_xlfn.IFS(orders[[#This Row],[Customer Gender]]="M","Male", orders[[#This Row],[Customer Gender]]="F","Female", orders[[#This Row],[Customer Gender]]="O","Other", TRUE,"Unknown")</f>
        <v>Male</v>
      </c>
    </row>
    <row r="1978" spans="1:15" x14ac:dyDescent="0.3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1">
        <v>45730</v>
      </c>
      <c r="G1978" s="1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f>orders[[#This Row],[Ship Date]]-orders[[#This Row],[Order Date]]</f>
        <v>1</v>
      </c>
      <c r="N1978">
        <f>WEEKNUM(orders[[#This Row],[Order Date]])</f>
        <v>11</v>
      </c>
      <c r="O1978" t="str" cm="1">
        <f t="array" ref="O1978">_xlfn.IFS(orders[[#This Row],[Customer Gender]]="M","Male", orders[[#This Row],[Customer Gender]]="F","Female", orders[[#This Row],[Customer Gender]]="O","Other", TRUE,"Unknown")</f>
        <v>Male</v>
      </c>
    </row>
    <row r="1979" spans="1:15" x14ac:dyDescent="0.3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1">
        <v>45730</v>
      </c>
      <c r="G1979" s="1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f>orders[[#This Row],[Ship Date]]-orders[[#This Row],[Order Date]]</f>
        <v>8</v>
      </c>
      <c r="N1979">
        <f>WEEKNUM(orders[[#This Row],[Order Date]])</f>
        <v>11</v>
      </c>
      <c r="O1979" t="str" cm="1">
        <f t="array" ref="O1979">_xlfn.IFS(orders[[#This Row],[Customer Gender]]="M","Male", orders[[#This Row],[Customer Gender]]="F","Female", orders[[#This Row],[Customer Gender]]="O","Other", TRUE,"Unknown")</f>
        <v>Other</v>
      </c>
    </row>
    <row r="1980" spans="1:15" x14ac:dyDescent="0.3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1">
        <v>45730</v>
      </c>
      <c r="G1980" s="1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f>orders[[#This Row],[Ship Date]]-orders[[#This Row],[Order Date]]</f>
        <v>12</v>
      </c>
      <c r="N1980">
        <f>WEEKNUM(orders[[#This Row],[Order Date]])</f>
        <v>11</v>
      </c>
      <c r="O1980" t="str" cm="1">
        <f t="array" ref="O1980">_xlfn.IFS(orders[[#This Row],[Customer Gender]]="M","Male", orders[[#This Row],[Customer Gender]]="F","Female", orders[[#This Row],[Customer Gender]]="O","Other", TRUE,"Unknown")</f>
        <v>Male</v>
      </c>
    </row>
    <row r="1981" spans="1:15" x14ac:dyDescent="0.3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1">
        <v>45730</v>
      </c>
      <c r="G1981" s="1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f>orders[[#This Row],[Ship Date]]-orders[[#This Row],[Order Date]]</f>
        <v>0</v>
      </c>
      <c r="N1981">
        <f>WEEKNUM(orders[[#This Row],[Order Date]])</f>
        <v>11</v>
      </c>
      <c r="O1981" t="str" cm="1">
        <f t="array" ref="O1981">_xlfn.IFS(orders[[#This Row],[Customer Gender]]="M","Male", orders[[#This Row],[Customer Gender]]="F","Female", orders[[#This Row],[Customer Gender]]="O","Other", TRUE,"Unknown")</f>
        <v>Male</v>
      </c>
    </row>
    <row r="1982" spans="1:15" x14ac:dyDescent="0.3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1">
        <v>45730</v>
      </c>
      <c r="G1982" s="1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f>orders[[#This Row],[Ship Date]]-orders[[#This Row],[Order Date]]</f>
        <v>4</v>
      </c>
      <c r="N1982">
        <f>WEEKNUM(orders[[#This Row],[Order Date]])</f>
        <v>11</v>
      </c>
      <c r="O1982" t="str" cm="1">
        <f t="array" ref="O1982">_xlfn.IFS(orders[[#This Row],[Customer Gender]]="M","Male", orders[[#This Row],[Customer Gender]]="F","Female", orders[[#This Row],[Customer Gender]]="O","Other", TRUE,"Unknown")</f>
        <v>Female</v>
      </c>
    </row>
    <row r="1983" spans="1:15" x14ac:dyDescent="0.3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1">
        <v>45730</v>
      </c>
      <c r="G1983" s="1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f>orders[[#This Row],[Ship Date]]-orders[[#This Row],[Order Date]]</f>
        <v>1</v>
      </c>
      <c r="N1983">
        <f>WEEKNUM(orders[[#This Row],[Order Date]])</f>
        <v>11</v>
      </c>
      <c r="O1983" t="str" cm="1">
        <f t="array" ref="O1983">_xlfn.IFS(orders[[#This Row],[Customer Gender]]="M","Male", orders[[#This Row],[Customer Gender]]="F","Female", orders[[#This Row],[Customer Gender]]="O","Other", TRUE,"Unknown")</f>
        <v>Female</v>
      </c>
    </row>
    <row r="1984" spans="1:15" x14ac:dyDescent="0.3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1">
        <v>45730</v>
      </c>
      <c r="G1984" s="1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f>orders[[#This Row],[Ship Date]]-orders[[#This Row],[Order Date]]</f>
        <v>4</v>
      </c>
      <c r="N1984">
        <f>WEEKNUM(orders[[#This Row],[Order Date]])</f>
        <v>11</v>
      </c>
      <c r="O1984" t="str" cm="1">
        <f t="array" ref="O1984">_xlfn.IFS(orders[[#This Row],[Customer Gender]]="M","Male", orders[[#This Row],[Customer Gender]]="F","Female", orders[[#This Row],[Customer Gender]]="O","Other", TRUE,"Unknown")</f>
        <v>Male</v>
      </c>
    </row>
    <row r="1985" spans="1:15" x14ac:dyDescent="0.3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1">
        <v>45730</v>
      </c>
      <c r="G1985" s="1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f>orders[[#This Row],[Ship Date]]-orders[[#This Row],[Order Date]]</f>
        <v>1</v>
      </c>
      <c r="N1985">
        <f>WEEKNUM(orders[[#This Row],[Order Date]])</f>
        <v>11</v>
      </c>
      <c r="O1985" t="str" cm="1">
        <f t="array" ref="O1985">_xlfn.IFS(orders[[#This Row],[Customer Gender]]="M","Male", orders[[#This Row],[Customer Gender]]="F","Female", orders[[#This Row],[Customer Gender]]="O","Other", TRUE,"Unknown")</f>
        <v>Female</v>
      </c>
    </row>
    <row r="1986" spans="1:15" x14ac:dyDescent="0.3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1">
        <v>45730</v>
      </c>
      <c r="G1986" s="1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f>orders[[#This Row],[Ship Date]]-orders[[#This Row],[Order Date]]</f>
        <v>2</v>
      </c>
      <c r="N1986">
        <f>WEEKNUM(orders[[#This Row],[Order Date]])</f>
        <v>11</v>
      </c>
      <c r="O1986" t="str" cm="1">
        <f t="array" ref="O1986">_xlfn.IFS(orders[[#This Row],[Customer Gender]]="M","Male", orders[[#This Row],[Customer Gender]]="F","Female", orders[[#This Row],[Customer Gender]]="O","Other", TRUE,"Unknown")</f>
        <v>Female</v>
      </c>
    </row>
    <row r="1987" spans="1:15" x14ac:dyDescent="0.3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1">
        <v>45730</v>
      </c>
      <c r="G1987" s="1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f>orders[[#This Row],[Ship Date]]-orders[[#This Row],[Order Date]]</f>
        <v>2</v>
      </c>
      <c r="N1987">
        <f>WEEKNUM(orders[[#This Row],[Order Date]])</f>
        <v>11</v>
      </c>
      <c r="O1987" t="str" cm="1">
        <f t="array" ref="O1987">_xlfn.IFS(orders[[#This Row],[Customer Gender]]="M","Male", orders[[#This Row],[Customer Gender]]="F","Female", orders[[#This Row],[Customer Gender]]="O","Other", TRUE,"Unknown")</f>
        <v>Female</v>
      </c>
    </row>
    <row r="1988" spans="1:15" x14ac:dyDescent="0.3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1">
        <v>45730</v>
      </c>
      <c r="G1988" s="1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f>orders[[#This Row],[Ship Date]]-orders[[#This Row],[Order Date]]</f>
        <v>4</v>
      </c>
      <c r="N1988">
        <f>WEEKNUM(orders[[#This Row],[Order Date]])</f>
        <v>11</v>
      </c>
      <c r="O1988" t="str" cm="1">
        <f t="array" ref="O1988">_xlfn.IFS(orders[[#This Row],[Customer Gender]]="M","Male", orders[[#This Row],[Customer Gender]]="F","Female", orders[[#This Row],[Customer Gender]]="O","Other", TRUE,"Unknown")</f>
        <v>Male</v>
      </c>
    </row>
    <row r="1989" spans="1:15" x14ac:dyDescent="0.3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1">
        <v>45731</v>
      </c>
      <c r="G1989" s="1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f>orders[[#This Row],[Ship Date]]-orders[[#This Row],[Order Date]]</f>
        <v>2</v>
      </c>
      <c r="N1989">
        <f>WEEKNUM(orders[[#This Row],[Order Date]])</f>
        <v>11</v>
      </c>
      <c r="O1989" t="str" cm="1">
        <f t="array" ref="O1989">_xlfn.IFS(orders[[#This Row],[Customer Gender]]="M","Male", orders[[#This Row],[Customer Gender]]="F","Female", orders[[#This Row],[Customer Gender]]="O","Other", TRUE,"Unknown")</f>
        <v>Unknown</v>
      </c>
    </row>
    <row r="1990" spans="1:15" x14ac:dyDescent="0.3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1">
        <v>45731</v>
      </c>
      <c r="G1990" s="1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f>orders[[#This Row],[Ship Date]]-orders[[#This Row],[Order Date]]</f>
        <v>3</v>
      </c>
      <c r="N1990">
        <f>WEEKNUM(orders[[#This Row],[Order Date]])</f>
        <v>11</v>
      </c>
      <c r="O1990" t="str" cm="1">
        <f t="array" ref="O1990">_xlfn.IFS(orders[[#This Row],[Customer Gender]]="M","Male", orders[[#This Row],[Customer Gender]]="F","Female", orders[[#This Row],[Customer Gender]]="O","Other", TRUE,"Unknown")</f>
        <v>Female</v>
      </c>
    </row>
    <row r="1991" spans="1:15" x14ac:dyDescent="0.3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1">
        <v>45731</v>
      </c>
      <c r="G1991" s="1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f>orders[[#This Row],[Ship Date]]-orders[[#This Row],[Order Date]]</f>
        <v>1</v>
      </c>
      <c r="N1991">
        <f>WEEKNUM(orders[[#This Row],[Order Date]])</f>
        <v>11</v>
      </c>
      <c r="O1991" t="str" cm="1">
        <f t="array" ref="O1991">_xlfn.IFS(orders[[#This Row],[Customer Gender]]="M","Male", orders[[#This Row],[Customer Gender]]="F","Female", orders[[#This Row],[Customer Gender]]="O","Other", TRUE,"Unknown")</f>
        <v>Unknown</v>
      </c>
    </row>
    <row r="1992" spans="1:15" x14ac:dyDescent="0.3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1">
        <v>45731</v>
      </c>
      <c r="G1992" s="1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f>orders[[#This Row],[Ship Date]]-orders[[#This Row],[Order Date]]</f>
        <v>2</v>
      </c>
      <c r="N1992">
        <f>WEEKNUM(orders[[#This Row],[Order Date]])</f>
        <v>11</v>
      </c>
      <c r="O1992" t="str" cm="1">
        <f t="array" ref="O1992">_xlfn.IFS(orders[[#This Row],[Customer Gender]]="M","Male", orders[[#This Row],[Customer Gender]]="F","Female", orders[[#This Row],[Customer Gender]]="O","Other", TRUE,"Unknown")</f>
        <v>Unknown</v>
      </c>
    </row>
    <row r="1993" spans="1:15" x14ac:dyDescent="0.3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1">
        <v>45731</v>
      </c>
      <c r="G1993" s="1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f>orders[[#This Row],[Ship Date]]-orders[[#This Row],[Order Date]]</f>
        <v>1</v>
      </c>
      <c r="N1993">
        <f>WEEKNUM(orders[[#This Row],[Order Date]])</f>
        <v>11</v>
      </c>
      <c r="O1993" t="str" cm="1">
        <f t="array" ref="O1993">_xlfn.IFS(orders[[#This Row],[Customer Gender]]="M","Male", orders[[#This Row],[Customer Gender]]="F","Female", orders[[#This Row],[Customer Gender]]="O","Other", TRUE,"Unknown")</f>
        <v>Female</v>
      </c>
    </row>
    <row r="1994" spans="1:15" x14ac:dyDescent="0.3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1">
        <v>45731</v>
      </c>
      <c r="G1994" s="1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f>orders[[#This Row],[Ship Date]]-orders[[#This Row],[Order Date]]</f>
        <v>7</v>
      </c>
      <c r="N1994">
        <f>WEEKNUM(orders[[#This Row],[Order Date]])</f>
        <v>11</v>
      </c>
      <c r="O1994" t="str" cm="1">
        <f t="array" ref="O1994">_xlfn.IFS(orders[[#This Row],[Customer Gender]]="M","Male", orders[[#This Row],[Customer Gender]]="F","Female", orders[[#This Row],[Customer Gender]]="O","Other", TRUE,"Unknown")</f>
        <v>Female</v>
      </c>
    </row>
    <row r="1995" spans="1:15" x14ac:dyDescent="0.3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1">
        <v>45731</v>
      </c>
      <c r="G1995" s="1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f>orders[[#This Row],[Ship Date]]-orders[[#This Row],[Order Date]]</f>
        <v>1</v>
      </c>
      <c r="N1995">
        <f>WEEKNUM(orders[[#This Row],[Order Date]])</f>
        <v>11</v>
      </c>
      <c r="O1995" t="str" cm="1">
        <f t="array" ref="O1995">_xlfn.IFS(orders[[#This Row],[Customer Gender]]="M","Male", orders[[#This Row],[Customer Gender]]="F","Female", orders[[#This Row],[Customer Gender]]="O","Other", TRUE,"Unknown")</f>
        <v>Male</v>
      </c>
    </row>
    <row r="1996" spans="1:15" x14ac:dyDescent="0.3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1">
        <v>45731</v>
      </c>
      <c r="G1996" s="1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f>orders[[#This Row],[Ship Date]]-orders[[#This Row],[Order Date]]</f>
        <v>3</v>
      </c>
      <c r="N1996">
        <f>WEEKNUM(orders[[#This Row],[Order Date]])</f>
        <v>11</v>
      </c>
      <c r="O1996" t="str" cm="1">
        <f t="array" ref="O1996">_xlfn.IFS(orders[[#This Row],[Customer Gender]]="M","Male", orders[[#This Row],[Customer Gender]]="F","Female", orders[[#This Row],[Customer Gender]]="O","Other", TRUE,"Unknown")</f>
        <v>Male</v>
      </c>
    </row>
    <row r="1997" spans="1:15" x14ac:dyDescent="0.3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1">
        <v>45731</v>
      </c>
      <c r="G1997" s="1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f>orders[[#This Row],[Ship Date]]-orders[[#This Row],[Order Date]]</f>
        <v>1</v>
      </c>
      <c r="N1997">
        <f>WEEKNUM(orders[[#This Row],[Order Date]])</f>
        <v>11</v>
      </c>
      <c r="O1997" t="str" cm="1">
        <f t="array" ref="O1997">_xlfn.IFS(orders[[#This Row],[Customer Gender]]="M","Male", orders[[#This Row],[Customer Gender]]="F","Female", orders[[#This Row],[Customer Gender]]="O","Other", TRUE,"Unknown")</f>
        <v>Female</v>
      </c>
    </row>
    <row r="1998" spans="1:15" x14ac:dyDescent="0.3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1">
        <v>45731</v>
      </c>
      <c r="G1998" s="1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f>orders[[#This Row],[Ship Date]]-orders[[#This Row],[Order Date]]</f>
        <v>1</v>
      </c>
      <c r="N1998">
        <f>WEEKNUM(orders[[#This Row],[Order Date]])</f>
        <v>11</v>
      </c>
      <c r="O1998" t="str" cm="1">
        <f t="array" ref="O1998">_xlfn.IFS(orders[[#This Row],[Customer Gender]]="M","Male", orders[[#This Row],[Customer Gender]]="F","Female", orders[[#This Row],[Customer Gender]]="O","Other", TRUE,"Unknown")</f>
        <v>Female</v>
      </c>
    </row>
    <row r="1999" spans="1:15" x14ac:dyDescent="0.3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1">
        <v>45731</v>
      </c>
      <c r="G1999" s="1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f>orders[[#This Row],[Ship Date]]-orders[[#This Row],[Order Date]]</f>
        <v>1</v>
      </c>
      <c r="N1999">
        <f>WEEKNUM(orders[[#This Row],[Order Date]])</f>
        <v>11</v>
      </c>
      <c r="O1999" t="str" cm="1">
        <f t="array" ref="O1999">_xlfn.IFS(orders[[#This Row],[Customer Gender]]="M","Male", orders[[#This Row],[Customer Gender]]="F","Female", orders[[#This Row],[Customer Gender]]="O","Other", TRUE,"Unknown")</f>
        <v>Male</v>
      </c>
    </row>
    <row r="2000" spans="1:15" x14ac:dyDescent="0.3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1">
        <v>45731</v>
      </c>
      <c r="G2000" s="1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f>orders[[#This Row],[Ship Date]]-orders[[#This Row],[Order Date]]</f>
        <v>2</v>
      </c>
      <c r="N2000">
        <f>WEEKNUM(orders[[#This Row],[Order Date]])</f>
        <v>11</v>
      </c>
      <c r="O2000" t="str" cm="1">
        <f t="array" ref="O2000">_xlfn.IFS(orders[[#This Row],[Customer Gender]]="M","Male", orders[[#This Row],[Customer Gender]]="F","Female", orders[[#This Row],[Customer Gender]]="O","Other", TRUE,"Unknown")</f>
        <v>Male</v>
      </c>
    </row>
    <row r="2001" spans="1:15" x14ac:dyDescent="0.3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1">
        <v>45731</v>
      </c>
      <c r="G2001" s="1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f>orders[[#This Row],[Ship Date]]-orders[[#This Row],[Order Date]]</f>
        <v>10</v>
      </c>
      <c r="N2001">
        <f>WEEKNUM(orders[[#This Row],[Order Date]])</f>
        <v>11</v>
      </c>
      <c r="O2001" t="str" cm="1">
        <f t="array" ref="O2001">_xlfn.IFS(orders[[#This Row],[Customer Gender]]="M","Male", orders[[#This Row],[Customer Gender]]="F","Female", orders[[#This Row],[Customer Gender]]="O","Other", TRUE,"Unknown")</f>
        <v>Male</v>
      </c>
    </row>
    <row r="2002" spans="1:15" x14ac:dyDescent="0.3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1">
        <v>45731</v>
      </c>
      <c r="G2002" s="1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f>orders[[#This Row],[Ship Date]]-orders[[#This Row],[Order Date]]</f>
        <v>4</v>
      </c>
      <c r="N2002">
        <f>WEEKNUM(orders[[#This Row],[Order Date]])</f>
        <v>11</v>
      </c>
      <c r="O2002" t="str" cm="1">
        <f t="array" ref="O2002">_xlfn.IFS(orders[[#This Row],[Customer Gender]]="M","Male", orders[[#This Row],[Customer Gender]]="F","Female", orders[[#This Row],[Customer Gender]]="O","Other", TRUE,"Unknown")</f>
        <v>Female</v>
      </c>
    </row>
    <row r="2003" spans="1:15" x14ac:dyDescent="0.3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1">
        <v>45731</v>
      </c>
      <c r="G2003" s="1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f>orders[[#This Row],[Ship Date]]-orders[[#This Row],[Order Date]]</f>
        <v>1</v>
      </c>
      <c r="N2003">
        <f>WEEKNUM(orders[[#This Row],[Order Date]])</f>
        <v>11</v>
      </c>
      <c r="O2003" t="str" cm="1">
        <f t="array" ref="O2003">_xlfn.IFS(orders[[#This Row],[Customer Gender]]="M","Male", orders[[#This Row],[Customer Gender]]="F","Female", orders[[#This Row],[Customer Gender]]="O","Other", TRUE,"Unknown")</f>
        <v>Male</v>
      </c>
    </row>
    <row r="2004" spans="1:15" x14ac:dyDescent="0.3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1">
        <v>45731</v>
      </c>
      <c r="G2004" s="1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f>orders[[#This Row],[Ship Date]]-orders[[#This Row],[Order Date]]</f>
        <v>1</v>
      </c>
      <c r="N2004">
        <f>WEEKNUM(orders[[#This Row],[Order Date]])</f>
        <v>11</v>
      </c>
      <c r="O2004" t="str" cm="1">
        <f t="array" ref="O2004">_xlfn.IFS(orders[[#This Row],[Customer Gender]]="M","Male", orders[[#This Row],[Customer Gender]]="F","Female", orders[[#This Row],[Customer Gender]]="O","Other", TRUE,"Unknown")</f>
        <v>Other</v>
      </c>
    </row>
    <row r="2005" spans="1:15" x14ac:dyDescent="0.3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1">
        <v>45731</v>
      </c>
      <c r="G2005" s="1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f>orders[[#This Row],[Ship Date]]-orders[[#This Row],[Order Date]]</f>
        <v>1</v>
      </c>
      <c r="N2005">
        <f>WEEKNUM(orders[[#This Row],[Order Date]])</f>
        <v>11</v>
      </c>
      <c r="O2005" t="str" cm="1">
        <f t="array" ref="O2005">_xlfn.IFS(orders[[#This Row],[Customer Gender]]="M","Male", orders[[#This Row],[Customer Gender]]="F","Female", orders[[#This Row],[Customer Gender]]="O","Other", TRUE,"Unknown")</f>
        <v>Unknown</v>
      </c>
    </row>
    <row r="2006" spans="1:15" x14ac:dyDescent="0.3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1">
        <v>45731</v>
      </c>
      <c r="G2006" s="1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f>orders[[#This Row],[Ship Date]]-orders[[#This Row],[Order Date]]</f>
        <v>2</v>
      </c>
      <c r="N2006">
        <f>WEEKNUM(orders[[#This Row],[Order Date]])</f>
        <v>11</v>
      </c>
      <c r="O2006" t="str" cm="1">
        <f t="array" ref="O2006">_xlfn.IFS(orders[[#This Row],[Customer Gender]]="M","Male", orders[[#This Row],[Customer Gender]]="F","Female", orders[[#This Row],[Customer Gender]]="O","Other", TRUE,"Unknown")</f>
        <v>Female</v>
      </c>
    </row>
    <row r="2007" spans="1:15" x14ac:dyDescent="0.3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1">
        <v>45731</v>
      </c>
      <c r="G2007" s="1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f>orders[[#This Row],[Ship Date]]-orders[[#This Row],[Order Date]]</f>
        <v>3</v>
      </c>
      <c r="N2007">
        <f>WEEKNUM(orders[[#This Row],[Order Date]])</f>
        <v>11</v>
      </c>
      <c r="O2007" t="str" cm="1">
        <f t="array" ref="O2007">_xlfn.IFS(orders[[#This Row],[Customer Gender]]="M","Male", orders[[#This Row],[Customer Gender]]="F","Female", orders[[#This Row],[Customer Gender]]="O","Other", TRUE,"Unknown")</f>
        <v>Unknown</v>
      </c>
    </row>
    <row r="2008" spans="1:15" x14ac:dyDescent="0.3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1">
        <v>45731</v>
      </c>
      <c r="G2008" s="1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f>orders[[#This Row],[Ship Date]]-orders[[#This Row],[Order Date]]</f>
        <v>2</v>
      </c>
      <c r="N2008">
        <f>WEEKNUM(orders[[#This Row],[Order Date]])</f>
        <v>11</v>
      </c>
      <c r="O2008" t="str" cm="1">
        <f t="array" ref="O2008">_xlfn.IFS(orders[[#This Row],[Customer Gender]]="M","Male", orders[[#This Row],[Customer Gender]]="F","Female", orders[[#This Row],[Customer Gender]]="O","Other", TRUE,"Unknown")</f>
        <v>Male</v>
      </c>
    </row>
    <row r="2009" spans="1:15" x14ac:dyDescent="0.3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1">
        <v>45731</v>
      </c>
      <c r="G2009" s="1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f>orders[[#This Row],[Ship Date]]-orders[[#This Row],[Order Date]]</f>
        <v>1</v>
      </c>
      <c r="N2009">
        <f>WEEKNUM(orders[[#This Row],[Order Date]])</f>
        <v>11</v>
      </c>
      <c r="O2009" t="str" cm="1">
        <f t="array" ref="O2009">_xlfn.IFS(orders[[#This Row],[Customer Gender]]="M","Male", orders[[#This Row],[Customer Gender]]="F","Female", orders[[#This Row],[Customer Gender]]="O","Other", TRUE,"Unknown")</f>
        <v>Male</v>
      </c>
    </row>
    <row r="2010" spans="1:15" x14ac:dyDescent="0.3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1">
        <v>45731</v>
      </c>
      <c r="G2010" s="1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f>orders[[#This Row],[Ship Date]]-orders[[#This Row],[Order Date]]</f>
        <v>2</v>
      </c>
      <c r="N2010">
        <f>WEEKNUM(orders[[#This Row],[Order Date]])</f>
        <v>11</v>
      </c>
      <c r="O2010" t="str" cm="1">
        <f t="array" ref="O2010">_xlfn.IFS(orders[[#This Row],[Customer Gender]]="M","Male", orders[[#This Row],[Customer Gender]]="F","Female", orders[[#This Row],[Customer Gender]]="O","Other", TRUE,"Unknown")</f>
        <v>Female</v>
      </c>
    </row>
    <row r="2011" spans="1:15" x14ac:dyDescent="0.3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1">
        <v>45731</v>
      </c>
      <c r="G2011" s="1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f>orders[[#This Row],[Ship Date]]-orders[[#This Row],[Order Date]]</f>
        <v>1</v>
      </c>
      <c r="N2011">
        <f>WEEKNUM(orders[[#This Row],[Order Date]])</f>
        <v>11</v>
      </c>
      <c r="O2011" t="str" cm="1">
        <f t="array" ref="O2011">_xlfn.IFS(orders[[#This Row],[Customer Gender]]="M","Male", orders[[#This Row],[Customer Gender]]="F","Female", orders[[#This Row],[Customer Gender]]="O","Other", TRUE,"Unknown")</f>
        <v>Female</v>
      </c>
    </row>
    <row r="2012" spans="1:15" x14ac:dyDescent="0.3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1">
        <v>45731</v>
      </c>
      <c r="G2012" s="1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f>orders[[#This Row],[Ship Date]]-orders[[#This Row],[Order Date]]</f>
        <v>1</v>
      </c>
      <c r="N2012">
        <f>WEEKNUM(orders[[#This Row],[Order Date]])</f>
        <v>11</v>
      </c>
      <c r="O2012" t="str" cm="1">
        <f t="array" ref="O2012">_xlfn.IFS(orders[[#This Row],[Customer Gender]]="M","Male", orders[[#This Row],[Customer Gender]]="F","Female", orders[[#This Row],[Customer Gender]]="O","Other", TRUE,"Unknown")</f>
        <v>Female</v>
      </c>
    </row>
    <row r="2013" spans="1:15" x14ac:dyDescent="0.3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1">
        <v>45731</v>
      </c>
      <c r="G2013" s="1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f>orders[[#This Row],[Ship Date]]-orders[[#This Row],[Order Date]]</f>
        <v>1</v>
      </c>
      <c r="N2013">
        <f>WEEKNUM(orders[[#This Row],[Order Date]])</f>
        <v>11</v>
      </c>
      <c r="O2013" t="str" cm="1">
        <f t="array" ref="O2013">_xlfn.IFS(orders[[#This Row],[Customer Gender]]="M","Male", orders[[#This Row],[Customer Gender]]="F","Female", orders[[#This Row],[Customer Gender]]="O","Other", TRUE,"Unknown")</f>
        <v>Female</v>
      </c>
    </row>
    <row r="2014" spans="1:15" x14ac:dyDescent="0.3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1">
        <v>45731</v>
      </c>
      <c r="G2014" s="1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f>orders[[#This Row],[Ship Date]]-orders[[#This Row],[Order Date]]</f>
        <v>2</v>
      </c>
      <c r="N2014">
        <f>WEEKNUM(orders[[#This Row],[Order Date]])</f>
        <v>11</v>
      </c>
      <c r="O2014" t="str" cm="1">
        <f t="array" ref="O2014">_xlfn.IFS(orders[[#This Row],[Customer Gender]]="M","Male", orders[[#This Row],[Customer Gender]]="F","Female", orders[[#This Row],[Customer Gender]]="O","Other", TRUE,"Unknown")</f>
        <v>Male</v>
      </c>
    </row>
    <row r="2015" spans="1:15" x14ac:dyDescent="0.3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1">
        <v>45731</v>
      </c>
      <c r="G2015" s="1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f>orders[[#This Row],[Ship Date]]-orders[[#This Row],[Order Date]]</f>
        <v>1</v>
      </c>
      <c r="N2015">
        <f>WEEKNUM(orders[[#This Row],[Order Date]])</f>
        <v>11</v>
      </c>
      <c r="O2015" t="str" cm="1">
        <f t="array" ref="O2015">_xlfn.IFS(orders[[#This Row],[Customer Gender]]="M","Male", orders[[#This Row],[Customer Gender]]="F","Female", orders[[#This Row],[Customer Gender]]="O","Other", TRUE,"Unknown")</f>
        <v>Unknown</v>
      </c>
    </row>
    <row r="2016" spans="1:15" x14ac:dyDescent="0.3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1">
        <v>45731</v>
      </c>
      <c r="G2016" s="1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f>orders[[#This Row],[Ship Date]]-orders[[#This Row],[Order Date]]</f>
        <v>1</v>
      </c>
      <c r="N2016">
        <f>WEEKNUM(orders[[#This Row],[Order Date]])</f>
        <v>11</v>
      </c>
      <c r="O2016" t="str" cm="1">
        <f t="array" ref="O2016">_xlfn.IFS(orders[[#This Row],[Customer Gender]]="M","Male", orders[[#This Row],[Customer Gender]]="F","Female", orders[[#This Row],[Customer Gender]]="O","Other", TRUE,"Unknown")</f>
        <v>Male</v>
      </c>
    </row>
    <row r="2017" spans="1:15" x14ac:dyDescent="0.3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1">
        <v>45731</v>
      </c>
      <c r="G2017" s="1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f>orders[[#This Row],[Ship Date]]-orders[[#This Row],[Order Date]]</f>
        <v>1</v>
      </c>
      <c r="N2017">
        <f>WEEKNUM(orders[[#This Row],[Order Date]])</f>
        <v>11</v>
      </c>
      <c r="O2017" t="str" cm="1">
        <f t="array" ref="O2017">_xlfn.IFS(orders[[#This Row],[Customer Gender]]="M","Male", orders[[#This Row],[Customer Gender]]="F","Female", orders[[#This Row],[Customer Gender]]="O","Other", TRUE,"Unknown")</f>
        <v>Unknown</v>
      </c>
    </row>
    <row r="2018" spans="1:15" x14ac:dyDescent="0.3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1">
        <v>45732</v>
      </c>
      <c r="G2018" s="1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f>orders[[#This Row],[Ship Date]]-orders[[#This Row],[Order Date]]</f>
        <v>2</v>
      </c>
      <c r="N2018">
        <f>WEEKNUM(orders[[#This Row],[Order Date]])</f>
        <v>12</v>
      </c>
      <c r="O2018" t="str" cm="1">
        <f t="array" ref="O2018">_xlfn.IFS(orders[[#This Row],[Customer Gender]]="M","Male", orders[[#This Row],[Customer Gender]]="F","Female", orders[[#This Row],[Customer Gender]]="O","Other", TRUE,"Unknown")</f>
        <v>Female</v>
      </c>
    </row>
    <row r="2019" spans="1:15" x14ac:dyDescent="0.3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1">
        <v>45732</v>
      </c>
      <c r="G2019" s="1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f>orders[[#This Row],[Ship Date]]-orders[[#This Row],[Order Date]]</f>
        <v>3</v>
      </c>
      <c r="N2019">
        <f>WEEKNUM(orders[[#This Row],[Order Date]])</f>
        <v>12</v>
      </c>
      <c r="O2019" t="str" cm="1">
        <f t="array" ref="O2019">_xlfn.IFS(orders[[#This Row],[Customer Gender]]="M","Male", orders[[#This Row],[Customer Gender]]="F","Female", orders[[#This Row],[Customer Gender]]="O","Other", TRUE,"Unknown")</f>
        <v>Male</v>
      </c>
    </row>
    <row r="2020" spans="1:15" x14ac:dyDescent="0.3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1">
        <v>45732</v>
      </c>
      <c r="G2020" s="1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f>orders[[#This Row],[Ship Date]]-orders[[#This Row],[Order Date]]</f>
        <v>3</v>
      </c>
      <c r="N2020">
        <f>WEEKNUM(orders[[#This Row],[Order Date]])</f>
        <v>12</v>
      </c>
      <c r="O2020" t="str" cm="1">
        <f t="array" ref="O2020">_xlfn.IFS(orders[[#This Row],[Customer Gender]]="M","Male", orders[[#This Row],[Customer Gender]]="F","Female", orders[[#This Row],[Customer Gender]]="O","Other", TRUE,"Unknown")</f>
        <v>Female</v>
      </c>
    </row>
    <row r="2021" spans="1:15" x14ac:dyDescent="0.3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1">
        <v>45732</v>
      </c>
      <c r="G2021" s="1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f>orders[[#This Row],[Ship Date]]-orders[[#This Row],[Order Date]]</f>
        <v>1</v>
      </c>
      <c r="N2021">
        <f>WEEKNUM(orders[[#This Row],[Order Date]])</f>
        <v>12</v>
      </c>
      <c r="O2021" t="str" cm="1">
        <f t="array" ref="O2021">_xlfn.IFS(orders[[#This Row],[Customer Gender]]="M","Male", orders[[#This Row],[Customer Gender]]="F","Female", orders[[#This Row],[Customer Gender]]="O","Other", TRUE,"Unknown")</f>
        <v>Unknown</v>
      </c>
    </row>
    <row r="2022" spans="1:15" x14ac:dyDescent="0.3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1">
        <v>45732</v>
      </c>
      <c r="G2022" s="1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f>orders[[#This Row],[Ship Date]]-orders[[#This Row],[Order Date]]</f>
        <v>2</v>
      </c>
      <c r="N2022">
        <f>WEEKNUM(orders[[#This Row],[Order Date]])</f>
        <v>12</v>
      </c>
      <c r="O2022" t="str" cm="1">
        <f t="array" ref="O2022">_xlfn.IFS(orders[[#This Row],[Customer Gender]]="M","Male", orders[[#This Row],[Customer Gender]]="F","Female", orders[[#This Row],[Customer Gender]]="O","Other", TRUE,"Unknown")</f>
        <v>Female</v>
      </c>
    </row>
    <row r="2023" spans="1:15" x14ac:dyDescent="0.3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1">
        <v>45732</v>
      </c>
      <c r="G2023" s="1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f>orders[[#This Row],[Ship Date]]-orders[[#This Row],[Order Date]]</f>
        <v>1</v>
      </c>
      <c r="N2023">
        <f>WEEKNUM(orders[[#This Row],[Order Date]])</f>
        <v>12</v>
      </c>
      <c r="O2023" t="str" cm="1">
        <f t="array" ref="O2023">_xlfn.IFS(orders[[#This Row],[Customer Gender]]="M","Male", orders[[#This Row],[Customer Gender]]="F","Female", orders[[#This Row],[Customer Gender]]="O","Other", TRUE,"Unknown")</f>
        <v>Male</v>
      </c>
    </row>
    <row r="2024" spans="1:15" x14ac:dyDescent="0.3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1">
        <v>45732</v>
      </c>
      <c r="G2024" s="1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f>orders[[#This Row],[Ship Date]]-orders[[#This Row],[Order Date]]</f>
        <v>1</v>
      </c>
      <c r="N2024">
        <f>WEEKNUM(orders[[#This Row],[Order Date]])</f>
        <v>12</v>
      </c>
      <c r="O2024" t="str" cm="1">
        <f t="array" ref="O2024">_xlfn.IFS(orders[[#This Row],[Customer Gender]]="M","Male", orders[[#This Row],[Customer Gender]]="F","Female", orders[[#This Row],[Customer Gender]]="O","Other", TRUE,"Unknown")</f>
        <v>Other</v>
      </c>
    </row>
    <row r="2025" spans="1:15" x14ac:dyDescent="0.3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1">
        <v>45732</v>
      </c>
      <c r="G2025" s="1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f>orders[[#This Row],[Ship Date]]-orders[[#This Row],[Order Date]]</f>
        <v>1</v>
      </c>
      <c r="N2025">
        <f>WEEKNUM(orders[[#This Row],[Order Date]])</f>
        <v>12</v>
      </c>
      <c r="O2025" t="str" cm="1">
        <f t="array" ref="O2025">_xlfn.IFS(orders[[#This Row],[Customer Gender]]="M","Male", orders[[#This Row],[Customer Gender]]="F","Female", orders[[#This Row],[Customer Gender]]="O","Other", TRUE,"Unknown")</f>
        <v>Female</v>
      </c>
    </row>
    <row r="2026" spans="1:15" x14ac:dyDescent="0.3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1">
        <v>45732</v>
      </c>
      <c r="G2026" s="1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f>orders[[#This Row],[Ship Date]]-orders[[#This Row],[Order Date]]</f>
        <v>1</v>
      </c>
      <c r="N2026">
        <f>WEEKNUM(orders[[#This Row],[Order Date]])</f>
        <v>12</v>
      </c>
      <c r="O2026" t="str" cm="1">
        <f t="array" ref="O2026">_xlfn.IFS(orders[[#This Row],[Customer Gender]]="M","Male", orders[[#This Row],[Customer Gender]]="F","Female", orders[[#This Row],[Customer Gender]]="O","Other", TRUE,"Unknown")</f>
        <v>Male</v>
      </c>
    </row>
    <row r="2027" spans="1:15" x14ac:dyDescent="0.3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1">
        <v>45732</v>
      </c>
      <c r="G2027" s="1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f>orders[[#This Row],[Ship Date]]-orders[[#This Row],[Order Date]]</f>
        <v>1</v>
      </c>
      <c r="N2027">
        <f>WEEKNUM(orders[[#This Row],[Order Date]])</f>
        <v>12</v>
      </c>
      <c r="O2027" t="str" cm="1">
        <f t="array" ref="O2027">_xlfn.IFS(orders[[#This Row],[Customer Gender]]="M","Male", orders[[#This Row],[Customer Gender]]="F","Female", orders[[#This Row],[Customer Gender]]="O","Other", TRUE,"Unknown")</f>
        <v>Male</v>
      </c>
    </row>
    <row r="2028" spans="1:15" x14ac:dyDescent="0.3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1">
        <v>45732</v>
      </c>
      <c r="G2028" s="1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f>orders[[#This Row],[Ship Date]]-orders[[#This Row],[Order Date]]</f>
        <v>2</v>
      </c>
      <c r="N2028">
        <f>WEEKNUM(orders[[#This Row],[Order Date]])</f>
        <v>12</v>
      </c>
      <c r="O2028" t="str" cm="1">
        <f t="array" ref="O2028">_xlfn.IFS(orders[[#This Row],[Customer Gender]]="M","Male", orders[[#This Row],[Customer Gender]]="F","Female", orders[[#This Row],[Customer Gender]]="O","Other", TRUE,"Unknown")</f>
        <v>Female</v>
      </c>
    </row>
    <row r="2029" spans="1:15" x14ac:dyDescent="0.3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1">
        <v>45732</v>
      </c>
      <c r="G2029" s="1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f>orders[[#This Row],[Ship Date]]-orders[[#This Row],[Order Date]]</f>
        <v>3</v>
      </c>
      <c r="N2029">
        <f>WEEKNUM(orders[[#This Row],[Order Date]])</f>
        <v>12</v>
      </c>
      <c r="O2029" t="str" cm="1">
        <f t="array" ref="O2029">_xlfn.IFS(orders[[#This Row],[Customer Gender]]="M","Male", orders[[#This Row],[Customer Gender]]="F","Female", orders[[#This Row],[Customer Gender]]="O","Other", TRUE,"Unknown")</f>
        <v>Female</v>
      </c>
    </row>
    <row r="2030" spans="1:15" x14ac:dyDescent="0.3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1">
        <v>45732</v>
      </c>
      <c r="G2030" s="1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f>orders[[#This Row],[Ship Date]]-orders[[#This Row],[Order Date]]</f>
        <v>6</v>
      </c>
      <c r="N2030">
        <f>WEEKNUM(orders[[#This Row],[Order Date]])</f>
        <v>12</v>
      </c>
      <c r="O2030" t="str" cm="1">
        <f t="array" ref="O2030">_xlfn.IFS(orders[[#This Row],[Customer Gender]]="M","Male", orders[[#This Row],[Customer Gender]]="F","Female", orders[[#This Row],[Customer Gender]]="O","Other", TRUE,"Unknown")</f>
        <v>Male</v>
      </c>
    </row>
    <row r="2031" spans="1:15" x14ac:dyDescent="0.3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1">
        <v>45732</v>
      </c>
      <c r="G2031" s="1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f>orders[[#This Row],[Ship Date]]-orders[[#This Row],[Order Date]]</f>
        <v>4</v>
      </c>
      <c r="N2031">
        <f>WEEKNUM(orders[[#This Row],[Order Date]])</f>
        <v>12</v>
      </c>
      <c r="O2031" t="str" cm="1">
        <f t="array" ref="O2031">_xlfn.IFS(orders[[#This Row],[Customer Gender]]="M","Male", orders[[#This Row],[Customer Gender]]="F","Female", orders[[#This Row],[Customer Gender]]="O","Other", TRUE,"Unknown")</f>
        <v>Female</v>
      </c>
    </row>
    <row r="2032" spans="1:15" x14ac:dyDescent="0.3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1">
        <v>45732</v>
      </c>
      <c r="G2032" s="1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f>orders[[#This Row],[Ship Date]]-orders[[#This Row],[Order Date]]</f>
        <v>4</v>
      </c>
      <c r="N2032">
        <f>WEEKNUM(orders[[#This Row],[Order Date]])</f>
        <v>12</v>
      </c>
      <c r="O2032" t="str" cm="1">
        <f t="array" ref="O2032">_xlfn.IFS(orders[[#This Row],[Customer Gender]]="M","Male", orders[[#This Row],[Customer Gender]]="F","Female", orders[[#This Row],[Customer Gender]]="O","Other", TRUE,"Unknown")</f>
        <v>Female</v>
      </c>
    </row>
    <row r="2033" spans="1:15" x14ac:dyDescent="0.3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1">
        <v>45732</v>
      </c>
      <c r="G2033" s="1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f>orders[[#This Row],[Ship Date]]-orders[[#This Row],[Order Date]]</f>
        <v>0</v>
      </c>
      <c r="N2033">
        <f>WEEKNUM(orders[[#This Row],[Order Date]])</f>
        <v>12</v>
      </c>
      <c r="O2033" t="str" cm="1">
        <f t="array" ref="O2033">_xlfn.IFS(orders[[#This Row],[Customer Gender]]="M","Male", orders[[#This Row],[Customer Gender]]="F","Female", orders[[#This Row],[Customer Gender]]="O","Other", TRUE,"Unknown")</f>
        <v>Male</v>
      </c>
    </row>
    <row r="2034" spans="1:15" x14ac:dyDescent="0.3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1">
        <v>45732</v>
      </c>
      <c r="G2034" s="1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f>orders[[#This Row],[Ship Date]]-orders[[#This Row],[Order Date]]</f>
        <v>1</v>
      </c>
      <c r="N2034">
        <f>WEEKNUM(orders[[#This Row],[Order Date]])</f>
        <v>12</v>
      </c>
      <c r="O2034" t="str" cm="1">
        <f t="array" ref="O2034">_xlfn.IFS(orders[[#This Row],[Customer Gender]]="M","Male", orders[[#This Row],[Customer Gender]]="F","Female", orders[[#This Row],[Customer Gender]]="O","Other", TRUE,"Unknown")</f>
        <v>Male</v>
      </c>
    </row>
    <row r="2035" spans="1:15" x14ac:dyDescent="0.3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1">
        <v>45732</v>
      </c>
      <c r="G2035" s="1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f>orders[[#This Row],[Ship Date]]-orders[[#This Row],[Order Date]]</f>
        <v>3</v>
      </c>
      <c r="N2035">
        <f>WEEKNUM(orders[[#This Row],[Order Date]])</f>
        <v>12</v>
      </c>
      <c r="O2035" t="str" cm="1">
        <f t="array" ref="O2035">_xlfn.IFS(orders[[#This Row],[Customer Gender]]="M","Male", orders[[#This Row],[Customer Gender]]="F","Female", orders[[#This Row],[Customer Gender]]="O","Other", TRUE,"Unknown")</f>
        <v>Female</v>
      </c>
    </row>
    <row r="2036" spans="1:15" x14ac:dyDescent="0.3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1">
        <v>45732</v>
      </c>
      <c r="G2036" s="1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f>orders[[#This Row],[Ship Date]]-orders[[#This Row],[Order Date]]</f>
        <v>3</v>
      </c>
      <c r="N2036">
        <f>WEEKNUM(orders[[#This Row],[Order Date]])</f>
        <v>12</v>
      </c>
      <c r="O2036" t="str" cm="1">
        <f t="array" ref="O2036">_xlfn.IFS(orders[[#This Row],[Customer Gender]]="M","Male", orders[[#This Row],[Customer Gender]]="F","Female", orders[[#This Row],[Customer Gender]]="O","Other", TRUE,"Unknown")</f>
        <v>Female</v>
      </c>
    </row>
    <row r="2037" spans="1:15" x14ac:dyDescent="0.3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1">
        <v>45732</v>
      </c>
      <c r="G2037" s="1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f>orders[[#This Row],[Ship Date]]-orders[[#This Row],[Order Date]]</f>
        <v>1</v>
      </c>
      <c r="N2037">
        <f>WEEKNUM(orders[[#This Row],[Order Date]])</f>
        <v>12</v>
      </c>
      <c r="O2037" t="str" cm="1">
        <f t="array" ref="O2037">_xlfn.IFS(orders[[#This Row],[Customer Gender]]="M","Male", orders[[#This Row],[Customer Gender]]="F","Female", orders[[#This Row],[Customer Gender]]="O","Other", TRUE,"Unknown")</f>
        <v>Female</v>
      </c>
    </row>
    <row r="2038" spans="1:15" x14ac:dyDescent="0.3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1">
        <v>45732</v>
      </c>
      <c r="G2038" s="1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f>orders[[#This Row],[Ship Date]]-orders[[#This Row],[Order Date]]</f>
        <v>0</v>
      </c>
      <c r="N2038">
        <f>WEEKNUM(orders[[#This Row],[Order Date]])</f>
        <v>12</v>
      </c>
      <c r="O2038" t="str" cm="1">
        <f t="array" ref="O2038">_xlfn.IFS(orders[[#This Row],[Customer Gender]]="M","Male", orders[[#This Row],[Customer Gender]]="F","Female", orders[[#This Row],[Customer Gender]]="O","Other", TRUE,"Unknown")</f>
        <v>Male</v>
      </c>
    </row>
    <row r="2039" spans="1:15" x14ac:dyDescent="0.3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1">
        <v>45732</v>
      </c>
      <c r="G2039" s="1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f>orders[[#This Row],[Ship Date]]-orders[[#This Row],[Order Date]]</f>
        <v>3</v>
      </c>
      <c r="N2039">
        <f>WEEKNUM(orders[[#This Row],[Order Date]])</f>
        <v>12</v>
      </c>
      <c r="O2039" t="str" cm="1">
        <f t="array" ref="O2039">_xlfn.IFS(orders[[#This Row],[Customer Gender]]="M","Male", orders[[#This Row],[Customer Gender]]="F","Female", orders[[#This Row],[Customer Gender]]="O","Other", TRUE,"Unknown")</f>
        <v>Male</v>
      </c>
    </row>
    <row r="2040" spans="1:15" x14ac:dyDescent="0.3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1">
        <v>45732</v>
      </c>
      <c r="G2040" s="1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f>orders[[#This Row],[Ship Date]]-orders[[#This Row],[Order Date]]</f>
        <v>7</v>
      </c>
      <c r="N2040">
        <f>WEEKNUM(orders[[#This Row],[Order Date]])</f>
        <v>12</v>
      </c>
      <c r="O2040" t="str" cm="1">
        <f t="array" ref="O2040">_xlfn.IFS(orders[[#This Row],[Customer Gender]]="M","Male", orders[[#This Row],[Customer Gender]]="F","Female", orders[[#This Row],[Customer Gender]]="O","Other", TRUE,"Unknown")</f>
        <v>Male</v>
      </c>
    </row>
    <row r="2041" spans="1:15" x14ac:dyDescent="0.3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1">
        <v>45732</v>
      </c>
      <c r="G2041" s="1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f>orders[[#This Row],[Ship Date]]-orders[[#This Row],[Order Date]]</f>
        <v>3</v>
      </c>
      <c r="N2041">
        <f>WEEKNUM(orders[[#This Row],[Order Date]])</f>
        <v>12</v>
      </c>
      <c r="O2041" t="str" cm="1">
        <f t="array" ref="O2041">_xlfn.IFS(orders[[#This Row],[Customer Gender]]="M","Male", orders[[#This Row],[Customer Gender]]="F","Female", orders[[#This Row],[Customer Gender]]="O","Other", TRUE,"Unknown")</f>
        <v>Male</v>
      </c>
    </row>
    <row r="2042" spans="1:15" x14ac:dyDescent="0.3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1">
        <v>45732</v>
      </c>
      <c r="G2042" s="1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f>orders[[#This Row],[Ship Date]]-orders[[#This Row],[Order Date]]</f>
        <v>1</v>
      </c>
      <c r="N2042">
        <f>WEEKNUM(orders[[#This Row],[Order Date]])</f>
        <v>12</v>
      </c>
      <c r="O2042" t="str" cm="1">
        <f t="array" ref="O2042">_xlfn.IFS(orders[[#This Row],[Customer Gender]]="M","Male", orders[[#This Row],[Customer Gender]]="F","Female", orders[[#This Row],[Customer Gender]]="O","Other", TRUE,"Unknown")</f>
        <v>Male</v>
      </c>
    </row>
    <row r="2043" spans="1:15" x14ac:dyDescent="0.3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1">
        <v>45732</v>
      </c>
      <c r="G2043" s="1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f>orders[[#This Row],[Ship Date]]-orders[[#This Row],[Order Date]]</f>
        <v>2</v>
      </c>
      <c r="N2043">
        <f>WEEKNUM(orders[[#This Row],[Order Date]])</f>
        <v>12</v>
      </c>
      <c r="O2043" t="str" cm="1">
        <f t="array" ref="O2043">_xlfn.IFS(orders[[#This Row],[Customer Gender]]="M","Male", orders[[#This Row],[Customer Gender]]="F","Female", orders[[#This Row],[Customer Gender]]="O","Other", TRUE,"Unknown")</f>
        <v>Male</v>
      </c>
    </row>
    <row r="2044" spans="1:15" x14ac:dyDescent="0.3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1">
        <v>45732</v>
      </c>
      <c r="G2044" s="1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f>orders[[#This Row],[Ship Date]]-orders[[#This Row],[Order Date]]</f>
        <v>1</v>
      </c>
      <c r="N2044">
        <f>WEEKNUM(orders[[#This Row],[Order Date]])</f>
        <v>12</v>
      </c>
      <c r="O2044" t="str" cm="1">
        <f t="array" ref="O2044">_xlfn.IFS(orders[[#This Row],[Customer Gender]]="M","Male", orders[[#This Row],[Customer Gender]]="F","Female", orders[[#This Row],[Customer Gender]]="O","Other", TRUE,"Unknown")</f>
        <v>Female</v>
      </c>
    </row>
    <row r="2045" spans="1:15" x14ac:dyDescent="0.3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1">
        <v>45732</v>
      </c>
      <c r="G2045" s="1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f>orders[[#This Row],[Ship Date]]-orders[[#This Row],[Order Date]]</f>
        <v>1</v>
      </c>
      <c r="N2045">
        <f>WEEKNUM(orders[[#This Row],[Order Date]])</f>
        <v>12</v>
      </c>
      <c r="O2045" t="str" cm="1">
        <f t="array" ref="O2045">_xlfn.IFS(orders[[#This Row],[Customer Gender]]="M","Male", orders[[#This Row],[Customer Gender]]="F","Female", orders[[#This Row],[Customer Gender]]="O","Other", TRUE,"Unknown")</f>
        <v>Female</v>
      </c>
    </row>
    <row r="2046" spans="1:15" x14ac:dyDescent="0.3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1">
        <v>45732</v>
      </c>
      <c r="G2046" s="1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f>orders[[#This Row],[Ship Date]]-orders[[#This Row],[Order Date]]</f>
        <v>1</v>
      </c>
      <c r="N2046">
        <f>WEEKNUM(orders[[#This Row],[Order Date]])</f>
        <v>12</v>
      </c>
      <c r="O2046" t="str" cm="1">
        <f t="array" ref="O2046">_xlfn.IFS(orders[[#This Row],[Customer Gender]]="M","Male", orders[[#This Row],[Customer Gender]]="F","Female", orders[[#This Row],[Customer Gender]]="O","Other", TRUE,"Unknown")</f>
        <v>Male</v>
      </c>
    </row>
    <row r="2047" spans="1:15" x14ac:dyDescent="0.3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1">
        <v>45732</v>
      </c>
      <c r="G2047" s="1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f>orders[[#This Row],[Ship Date]]-orders[[#This Row],[Order Date]]</f>
        <v>1</v>
      </c>
      <c r="N2047">
        <f>WEEKNUM(orders[[#This Row],[Order Date]])</f>
        <v>12</v>
      </c>
      <c r="O2047" t="str" cm="1">
        <f t="array" ref="O2047">_xlfn.IFS(orders[[#This Row],[Customer Gender]]="M","Male", orders[[#This Row],[Customer Gender]]="F","Female", orders[[#This Row],[Customer Gender]]="O","Other", TRUE,"Unknown")</f>
        <v>Female</v>
      </c>
    </row>
    <row r="2048" spans="1:15" x14ac:dyDescent="0.3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1">
        <v>45732</v>
      </c>
      <c r="G2048" s="1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f>orders[[#This Row],[Ship Date]]-orders[[#This Row],[Order Date]]</f>
        <v>4</v>
      </c>
      <c r="N2048">
        <f>WEEKNUM(orders[[#This Row],[Order Date]])</f>
        <v>12</v>
      </c>
      <c r="O2048" t="str" cm="1">
        <f t="array" ref="O2048">_xlfn.IFS(orders[[#This Row],[Customer Gender]]="M","Male", orders[[#This Row],[Customer Gender]]="F","Female", orders[[#This Row],[Customer Gender]]="O","Other", TRUE,"Unknown")</f>
        <v>Female</v>
      </c>
    </row>
    <row r="2049" spans="1:15" x14ac:dyDescent="0.3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1">
        <v>45733</v>
      </c>
      <c r="G2049" s="1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f>orders[[#This Row],[Ship Date]]-orders[[#This Row],[Order Date]]</f>
        <v>1</v>
      </c>
      <c r="N2049">
        <f>WEEKNUM(orders[[#This Row],[Order Date]])</f>
        <v>12</v>
      </c>
      <c r="O2049" t="str" cm="1">
        <f t="array" ref="O2049">_xlfn.IFS(orders[[#This Row],[Customer Gender]]="M","Male", orders[[#This Row],[Customer Gender]]="F","Female", orders[[#This Row],[Customer Gender]]="O","Other", TRUE,"Unknown")</f>
        <v>Male</v>
      </c>
    </row>
    <row r="2050" spans="1:15" x14ac:dyDescent="0.3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1">
        <v>45733</v>
      </c>
      <c r="G2050" s="1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f>orders[[#This Row],[Ship Date]]-orders[[#This Row],[Order Date]]</f>
        <v>2</v>
      </c>
      <c r="N2050">
        <f>WEEKNUM(orders[[#This Row],[Order Date]])</f>
        <v>12</v>
      </c>
      <c r="O2050" t="str" cm="1">
        <f t="array" ref="O2050">_xlfn.IFS(orders[[#This Row],[Customer Gender]]="M","Male", orders[[#This Row],[Customer Gender]]="F","Female", orders[[#This Row],[Customer Gender]]="O","Other", TRUE,"Unknown")</f>
        <v>Female</v>
      </c>
    </row>
    <row r="2051" spans="1:15" x14ac:dyDescent="0.3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1">
        <v>45733</v>
      </c>
      <c r="G2051" s="1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f>orders[[#This Row],[Ship Date]]-orders[[#This Row],[Order Date]]</f>
        <v>5</v>
      </c>
      <c r="N2051">
        <f>WEEKNUM(orders[[#This Row],[Order Date]])</f>
        <v>12</v>
      </c>
      <c r="O2051" t="str" cm="1">
        <f t="array" ref="O2051">_xlfn.IFS(orders[[#This Row],[Customer Gender]]="M","Male", orders[[#This Row],[Customer Gender]]="F","Female", orders[[#This Row],[Customer Gender]]="O","Other", TRUE,"Unknown")</f>
        <v>Female</v>
      </c>
    </row>
    <row r="2052" spans="1:15" x14ac:dyDescent="0.3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1">
        <v>45733</v>
      </c>
      <c r="G2052" s="1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f>orders[[#This Row],[Ship Date]]-orders[[#This Row],[Order Date]]</f>
        <v>2</v>
      </c>
      <c r="N2052">
        <f>WEEKNUM(orders[[#This Row],[Order Date]])</f>
        <v>12</v>
      </c>
      <c r="O2052" t="str" cm="1">
        <f t="array" ref="O2052">_xlfn.IFS(orders[[#This Row],[Customer Gender]]="M","Male", orders[[#This Row],[Customer Gender]]="F","Female", orders[[#This Row],[Customer Gender]]="O","Other", TRUE,"Unknown")</f>
        <v>Female</v>
      </c>
    </row>
    <row r="2053" spans="1:15" x14ac:dyDescent="0.3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1">
        <v>45733</v>
      </c>
      <c r="G2053" s="1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f>orders[[#This Row],[Ship Date]]-orders[[#This Row],[Order Date]]</f>
        <v>1</v>
      </c>
      <c r="N2053">
        <f>WEEKNUM(orders[[#This Row],[Order Date]])</f>
        <v>12</v>
      </c>
      <c r="O2053" t="str" cm="1">
        <f t="array" ref="O2053">_xlfn.IFS(orders[[#This Row],[Customer Gender]]="M","Male", orders[[#This Row],[Customer Gender]]="F","Female", orders[[#This Row],[Customer Gender]]="O","Other", TRUE,"Unknown")</f>
        <v>Male</v>
      </c>
    </row>
    <row r="2054" spans="1:15" x14ac:dyDescent="0.3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1">
        <v>45733</v>
      </c>
      <c r="G2054" s="1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f>orders[[#This Row],[Ship Date]]-orders[[#This Row],[Order Date]]</f>
        <v>2</v>
      </c>
      <c r="N2054">
        <f>WEEKNUM(orders[[#This Row],[Order Date]])</f>
        <v>12</v>
      </c>
      <c r="O2054" t="str" cm="1">
        <f t="array" ref="O2054">_xlfn.IFS(orders[[#This Row],[Customer Gender]]="M","Male", orders[[#This Row],[Customer Gender]]="F","Female", orders[[#This Row],[Customer Gender]]="O","Other", TRUE,"Unknown")</f>
        <v>Male</v>
      </c>
    </row>
    <row r="2055" spans="1:15" x14ac:dyDescent="0.3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1">
        <v>45733</v>
      </c>
      <c r="G2055" s="1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f>orders[[#This Row],[Ship Date]]-orders[[#This Row],[Order Date]]</f>
        <v>3</v>
      </c>
      <c r="N2055">
        <f>WEEKNUM(orders[[#This Row],[Order Date]])</f>
        <v>12</v>
      </c>
      <c r="O2055" t="str" cm="1">
        <f t="array" ref="O2055">_xlfn.IFS(orders[[#This Row],[Customer Gender]]="M","Male", orders[[#This Row],[Customer Gender]]="F","Female", orders[[#This Row],[Customer Gender]]="O","Other", TRUE,"Unknown")</f>
        <v>Female</v>
      </c>
    </row>
    <row r="2056" spans="1:15" x14ac:dyDescent="0.3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1">
        <v>45733</v>
      </c>
      <c r="G2056" s="1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f>orders[[#This Row],[Ship Date]]-orders[[#This Row],[Order Date]]</f>
        <v>5</v>
      </c>
      <c r="N2056">
        <f>WEEKNUM(orders[[#This Row],[Order Date]])</f>
        <v>12</v>
      </c>
      <c r="O2056" t="str" cm="1">
        <f t="array" ref="O2056">_xlfn.IFS(orders[[#This Row],[Customer Gender]]="M","Male", orders[[#This Row],[Customer Gender]]="F","Female", orders[[#This Row],[Customer Gender]]="O","Other", TRUE,"Unknown")</f>
        <v>Female</v>
      </c>
    </row>
    <row r="2057" spans="1:15" x14ac:dyDescent="0.3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1">
        <v>45733</v>
      </c>
      <c r="G2057" s="1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f>orders[[#This Row],[Ship Date]]-orders[[#This Row],[Order Date]]</f>
        <v>3</v>
      </c>
      <c r="N2057">
        <f>WEEKNUM(orders[[#This Row],[Order Date]])</f>
        <v>12</v>
      </c>
      <c r="O2057" t="str" cm="1">
        <f t="array" ref="O2057">_xlfn.IFS(orders[[#This Row],[Customer Gender]]="M","Male", orders[[#This Row],[Customer Gender]]="F","Female", orders[[#This Row],[Customer Gender]]="O","Other", TRUE,"Unknown")</f>
        <v>Male</v>
      </c>
    </row>
    <row r="2058" spans="1:15" x14ac:dyDescent="0.3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1">
        <v>45733</v>
      </c>
      <c r="G2058" s="1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f>orders[[#This Row],[Ship Date]]-orders[[#This Row],[Order Date]]</f>
        <v>1</v>
      </c>
      <c r="N2058">
        <f>WEEKNUM(orders[[#This Row],[Order Date]])</f>
        <v>12</v>
      </c>
      <c r="O2058" t="str" cm="1">
        <f t="array" ref="O2058">_xlfn.IFS(orders[[#This Row],[Customer Gender]]="M","Male", orders[[#This Row],[Customer Gender]]="F","Female", orders[[#This Row],[Customer Gender]]="O","Other", TRUE,"Unknown")</f>
        <v>Female</v>
      </c>
    </row>
    <row r="2059" spans="1:15" x14ac:dyDescent="0.3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1">
        <v>45733</v>
      </c>
      <c r="G2059" s="1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f>orders[[#This Row],[Ship Date]]-orders[[#This Row],[Order Date]]</f>
        <v>1</v>
      </c>
      <c r="N2059">
        <f>WEEKNUM(orders[[#This Row],[Order Date]])</f>
        <v>12</v>
      </c>
      <c r="O2059" t="str" cm="1">
        <f t="array" ref="O2059">_xlfn.IFS(orders[[#This Row],[Customer Gender]]="M","Male", orders[[#This Row],[Customer Gender]]="F","Female", orders[[#This Row],[Customer Gender]]="O","Other", TRUE,"Unknown")</f>
        <v>Female</v>
      </c>
    </row>
    <row r="2060" spans="1:15" x14ac:dyDescent="0.3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1">
        <v>45733</v>
      </c>
      <c r="G2060" s="1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f>orders[[#This Row],[Ship Date]]-orders[[#This Row],[Order Date]]</f>
        <v>5</v>
      </c>
      <c r="N2060">
        <f>WEEKNUM(orders[[#This Row],[Order Date]])</f>
        <v>12</v>
      </c>
      <c r="O2060" t="str" cm="1">
        <f t="array" ref="O2060">_xlfn.IFS(orders[[#This Row],[Customer Gender]]="M","Male", orders[[#This Row],[Customer Gender]]="F","Female", orders[[#This Row],[Customer Gender]]="O","Other", TRUE,"Unknown")</f>
        <v>Male</v>
      </c>
    </row>
    <row r="2061" spans="1:15" x14ac:dyDescent="0.3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1">
        <v>45733</v>
      </c>
      <c r="G2061" s="1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f>orders[[#This Row],[Ship Date]]-orders[[#This Row],[Order Date]]</f>
        <v>1</v>
      </c>
      <c r="N2061">
        <f>WEEKNUM(orders[[#This Row],[Order Date]])</f>
        <v>12</v>
      </c>
      <c r="O2061" t="str" cm="1">
        <f t="array" ref="O2061">_xlfn.IFS(orders[[#This Row],[Customer Gender]]="M","Male", orders[[#This Row],[Customer Gender]]="F","Female", orders[[#This Row],[Customer Gender]]="O","Other", TRUE,"Unknown")</f>
        <v>Male</v>
      </c>
    </row>
    <row r="2062" spans="1:15" x14ac:dyDescent="0.3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1">
        <v>45733</v>
      </c>
      <c r="G2062" s="1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f>orders[[#This Row],[Ship Date]]-orders[[#This Row],[Order Date]]</f>
        <v>2</v>
      </c>
      <c r="N2062">
        <f>WEEKNUM(orders[[#This Row],[Order Date]])</f>
        <v>12</v>
      </c>
      <c r="O2062" t="str" cm="1">
        <f t="array" ref="O2062">_xlfn.IFS(orders[[#This Row],[Customer Gender]]="M","Male", orders[[#This Row],[Customer Gender]]="F","Female", orders[[#This Row],[Customer Gender]]="O","Other", TRUE,"Unknown")</f>
        <v>Female</v>
      </c>
    </row>
    <row r="2063" spans="1:15" x14ac:dyDescent="0.3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1">
        <v>45733</v>
      </c>
      <c r="G2063" s="1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f>orders[[#This Row],[Ship Date]]-orders[[#This Row],[Order Date]]</f>
        <v>1</v>
      </c>
      <c r="N2063">
        <f>WEEKNUM(orders[[#This Row],[Order Date]])</f>
        <v>12</v>
      </c>
      <c r="O2063" t="str" cm="1">
        <f t="array" ref="O2063">_xlfn.IFS(orders[[#This Row],[Customer Gender]]="M","Male", orders[[#This Row],[Customer Gender]]="F","Female", orders[[#This Row],[Customer Gender]]="O","Other", TRUE,"Unknown")</f>
        <v>Female</v>
      </c>
    </row>
    <row r="2064" spans="1:15" x14ac:dyDescent="0.3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1">
        <v>45733</v>
      </c>
      <c r="G2064" s="1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f>orders[[#This Row],[Ship Date]]-orders[[#This Row],[Order Date]]</f>
        <v>6</v>
      </c>
      <c r="N2064">
        <f>WEEKNUM(orders[[#This Row],[Order Date]])</f>
        <v>12</v>
      </c>
      <c r="O2064" t="str" cm="1">
        <f t="array" ref="O2064">_xlfn.IFS(orders[[#This Row],[Customer Gender]]="M","Male", orders[[#This Row],[Customer Gender]]="F","Female", orders[[#This Row],[Customer Gender]]="O","Other", TRUE,"Unknown")</f>
        <v>Female</v>
      </c>
    </row>
    <row r="2065" spans="1:15" x14ac:dyDescent="0.3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1">
        <v>45733</v>
      </c>
      <c r="G2065" s="1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f>orders[[#This Row],[Ship Date]]-orders[[#This Row],[Order Date]]</f>
        <v>2</v>
      </c>
      <c r="N2065">
        <f>WEEKNUM(orders[[#This Row],[Order Date]])</f>
        <v>12</v>
      </c>
      <c r="O2065" t="str" cm="1">
        <f t="array" ref="O2065">_xlfn.IFS(orders[[#This Row],[Customer Gender]]="M","Male", orders[[#This Row],[Customer Gender]]="F","Female", orders[[#This Row],[Customer Gender]]="O","Other", TRUE,"Unknown")</f>
        <v>Female</v>
      </c>
    </row>
    <row r="2066" spans="1:15" x14ac:dyDescent="0.3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1">
        <v>45733</v>
      </c>
      <c r="G2066" s="1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f>orders[[#This Row],[Ship Date]]-orders[[#This Row],[Order Date]]</f>
        <v>1</v>
      </c>
      <c r="N2066">
        <f>WEEKNUM(orders[[#This Row],[Order Date]])</f>
        <v>12</v>
      </c>
      <c r="O2066" t="str" cm="1">
        <f t="array" ref="O2066">_xlfn.IFS(orders[[#This Row],[Customer Gender]]="M","Male", orders[[#This Row],[Customer Gender]]="F","Female", orders[[#This Row],[Customer Gender]]="O","Other", TRUE,"Unknown")</f>
        <v>Male</v>
      </c>
    </row>
    <row r="2067" spans="1:15" x14ac:dyDescent="0.3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1">
        <v>45733</v>
      </c>
      <c r="G2067" s="1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f>orders[[#This Row],[Ship Date]]-orders[[#This Row],[Order Date]]</f>
        <v>1</v>
      </c>
      <c r="N2067">
        <f>WEEKNUM(orders[[#This Row],[Order Date]])</f>
        <v>12</v>
      </c>
      <c r="O2067" t="str" cm="1">
        <f t="array" ref="O2067">_xlfn.IFS(orders[[#This Row],[Customer Gender]]="M","Male", orders[[#This Row],[Customer Gender]]="F","Female", orders[[#This Row],[Customer Gender]]="O","Other", TRUE,"Unknown")</f>
        <v>Male</v>
      </c>
    </row>
    <row r="2068" spans="1:15" x14ac:dyDescent="0.3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1">
        <v>45733</v>
      </c>
      <c r="G2068" s="1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f>orders[[#This Row],[Ship Date]]-orders[[#This Row],[Order Date]]</f>
        <v>3</v>
      </c>
      <c r="N2068">
        <f>WEEKNUM(orders[[#This Row],[Order Date]])</f>
        <v>12</v>
      </c>
      <c r="O2068" t="str" cm="1">
        <f t="array" ref="O2068">_xlfn.IFS(orders[[#This Row],[Customer Gender]]="M","Male", orders[[#This Row],[Customer Gender]]="F","Female", orders[[#This Row],[Customer Gender]]="O","Other", TRUE,"Unknown")</f>
        <v>Female</v>
      </c>
    </row>
    <row r="2069" spans="1:15" x14ac:dyDescent="0.3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1">
        <v>45733</v>
      </c>
      <c r="G2069" s="1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f>orders[[#This Row],[Ship Date]]-orders[[#This Row],[Order Date]]</f>
        <v>2</v>
      </c>
      <c r="N2069">
        <f>WEEKNUM(orders[[#This Row],[Order Date]])</f>
        <v>12</v>
      </c>
      <c r="O2069" t="str" cm="1">
        <f t="array" ref="O2069">_xlfn.IFS(orders[[#This Row],[Customer Gender]]="M","Male", orders[[#This Row],[Customer Gender]]="F","Female", orders[[#This Row],[Customer Gender]]="O","Other", TRUE,"Unknown")</f>
        <v>Female</v>
      </c>
    </row>
    <row r="2070" spans="1:15" x14ac:dyDescent="0.3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1">
        <v>45733</v>
      </c>
      <c r="G2070" s="1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f>orders[[#This Row],[Ship Date]]-orders[[#This Row],[Order Date]]</f>
        <v>2</v>
      </c>
      <c r="N2070">
        <f>WEEKNUM(orders[[#This Row],[Order Date]])</f>
        <v>12</v>
      </c>
      <c r="O2070" t="str" cm="1">
        <f t="array" ref="O2070">_xlfn.IFS(orders[[#This Row],[Customer Gender]]="M","Male", orders[[#This Row],[Customer Gender]]="F","Female", orders[[#This Row],[Customer Gender]]="O","Other", TRUE,"Unknown")</f>
        <v>Male</v>
      </c>
    </row>
    <row r="2071" spans="1:15" x14ac:dyDescent="0.3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1">
        <v>45733</v>
      </c>
      <c r="G2071" s="1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f>orders[[#This Row],[Ship Date]]-orders[[#This Row],[Order Date]]</f>
        <v>2</v>
      </c>
      <c r="N2071">
        <f>WEEKNUM(orders[[#This Row],[Order Date]])</f>
        <v>12</v>
      </c>
      <c r="O2071" t="str" cm="1">
        <f t="array" ref="O2071">_xlfn.IFS(orders[[#This Row],[Customer Gender]]="M","Male", orders[[#This Row],[Customer Gender]]="F","Female", orders[[#This Row],[Customer Gender]]="O","Other", TRUE,"Unknown")</f>
        <v>Female</v>
      </c>
    </row>
    <row r="2072" spans="1:15" x14ac:dyDescent="0.3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1">
        <v>45733</v>
      </c>
      <c r="G2072" s="1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f>orders[[#This Row],[Ship Date]]-orders[[#This Row],[Order Date]]</f>
        <v>1</v>
      </c>
      <c r="N2072">
        <f>WEEKNUM(orders[[#This Row],[Order Date]])</f>
        <v>12</v>
      </c>
      <c r="O2072" t="str" cm="1">
        <f t="array" ref="O2072">_xlfn.IFS(orders[[#This Row],[Customer Gender]]="M","Male", orders[[#This Row],[Customer Gender]]="F","Female", orders[[#This Row],[Customer Gender]]="O","Other", TRUE,"Unknown")</f>
        <v>Male</v>
      </c>
    </row>
    <row r="2073" spans="1:15" x14ac:dyDescent="0.3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1">
        <v>45733</v>
      </c>
      <c r="G2073" s="1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f>orders[[#This Row],[Ship Date]]-orders[[#This Row],[Order Date]]</f>
        <v>5</v>
      </c>
      <c r="N2073">
        <f>WEEKNUM(orders[[#This Row],[Order Date]])</f>
        <v>12</v>
      </c>
      <c r="O2073" t="str" cm="1">
        <f t="array" ref="O2073">_xlfn.IFS(orders[[#This Row],[Customer Gender]]="M","Male", orders[[#This Row],[Customer Gender]]="F","Female", orders[[#This Row],[Customer Gender]]="O","Other", TRUE,"Unknown")</f>
        <v>Male</v>
      </c>
    </row>
    <row r="2074" spans="1:15" x14ac:dyDescent="0.3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1">
        <v>45733</v>
      </c>
      <c r="G2074" s="1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f>orders[[#This Row],[Ship Date]]-orders[[#This Row],[Order Date]]</f>
        <v>2</v>
      </c>
      <c r="N2074">
        <f>WEEKNUM(orders[[#This Row],[Order Date]])</f>
        <v>12</v>
      </c>
      <c r="O2074" t="str" cm="1">
        <f t="array" ref="O2074">_xlfn.IFS(orders[[#This Row],[Customer Gender]]="M","Male", orders[[#This Row],[Customer Gender]]="F","Female", orders[[#This Row],[Customer Gender]]="O","Other", TRUE,"Unknown")</f>
        <v>Male</v>
      </c>
    </row>
    <row r="2075" spans="1:15" x14ac:dyDescent="0.3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1">
        <v>45733</v>
      </c>
      <c r="G2075" s="1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f>orders[[#This Row],[Ship Date]]-orders[[#This Row],[Order Date]]</f>
        <v>1</v>
      </c>
      <c r="N2075">
        <f>WEEKNUM(orders[[#This Row],[Order Date]])</f>
        <v>12</v>
      </c>
      <c r="O2075" t="str" cm="1">
        <f t="array" ref="O2075">_xlfn.IFS(orders[[#This Row],[Customer Gender]]="M","Male", orders[[#This Row],[Customer Gender]]="F","Female", orders[[#This Row],[Customer Gender]]="O","Other", TRUE,"Unknown")</f>
        <v>Female</v>
      </c>
    </row>
    <row r="2076" spans="1:15" x14ac:dyDescent="0.3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1">
        <v>45734</v>
      </c>
      <c r="G2076" s="1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f>orders[[#This Row],[Ship Date]]-orders[[#This Row],[Order Date]]</f>
        <v>2</v>
      </c>
      <c r="N2076">
        <f>WEEKNUM(orders[[#This Row],[Order Date]])</f>
        <v>12</v>
      </c>
      <c r="O2076" t="str" cm="1">
        <f t="array" ref="O2076">_xlfn.IFS(orders[[#This Row],[Customer Gender]]="M","Male", orders[[#This Row],[Customer Gender]]="F","Female", orders[[#This Row],[Customer Gender]]="O","Other", TRUE,"Unknown")</f>
        <v>Female</v>
      </c>
    </row>
    <row r="2077" spans="1:15" x14ac:dyDescent="0.3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1">
        <v>45734</v>
      </c>
      <c r="G2077" s="1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f>orders[[#This Row],[Ship Date]]-orders[[#This Row],[Order Date]]</f>
        <v>0</v>
      </c>
      <c r="N2077">
        <f>WEEKNUM(orders[[#This Row],[Order Date]])</f>
        <v>12</v>
      </c>
      <c r="O2077" t="str" cm="1">
        <f t="array" ref="O2077">_xlfn.IFS(orders[[#This Row],[Customer Gender]]="M","Male", orders[[#This Row],[Customer Gender]]="F","Female", orders[[#This Row],[Customer Gender]]="O","Other", TRUE,"Unknown")</f>
        <v>Male</v>
      </c>
    </row>
    <row r="2078" spans="1:15" x14ac:dyDescent="0.3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1">
        <v>45734</v>
      </c>
      <c r="G2078" s="1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f>orders[[#This Row],[Ship Date]]-orders[[#This Row],[Order Date]]</f>
        <v>2</v>
      </c>
      <c r="N2078">
        <f>WEEKNUM(orders[[#This Row],[Order Date]])</f>
        <v>12</v>
      </c>
      <c r="O2078" t="str" cm="1">
        <f t="array" ref="O2078">_xlfn.IFS(orders[[#This Row],[Customer Gender]]="M","Male", orders[[#This Row],[Customer Gender]]="F","Female", orders[[#This Row],[Customer Gender]]="O","Other", TRUE,"Unknown")</f>
        <v>Female</v>
      </c>
    </row>
    <row r="2079" spans="1:15" x14ac:dyDescent="0.3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1">
        <v>45734</v>
      </c>
      <c r="G2079" s="1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f>orders[[#This Row],[Ship Date]]-orders[[#This Row],[Order Date]]</f>
        <v>2</v>
      </c>
      <c r="N2079">
        <f>WEEKNUM(orders[[#This Row],[Order Date]])</f>
        <v>12</v>
      </c>
      <c r="O2079" t="str" cm="1">
        <f t="array" ref="O2079">_xlfn.IFS(orders[[#This Row],[Customer Gender]]="M","Male", orders[[#This Row],[Customer Gender]]="F","Female", orders[[#This Row],[Customer Gender]]="O","Other", TRUE,"Unknown")</f>
        <v>Male</v>
      </c>
    </row>
    <row r="2080" spans="1:15" x14ac:dyDescent="0.3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1">
        <v>45734</v>
      </c>
      <c r="G2080" s="1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f>orders[[#This Row],[Ship Date]]-orders[[#This Row],[Order Date]]</f>
        <v>1</v>
      </c>
      <c r="N2080">
        <f>WEEKNUM(orders[[#This Row],[Order Date]])</f>
        <v>12</v>
      </c>
      <c r="O2080" t="str" cm="1">
        <f t="array" ref="O2080">_xlfn.IFS(orders[[#This Row],[Customer Gender]]="M","Male", orders[[#This Row],[Customer Gender]]="F","Female", orders[[#This Row],[Customer Gender]]="O","Other", TRUE,"Unknown")</f>
        <v>Female</v>
      </c>
    </row>
    <row r="2081" spans="1:15" x14ac:dyDescent="0.3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1">
        <v>45734</v>
      </c>
      <c r="G2081" s="1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f>orders[[#This Row],[Ship Date]]-orders[[#This Row],[Order Date]]</f>
        <v>1</v>
      </c>
      <c r="N2081">
        <f>WEEKNUM(orders[[#This Row],[Order Date]])</f>
        <v>12</v>
      </c>
      <c r="O2081" t="str" cm="1">
        <f t="array" ref="O2081">_xlfn.IFS(orders[[#This Row],[Customer Gender]]="M","Male", orders[[#This Row],[Customer Gender]]="F","Female", orders[[#This Row],[Customer Gender]]="O","Other", TRUE,"Unknown")</f>
        <v>Male</v>
      </c>
    </row>
    <row r="2082" spans="1:15" x14ac:dyDescent="0.3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1">
        <v>45734</v>
      </c>
      <c r="G2082" s="1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f>orders[[#This Row],[Ship Date]]-orders[[#This Row],[Order Date]]</f>
        <v>3</v>
      </c>
      <c r="N2082">
        <f>WEEKNUM(orders[[#This Row],[Order Date]])</f>
        <v>12</v>
      </c>
      <c r="O2082" t="str" cm="1">
        <f t="array" ref="O2082">_xlfn.IFS(orders[[#This Row],[Customer Gender]]="M","Male", orders[[#This Row],[Customer Gender]]="F","Female", orders[[#This Row],[Customer Gender]]="O","Other", TRUE,"Unknown")</f>
        <v>Male</v>
      </c>
    </row>
    <row r="2083" spans="1:15" x14ac:dyDescent="0.3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1">
        <v>45734</v>
      </c>
      <c r="G2083" s="1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f>orders[[#This Row],[Ship Date]]-orders[[#This Row],[Order Date]]</f>
        <v>2</v>
      </c>
      <c r="N2083">
        <f>WEEKNUM(orders[[#This Row],[Order Date]])</f>
        <v>12</v>
      </c>
      <c r="O2083" t="str" cm="1">
        <f t="array" ref="O2083">_xlfn.IFS(orders[[#This Row],[Customer Gender]]="M","Male", orders[[#This Row],[Customer Gender]]="F","Female", orders[[#This Row],[Customer Gender]]="O","Other", TRUE,"Unknown")</f>
        <v>Female</v>
      </c>
    </row>
    <row r="2084" spans="1:15" x14ac:dyDescent="0.3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1">
        <v>45734</v>
      </c>
      <c r="G2084" s="1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f>orders[[#This Row],[Ship Date]]-orders[[#This Row],[Order Date]]</f>
        <v>4</v>
      </c>
      <c r="N2084">
        <f>WEEKNUM(orders[[#This Row],[Order Date]])</f>
        <v>12</v>
      </c>
      <c r="O2084" t="str" cm="1">
        <f t="array" ref="O2084">_xlfn.IFS(orders[[#This Row],[Customer Gender]]="M","Male", orders[[#This Row],[Customer Gender]]="F","Female", orders[[#This Row],[Customer Gender]]="O","Other", TRUE,"Unknown")</f>
        <v>Other</v>
      </c>
    </row>
    <row r="2085" spans="1:15" x14ac:dyDescent="0.3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1">
        <v>45734</v>
      </c>
      <c r="G2085" s="1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f>orders[[#This Row],[Ship Date]]-orders[[#This Row],[Order Date]]</f>
        <v>7</v>
      </c>
      <c r="N2085">
        <f>WEEKNUM(orders[[#This Row],[Order Date]])</f>
        <v>12</v>
      </c>
      <c r="O2085" t="str" cm="1">
        <f t="array" ref="O2085">_xlfn.IFS(orders[[#This Row],[Customer Gender]]="M","Male", orders[[#This Row],[Customer Gender]]="F","Female", orders[[#This Row],[Customer Gender]]="O","Other", TRUE,"Unknown")</f>
        <v>Female</v>
      </c>
    </row>
    <row r="2086" spans="1:15" x14ac:dyDescent="0.3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1">
        <v>45734</v>
      </c>
      <c r="G2086" s="1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f>orders[[#This Row],[Ship Date]]-orders[[#This Row],[Order Date]]</f>
        <v>1</v>
      </c>
      <c r="N2086">
        <f>WEEKNUM(orders[[#This Row],[Order Date]])</f>
        <v>12</v>
      </c>
      <c r="O2086" t="str" cm="1">
        <f t="array" ref="O2086">_xlfn.IFS(orders[[#This Row],[Customer Gender]]="M","Male", orders[[#This Row],[Customer Gender]]="F","Female", orders[[#This Row],[Customer Gender]]="O","Other", TRUE,"Unknown")</f>
        <v>Female</v>
      </c>
    </row>
    <row r="2087" spans="1:15" x14ac:dyDescent="0.3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1">
        <v>45734</v>
      </c>
      <c r="G2087" s="1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f>orders[[#This Row],[Ship Date]]-orders[[#This Row],[Order Date]]</f>
        <v>2</v>
      </c>
      <c r="N2087">
        <f>WEEKNUM(orders[[#This Row],[Order Date]])</f>
        <v>12</v>
      </c>
      <c r="O2087" t="str" cm="1">
        <f t="array" ref="O2087">_xlfn.IFS(orders[[#This Row],[Customer Gender]]="M","Male", orders[[#This Row],[Customer Gender]]="F","Female", orders[[#This Row],[Customer Gender]]="O","Other", TRUE,"Unknown")</f>
        <v>Female</v>
      </c>
    </row>
    <row r="2088" spans="1:15" x14ac:dyDescent="0.3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1">
        <v>45734</v>
      </c>
      <c r="G2088" s="1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f>orders[[#This Row],[Ship Date]]-orders[[#This Row],[Order Date]]</f>
        <v>1</v>
      </c>
      <c r="N2088">
        <f>WEEKNUM(orders[[#This Row],[Order Date]])</f>
        <v>12</v>
      </c>
      <c r="O2088" t="str" cm="1">
        <f t="array" ref="O2088">_xlfn.IFS(orders[[#This Row],[Customer Gender]]="M","Male", orders[[#This Row],[Customer Gender]]="F","Female", orders[[#This Row],[Customer Gender]]="O","Other", TRUE,"Unknown")</f>
        <v>Female</v>
      </c>
    </row>
    <row r="2089" spans="1:15" x14ac:dyDescent="0.3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1">
        <v>45734</v>
      </c>
      <c r="G2089" s="1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f>orders[[#This Row],[Ship Date]]-orders[[#This Row],[Order Date]]</f>
        <v>3</v>
      </c>
      <c r="N2089">
        <f>WEEKNUM(orders[[#This Row],[Order Date]])</f>
        <v>12</v>
      </c>
      <c r="O2089" t="str" cm="1">
        <f t="array" ref="O2089">_xlfn.IFS(orders[[#This Row],[Customer Gender]]="M","Male", orders[[#This Row],[Customer Gender]]="F","Female", orders[[#This Row],[Customer Gender]]="O","Other", TRUE,"Unknown")</f>
        <v>Male</v>
      </c>
    </row>
    <row r="2090" spans="1:15" x14ac:dyDescent="0.3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1">
        <v>45734</v>
      </c>
      <c r="G2090" s="1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f>orders[[#This Row],[Ship Date]]-orders[[#This Row],[Order Date]]</f>
        <v>4</v>
      </c>
      <c r="N2090">
        <f>WEEKNUM(orders[[#This Row],[Order Date]])</f>
        <v>12</v>
      </c>
      <c r="O2090" t="str" cm="1">
        <f t="array" ref="O2090">_xlfn.IFS(orders[[#This Row],[Customer Gender]]="M","Male", orders[[#This Row],[Customer Gender]]="F","Female", orders[[#This Row],[Customer Gender]]="O","Other", TRUE,"Unknown")</f>
        <v>Male</v>
      </c>
    </row>
    <row r="2091" spans="1:15" x14ac:dyDescent="0.3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1">
        <v>45734</v>
      </c>
      <c r="G2091" s="1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f>orders[[#This Row],[Ship Date]]-orders[[#This Row],[Order Date]]</f>
        <v>2</v>
      </c>
      <c r="N2091">
        <f>WEEKNUM(orders[[#This Row],[Order Date]])</f>
        <v>12</v>
      </c>
      <c r="O2091" t="str" cm="1">
        <f t="array" ref="O2091">_xlfn.IFS(orders[[#This Row],[Customer Gender]]="M","Male", orders[[#This Row],[Customer Gender]]="F","Female", orders[[#This Row],[Customer Gender]]="O","Other", TRUE,"Unknown")</f>
        <v>Male</v>
      </c>
    </row>
    <row r="2092" spans="1:15" x14ac:dyDescent="0.3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1">
        <v>45734</v>
      </c>
      <c r="G2092" s="1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f>orders[[#This Row],[Ship Date]]-orders[[#This Row],[Order Date]]</f>
        <v>4</v>
      </c>
      <c r="N2092">
        <f>WEEKNUM(orders[[#This Row],[Order Date]])</f>
        <v>12</v>
      </c>
      <c r="O2092" t="str" cm="1">
        <f t="array" ref="O2092">_xlfn.IFS(orders[[#This Row],[Customer Gender]]="M","Male", orders[[#This Row],[Customer Gender]]="F","Female", orders[[#This Row],[Customer Gender]]="O","Other", TRUE,"Unknown")</f>
        <v>Female</v>
      </c>
    </row>
    <row r="2093" spans="1:15" x14ac:dyDescent="0.3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1">
        <v>45734</v>
      </c>
      <c r="G2093" s="1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f>orders[[#This Row],[Ship Date]]-orders[[#This Row],[Order Date]]</f>
        <v>4</v>
      </c>
      <c r="N2093">
        <f>WEEKNUM(orders[[#This Row],[Order Date]])</f>
        <v>12</v>
      </c>
      <c r="O2093" t="str" cm="1">
        <f t="array" ref="O2093">_xlfn.IFS(orders[[#This Row],[Customer Gender]]="M","Male", orders[[#This Row],[Customer Gender]]="F","Female", orders[[#This Row],[Customer Gender]]="O","Other", TRUE,"Unknown")</f>
        <v>Male</v>
      </c>
    </row>
    <row r="2094" spans="1:15" x14ac:dyDescent="0.3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1">
        <v>45734</v>
      </c>
      <c r="G2094" s="1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f>orders[[#This Row],[Ship Date]]-orders[[#This Row],[Order Date]]</f>
        <v>1</v>
      </c>
      <c r="N2094">
        <f>WEEKNUM(orders[[#This Row],[Order Date]])</f>
        <v>12</v>
      </c>
      <c r="O2094" t="str" cm="1">
        <f t="array" ref="O2094">_xlfn.IFS(orders[[#This Row],[Customer Gender]]="M","Male", orders[[#This Row],[Customer Gender]]="F","Female", orders[[#This Row],[Customer Gender]]="O","Other", TRUE,"Unknown")</f>
        <v>Male</v>
      </c>
    </row>
    <row r="2095" spans="1:15" x14ac:dyDescent="0.3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1">
        <v>45734</v>
      </c>
      <c r="G2095" s="1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f>orders[[#This Row],[Ship Date]]-orders[[#This Row],[Order Date]]</f>
        <v>3</v>
      </c>
      <c r="N2095">
        <f>WEEKNUM(orders[[#This Row],[Order Date]])</f>
        <v>12</v>
      </c>
      <c r="O2095" t="str" cm="1">
        <f t="array" ref="O2095">_xlfn.IFS(orders[[#This Row],[Customer Gender]]="M","Male", orders[[#This Row],[Customer Gender]]="F","Female", orders[[#This Row],[Customer Gender]]="O","Other", TRUE,"Unknown")</f>
        <v>Male</v>
      </c>
    </row>
    <row r="2096" spans="1:15" x14ac:dyDescent="0.3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1">
        <v>45734</v>
      </c>
      <c r="G2096" s="1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f>orders[[#This Row],[Ship Date]]-orders[[#This Row],[Order Date]]</f>
        <v>3</v>
      </c>
      <c r="N2096">
        <f>WEEKNUM(orders[[#This Row],[Order Date]])</f>
        <v>12</v>
      </c>
      <c r="O2096" t="str" cm="1">
        <f t="array" ref="O2096">_xlfn.IFS(orders[[#This Row],[Customer Gender]]="M","Male", orders[[#This Row],[Customer Gender]]="F","Female", orders[[#This Row],[Customer Gender]]="O","Other", TRUE,"Unknown")</f>
        <v>Female</v>
      </c>
    </row>
    <row r="2097" spans="1:15" x14ac:dyDescent="0.3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1">
        <v>45734</v>
      </c>
      <c r="G2097" s="1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f>orders[[#This Row],[Ship Date]]-orders[[#This Row],[Order Date]]</f>
        <v>0</v>
      </c>
      <c r="N2097">
        <f>WEEKNUM(orders[[#This Row],[Order Date]])</f>
        <v>12</v>
      </c>
      <c r="O2097" t="str" cm="1">
        <f t="array" ref="O2097">_xlfn.IFS(orders[[#This Row],[Customer Gender]]="M","Male", orders[[#This Row],[Customer Gender]]="F","Female", orders[[#This Row],[Customer Gender]]="O","Other", TRUE,"Unknown")</f>
        <v>Male</v>
      </c>
    </row>
    <row r="2098" spans="1:15" x14ac:dyDescent="0.3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1">
        <v>45735</v>
      </c>
      <c r="G2098" s="1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f>orders[[#This Row],[Ship Date]]-orders[[#This Row],[Order Date]]</f>
        <v>1</v>
      </c>
      <c r="N2098">
        <f>WEEKNUM(orders[[#This Row],[Order Date]])</f>
        <v>12</v>
      </c>
      <c r="O2098" t="str" cm="1">
        <f t="array" ref="O2098">_xlfn.IFS(orders[[#This Row],[Customer Gender]]="M","Male", orders[[#This Row],[Customer Gender]]="F","Female", orders[[#This Row],[Customer Gender]]="O","Other", TRUE,"Unknown")</f>
        <v>Female</v>
      </c>
    </row>
    <row r="2099" spans="1:15" x14ac:dyDescent="0.3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1">
        <v>45735</v>
      </c>
      <c r="G2099" s="1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f>orders[[#This Row],[Ship Date]]-orders[[#This Row],[Order Date]]</f>
        <v>1</v>
      </c>
      <c r="N2099">
        <f>WEEKNUM(orders[[#This Row],[Order Date]])</f>
        <v>12</v>
      </c>
      <c r="O2099" t="str" cm="1">
        <f t="array" ref="O2099">_xlfn.IFS(orders[[#This Row],[Customer Gender]]="M","Male", orders[[#This Row],[Customer Gender]]="F","Female", orders[[#This Row],[Customer Gender]]="O","Other", TRUE,"Unknown")</f>
        <v>Male</v>
      </c>
    </row>
    <row r="2100" spans="1:15" x14ac:dyDescent="0.3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1">
        <v>45735</v>
      </c>
      <c r="G2100" s="1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f>orders[[#This Row],[Ship Date]]-orders[[#This Row],[Order Date]]</f>
        <v>1</v>
      </c>
      <c r="N2100">
        <f>WEEKNUM(orders[[#This Row],[Order Date]])</f>
        <v>12</v>
      </c>
      <c r="O2100" t="str" cm="1">
        <f t="array" ref="O2100">_xlfn.IFS(orders[[#This Row],[Customer Gender]]="M","Male", orders[[#This Row],[Customer Gender]]="F","Female", orders[[#This Row],[Customer Gender]]="O","Other", TRUE,"Unknown")</f>
        <v>Male</v>
      </c>
    </row>
    <row r="2101" spans="1:15" x14ac:dyDescent="0.3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1">
        <v>45735</v>
      </c>
      <c r="G2101" s="1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f>orders[[#This Row],[Ship Date]]-orders[[#This Row],[Order Date]]</f>
        <v>1</v>
      </c>
      <c r="N2101">
        <f>WEEKNUM(orders[[#This Row],[Order Date]])</f>
        <v>12</v>
      </c>
      <c r="O2101" t="str" cm="1">
        <f t="array" ref="O2101">_xlfn.IFS(orders[[#This Row],[Customer Gender]]="M","Male", orders[[#This Row],[Customer Gender]]="F","Female", orders[[#This Row],[Customer Gender]]="O","Other", TRUE,"Unknown")</f>
        <v>Male</v>
      </c>
    </row>
    <row r="2102" spans="1:15" x14ac:dyDescent="0.3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1">
        <v>45735</v>
      </c>
      <c r="G2102" s="1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f>orders[[#This Row],[Ship Date]]-orders[[#This Row],[Order Date]]</f>
        <v>1</v>
      </c>
      <c r="N2102">
        <f>WEEKNUM(orders[[#This Row],[Order Date]])</f>
        <v>12</v>
      </c>
      <c r="O2102" t="str" cm="1">
        <f t="array" ref="O2102">_xlfn.IFS(orders[[#This Row],[Customer Gender]]="M","Male", orders[[#This Row],[Customer Gender]]="F","Female", orders[[#This Row],[Customer Gender]]="O","Other", TRUE,"Unknown")</f>
        <v>Female</v>
      </c>
    </row>
    <row r="2103" spans="1:15" x14ac:dyDescent="0.3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1">
        <v>45735</v>
      </c>
      <c r="G2103" s="1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f>orders[[#This Row],[Ship Date]]-orders[[#This Row],[Order Date]]</f>
        <v>1</v>
      </c>
      <c r="N2103">
        <f>WEEKNUM(orders[[#This Row],[Order Date]])</f>
        <v>12</v>
      </c>
      <c r="O2103" t="str" cm="1">
        <f t="array" ref="O2103">_xlfn.IFS(orders[[#This Row],[Customer Gender]]="M","Male", orders[[#This Row],[Customer Gender]]="F","Female", orders[[#This Row],[Customer Gender]]="O","Other", TRUE,"Unknown")</f>
        <v>Male</v>
      </c>
    </row>
    <row r="2104" spans="1:15" x14ac:dyDescent="0.3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1">
        <v>45735</v>
      </c>
      <c r="G2104" s="1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f>orders[[#This Row],[Ship Date]]-orders[[#This Row],[Order Date]]</f>
        <v>1</v>
      </c>
      <c r="N2104">
        <f>WEEKNUM(orders[[#This Row],[Order Date]])</f>
        <v>12</v>
      </c>
      <c r="O2104" t="str" cm="1">
        <f t="array" ref="O2104">_xlfn.IFS(orders[[#This Row],[Customer Gender]]="M","Male", orders[[#This Row],[Customer Gender]]="F","Female", orders[[#This Row],[Customer Gender]]="O","Other", TRUE,"Unknown")</f>
        <v>Female</v>
      </c>
    </row>
    <row r="2105" spans="1:15" x14ac:dyDescent="0.3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1">
        <v>45735</v>
      </c>
      <c r="G2105" s="1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f>orders[[#This Row],[Ship Date]]-orders[[#This Row],[Order Date]]</f>
        <v>2</v>
      </c>
      <c r="N2105">
        <f>WEEKNUM(orders[[#This Row],[Order Date]])</f>
        <v>12</v>
      </c>
      <c r="O2105" t="str" cm="1">
        <f t="array" ref="O2105">_xlfn.IFS(orders[[#This Row],[Customer Gender]]="M","Male", orders[[#This Row],[Customer Gender]]="F","Female", orders[[#This Row],[Customer Gender]]="O","Other", TRUE,"Unknown")</f>
        <v>Female</v>
      </c>
    </row>
    <row r="2106" spans="1:15" x14ac:dyDescent="0.3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1">
        <v>45735</v>
      </c>
      <c r="G2106" s="1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f>orders[[#This Row],[Ship Date]]-orders[[#This Row],[Order Date]]</f>
        <v>4</v>
      </c>
      <c r="N2106">
        <f>WEEKNUM(orders[[#This Row],[Order Date]])</f>
        <v>12</v>
      </c>
      <c r="O2106" t="str" cm="1">
        <f t="array" ref="O2106">_xlfn.IFS(orders[[#This Row],[Customer Gender]]="M","Male", orders[[#This Row],[Customer Gender]]="F","Female", orders[[#This Row],[Customer Gender]]="O","Other", TRUE,"Unknown")</f>
        <v>Female</v>
      </c>
    </row>
    <row r="2107" spans="1:15" x14ac:dyDescent="0.3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1">
        <v>45735</v>
      </c>
      <c r="G2107" s="1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f>orders[[#This Row],[Ship Date]]-orders[[#This Row],[Order Date]]</f>
        <v>2</v>
      </c>
      <c r="N2107">
        <f>WEEKNUM(orders[[#This Row],[Order Date]])</f>
        <v>12</v>
      </c>
      <c r="O2107" t="str" cm="1">
        <f t="array" ref="O2107">_xlfn.IFS(orders[[#This Row],[Customer Gender]]="M","Male", orders[[#This Row],[Customer Gender]]="F","Female", orders[[#This Row],[Customer Gender]]="O","Other", TRUE,"Unknown")</f>
        <v>Female</v>
      </c>
    </row>
    <row r="2108" spans="1:15" x14ac:dyDescent="0.3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1">
        <v>45735</v>
      </c>
      <c r="G2108" s="1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f>orders[[#This Row],[Ship Date]]-orders[[#This Row],[Order Date]]</f>
        <v>1</v>
      </c>
      <c r="N2108">
        <f>WEEKNUM(orders[[#This Row],[Order Date]])</f>
        <v>12</v>
      </c>
      <c r="O2108" t="str" cm="1">
        <f t="array" ref="O2108">_xlfn.IFS(orders[[#This Row],[Customer Gender]]="M","Male", orders[[#This Row],[Customer Gender]]="F","Female", orders[[#This Row],[Customer Gender]]="O","Other", TRUE,"Unknown")</f>
        <v>Male</v>
      </c>
    </row>
    <row r="2109" spans="1:15" x14ac:dyDescent="0.3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1">
        <v>45735</v>
      </c>
      <c r="G2109" s="1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f>orders[[#This Row],[Ship Date]]-orders[[#This Row],[Order Date]]</f>
        <v>4</v>
      </c>
      <c r="N2109">
        <f>WEEKNUM(orders[[#This Row],[Order Date]])</f>
        <v>12</v>
      </c>
      <c r="O2109" t="str" cm="1">
        <f t="array" ref="O2109">_xlfn.IFS(orders[[#This Row],[Customer Gender]]="M","Male", orders[[#This Row],[Customer Gender]]="F","Female", orders[[#This Row],[Customer Gender]]="O","Other", TRUE,"Unknown")</f>
        <v>Female</v>
      </c>
    </row>
    <row r="2110" spans="1:15" x14ac:dyDescent="0.3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1">
        <v>45735</v>
      </c>
      <c r="G2110" s="1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f>orders[[#This Row],[Ship Date]]-orders[[#This Row],[Order Date]]</f>
        <v>1</v>
      </c>
      <c r="N2110">
        <f>WEEKNUM(orders[[#This Row],[Order Date]])</f>
        <v>12</v>
      </c>
      <c r="O2110" t="str" cm="1">
        <f t="array" ref="O2110">_xlfn.IFS(orders[[#This Row],[Customer Gender]]="M","Male", orders[[#This Row],[Customer Gender]]="F","Female", orders[[#This Row],[Customer Gender]]="O","Other", TRUE,"Unknown")</f>
        <v>Male</v>
      </c>
    </row>
    <row r="2111" spans="1:15" x14ac:dyDescent="0.3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1">
        <v>45735</v>
      </c>
      <c r="G2111" s="1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f>orders[[#This Row],[Ship Date]]-orders[[#This Row],[Order Date]]</f>
        <v>2</v>
      </c>
      <c r="N2111">
        <f>WEEKNUM(orders[[#This Row],[Order Date]])</f>
        <v>12</v>
      </c>
      <c r="O2111" t="str" cm="1">
        <f t="array" ref="O2111">_xlfn.IFS(orders[[#This Row],[Customer Gender]]="M","Male", orders[[#This Row],[Customer Gender]]="F","Female", orders[[#This Row],[Customer Gender]]="O","Other", TRUE,"Unknown")</f>
        <v>Male</v>
      </c>
    </row>
    <row r="2112" spans="1:15" x14ac:dyDescent="0.3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1">
        <v>45735</v>
      </c>
      <c r="G2112" s="1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f>orders[[#This Row],[Ship Date]]-orders[[#This Row],[Order Date]]</f>
        <v>1</v>
      </c>
      <c r="N2112">
        <f>WEEKNUM(orders[[#This Row],[Order Date]])</f>
        <v>12</v>
      </c>
      <c r="O2112" t="str" cm="1">
        <f t="array" ref="O2112">_xlfn.IFS(orders[[#This Row],[Customer Gender]]="M","Male", orders[[#This Row],[Customer Gender]]="F","Female", orders[[#This Row],[Customer Gender]]="O","Other", TRUE,"Unknown")</f>
        <v>Female</v>
      </c>
    </row>
    <row r="2113" spans="1:15" x14ac:dyDescent="0.3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1">
        <v>45735</v>
      </c>
      <c r="G2113" s="1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f>orders[[#This Row],[Ship Date]]-orders[[#This Row],[Order Date]]</f>
        <v>1</v>
      </c>
      <c r="N2113">
        <f>WEEKNUM(orders[[#This Row],[Order Date]])</f>
        <v>12</v>
      </c>
      <c r="O2113" t="str" cm="1">
        <f t="array" ref="O2113">_xlfn.IFS(orders[[#This Row],[Customer Gender]]="M","Male", orders[[#This Row],[Customer Gender]]="F","Female", orders[[#This Row],[Customer Gender]]="O","Other", TRUE,"Unknown")</f>
        <v>Other</v>
      </c>
    </row>
    <row r="2114" spans="1:15" x14ac:dyDescent="0.3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1">
        <v>45735</v>
      </c>
      <c r="G2114" s="1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f>orders[[#This Row],[Ship Date]]-orders[[#This Row],[Order Date]]</f>
        <v>1</v>
      </c>
      <c r="N2114">
        <f>WEEKNUM(orders[[#This Row],[Order Date]])</f>
        <v>12</v>
      </c>
      <c r="O2114" t="str" cm="1">
        <f t="array" ref="O2114">_xlfn.IFS(orders[[#This Row],[Customer Gender]]="M","Male", orders[[#This Row],[Customer Gender]]="F","Female", orders[[#This Row],[Customer Gender]]="O","Other", TRUE,"Unknown")</f>
        <v>Male</v>
      </c>
    </row>
    <row r="2115" spans="1:15" x14ac:dyDescent="0.3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1">
        <v>45735</v>
      </c>
      <c r="G2115" s="1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f>orders[[#This Row],[Ship Date]]-orders[[#This Row],[Order Date]]</f>
        <v>3</v>
      </c>
      <c r="N2115">
        <f>WEEKNUM(orders[[#This Row],[Order Date]])</f>
        <v>12</v>
      </c>
      <c r="O2115" t="str" cm="1">
        <f t="array" ref="O2115">_xlfn.IFS(orders[[#This Row],[Customer Gender]]="M","Male", orders[[#This Row],[Customer Gender]]="F","Female", orders[[#This Row],[Customer Gender]]="O","Other", TRUE,"Unknown")</f>
        <v>Female</v>
      </c>
    </row>
    <row r="2116" spans="1:15" x14ac:dyDescent="0.3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1">
        <v>45735</v>
      </c>
      <c r="G2116" s="1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f>orders[[#This Row],[Ship Date]]-orders[[#This Row],[Order Date]]</f>
        <v>5</v>
      </c>
      <c r="N2116">
        <f>WEEKNUM(orders[[#This Row],[Order Date]])</f>
        <v>12</v>
      </c>
      <c r="O2116" t="str" cm="1">
        <f t="array" ref="O2116">_xlfn.IFS(orders[[#This Row],[Customer Gender]]="M","Male", orders[[#This Row],[Customer Gender]]="F","Female", orders[[#This Row],[Customer Gender]]="O","Other", TRUE,"Unknown")</f>
        <v>Female</v>
      </c>
    </row>
    <row r="2117" spans="1:15" x14ac:dyDescent="0.3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1">
        <v>45735</v>
      </c>
      <c r="G2117" s="1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f>orders[[#This Row],[Ship Date]]-orders[[#This Row],[Order Date]]</f>
        <v>1</v>
      </c>
      <c r="N2117">
        <f>WEEKNUM(orders[[#This Row],[Order Date]])</f>
        <v>12</v>
      </c>
      <c r="O2117" t="str" cm="1">
        <f t="array" ref="O2117">_xlfn.IFS(orders[[#This Row],[Customer Gender]]="M","Male", orders[[#This Row],[Customer Gender]]="F","Female", orders[[#This Row],[Customer Gender]]="O","Other", TRUE,"Unknown")</f>
        <v>Female</v>
      </c>
    </row>
    <row r="2118" spans="1:15" x14ac:dyDescent="0.3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1">
        <v>45735</v>
      </c>
      <c r="G2118" s="1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f>orders[[#This Row],[Ship Date]]-orders[[#This Row],[Order Date]]</f>
        <v>4</v>
      </c>
      <c r="N2118">
        <f>WEEKNUM(orders[[#This Row],[Order Date]])</f>
        <v>12</v>
      </c>
      <c r="O2118" t="str" cm="1">
        <f t="array" ref="O2118">_xlfn.IFS(orders[[#This Row],[Customer Gender]]="M","Male", orders[[#This Row],[Customer Gender]]="F","Female", orders[[#This Row],[Customer Gender]]="O","Other", TRUE,"Unknown")</f>
        <v>Male</v>
      </c>
    </row>
    <row r="2119" spans="1:15" x14ac:dyDescent="0.3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1">
        <v>45735</v>
      </c>
      <c r="G2119" s="1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f>orders[[#This Row],[Ship Date]]-orders[[#This Row],[Order Date]]</f>
        <v>1</v>
      </c>
      <c r="N2119">
        <f>WEEKNUM(orders[[#This Row],[Order Date]])</f>
        <v>12</v>
      </c>
      <c r="O2119" t="str" cm="1">
        <f t="array" ref="O2119">_xlfn.IFS(orders[[#This Row],[Customer Gender]]="M","Male", orders[[#This Row],[Customer Gender]]="F","Female", orders[[#This Row],[Customer Gender]]="O","Other", TRUE,"Unknown")</f>
        <v>Male</v>
      </c>
    </row>
    <row r="2120" spans="1:15" x14ac:dyDescent="0.3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1">
        <v>45735</v>
      </c>
      <c r="G2120" s="1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f>orders[[#This Row],[Ship Date]]-orders[[#This Row],[Order Date]]</f>
        <v>1</v>
      </c>
      <c r="N2120">
        <f>WEEKNUM(orders[[#This Row],[Order Date]])</f>
        <v>12</v>
      </c>
      <c r="O2120" t="str" cm="1">
        <f t="array" ref="O2120">_xlfn.IFS(orders[[#This Row],[Customer Gender]]="M","Male", orders[[#This Row],[Customer Gender]]="F","Female", orders[[#This Row],[Customer Gender]]="O","Other", TRUE,"Unknown")</f>
        <v>Male</v>
      </c>
    </row>
    <row r="2121" spans="1:15" x14ac:dyDescent="0.3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1">
        <v>45735</v>
      </c>
      <c r="G2121" s="1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f>orders[[#This Row],[Ship Date]]-orders[[#This Row],[Order Date]]</f>
        <v>0</v>
      </c>
      <c r="N2121">
        <f>WEEKNUM(orders[[#This Row],[Order Date]])</f>
        <v>12</v>
      </c>
      <c r="O2121" t="str" cm="1">
        <f t="array" ref="O2121">_xlfn.IFS(orders[[#This Row],[Customer Gender]]="M","Male", orders[[#This Row],[Customer Gender]]="F","Female", orders[[#This Row],[Customer Gender]]="O","Other", TRUE,"Unknown")</f>
        <v>Male</v>
      </c>
    </row>
    <row r="2122" spans="1:15" x14ac:dyDescent="0.3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1">
        <v>45735</v>
      </c>
      <c r="G2122" s="1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f>orders[[#This Row],[Ship Date]]-orders[[#This Row],[Order Date]]</f>
        <v>1</v>
      </c>
      <c r="N2122">
        <f>WEEKNUM(orders[[#This Row],[Order Date]])</f>
        <v>12</v>
      </c>
      <c r="O2122" t="str" cm="1">
        <f t="array" ref="O2122">_xlfn.IFS(orders[[#This Row],[Customer Gender]]="M","Male", orders[[#This Row],[Customer Gender]]="F","Female", orders[[#This Row],[Customer Gender]]="O","Other", TRUE,"Unknown")</f>
        <v>Female</v>
      </c>
    </row>
    <row r="2123" spans="1:15" x14ac:dyDescent="0.3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1">
        <v>45735</v>
      </c>
      <c r="G2123" s="1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f>orders[[#This Row],[Ship Date]]-orders[[#This Row],[Order Date]]</f>
        <v>13</v>
      </c>
      <c r="N2123">
        <f>WEEKNUM(orders[[#This Row],[Order Date]])</f>
        <v>12</v>
      </c>
      <c r="O2123" t="str" cm="1">
        <f t="array" ref="O2123">_xlfn.IFS(orders[[#This Row],[Customer Gender]]="M","Male", orders[[#This Row],[Customer Gender]]="F","Female", orders[[#This Row],[Customer Gender]]="O","Other", TRUE,"Unknown")</f>
        <v>Female</v>
      </c>
    </row>
    <row r="2124" spans="1:15" x14ac:dyDescent="0.3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1">
        <v>45735</v>
      </c>
      <c r="G2124" s="1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f>orders[[#This Row],[Ship Date]]-orders[[#This Row],[Order Date]]</f>
        <v>1</v>
      </c>
      <c r="N2124">
        <f>WEEKNUM(orders[[#This Row],[Order Date]])</f>
        <v>12</v>
      </c>
      <c r="O2124" t="str" cm="1">
        <f t="array" ref="O2124">_xlfn.IFS(orders[[#This Row],[Customer Gender]]="M","Male", orders[[#This Row],[Customer Gender]]="F","Female", orders[[#This Row],[Customer Gender]]="O","Other", TRUE,"Unknown")</f>
        <v>Unknown</v>
      </c>
    </row>
    <row r="2125" spans="1:15" x14ac:dyDescent="0.3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1">
        <v>45735</v>
      </c>
      <c r="G2125" s="1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f>orders[[#This Row],[Ship Date]]-orders[[#This Row],[Order Date]]</f>
        <v>1</v>
      </c>
      <c r="N2125">
        <f>WEEKNUM(orders[[#This Row],[Order Date]])</f>
        <v>12</v>
      </c>
      <c r="O2125" t="str" cm="1">
        <f t="array" ref="O2125">_xlfn.IFS(orders[[#This Row],[Customer Gender]]="M","Male", orders[[#This Row],[Customer Gender]]="F","Female", orders[[#This Row],[Customer Gender]]="O","Other", TRUE,"Unknown")</f>
        <v>Male</v>
      </c>
    </row>
    <row r="2126" spans="1:15" x14ac:dyDescent="0.3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1">
        <v>45735</v>
      </c>
      <c r="G2126" s="1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f>orders[[#This Row],[Ship Date]]-orders[[#This Row],[Order Date]]</f>
        <v>3</v>
      </c>
      <c r="N2126">
        <f>WEEKNUM(orders[[#This Row],[Order Date]])</f>
        <v>12</v>
      </c>
      <c r="O2126" t="str" cm="1">
        <f t="array" ref="O2126">_xlfn.IFS(orders[[#This Row],[Customer Gender]]="M","Male", orders[[#This Row],[Customer Gender]]="F","Female", orders[[#This Row],[Customer Gender]]="O","Other", TRUE,"Unknown")</f>
        <v>Female</v>
      </c>
    </row>
    <row r="2127" spans="1:15" x14ac:dyDescent="0.3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1">
        <v>45735</v>
      </c>
      <c r="G2127" s="1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f>orders[[#This Row],[Ship Date]]-orders[[#This Row],[Order Date]]</f>
        <v>3</v>
      </c>
      <c r="N2127">
        <f>WEEKNUM(orders[[#This Row],[Order Date]])</f>
        <v>12</v>
      </c>
      <c r="O2127" t="str" cm="1">
        <f t="array" ref="O2127">_xlfn.IFS(orders[[#This Row],[Customer Gender]]="M","Male", orders[[#This Row],[Customer Gender]]="F","Female", orders[[#This Row],[Customer Gender]]="O","Other", TRUE,"Unknown")</f>
        <v>Female</v>
      </c>
    </row>
    <row r="2128" spans="1:15" x14ac:dyDescent="0.3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1">
        <v>45735</v>
      </c>
      <c r="G2128" s="1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f>orders[[#This Row],[Ship Date]]-orders[[#This Row],[Order Date]]</f>
        <v>0</v>
      </c>
      <c r="N2128">
        <f>WEEKNUM(orders[[#This Row],[Order Date]])</f>
        <v>12</v>
      </c>
      <c r="O2128" t="str" cm="1">
        <f t="array" ref="O2128">_xlfn.IFS(orders[[#This Row],[Customer Gender]]="M","Male", orders[[#This Row],[Customer Gender]]="F","Female", orders[[#This Row],[Customer Gender]]="O","Other", TRUE,"Unknown")</f>
        <v>Female</v>
      </c>
    </row>
    <row r="2129" spans="1:15" x14ac:dyDescent="0.3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1">
        <v>45735</v>
      </c>
      <c r="G2129" s="1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f>orders[[#This Row],[Ship Date]]-orders[[#This Row],[Order Date]]</f>
        <v>6</v>
      </c>
      <c r="N2129">
        <f>WEEKNUM(orders[[#This Row],[Order Date]])</f>
        <v>12</v>
      </c>
      <c r="O2129" t="str" cm="1">
        <f t="array" ref="O2129">_xlfn.IFS(orders[[#This Row],[Customer Gender]]="M","Male", orders[[#This Row],[Customer Gender]]="F","Female", orders[[#This Row],[Customer Gender]]="O","Other", TRUE,"Unknown")</f>
        <v>Female</v>
      </c>
    </row>
    <row r="2130" spans="1:15" x14ac:dyDescent="0.3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1">
        <v>45735</v>
      </c>
      <c r="G2130" s="1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f>orders[[#This Row],[Ship Date]]-orders[[#This Row],[Order Date]]</f>
        <v>1</v>
      </c>
      <c r="N2130">
        <f>WEEKNUM(orders[[#This Row],[Order Date]])</f>
        <v>12</v>
      </c>
      <c r="O2130" t="str" cm="1">
        <f t="array" ref="O2130">_xlfn.IFS(orders[[#This Row],[Customer Gender]]="M","Male", orders[[#This Row],[Customer Gender]]="F","Female", orders[[#This Row],[Customer Gender]]="O","Other", TRUE,"Unknown")</f>
        <v>Male</v>
      </c>
    </row>
    <row r="2131" spans="1:15" x14ac:dyDescent="0.3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1">
        <v>45735</v>
      </c>
      <c r="G2131" s="1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f>orders[[#This Row],[Ship Date]]-orders[[#This Row],[Order Date]]</f>
        <v>1</v>
      </c>
      <c r="N2131">
        <f>WEEKNUM(orders[[#This Row],[Order Date]])</f>
        <v>12</v>
      </c>
      <c r="O2131" t="str" cm="1">
        <f t="array" ref="O2131">_xlfn.IFS(orders[[#This Row],[Customer Gender]]="M","Male", orders[[#This Row],[Customer Gender]]="F","Female", orders[[#This Row],[Customer Gender]]="O","Other", TRUE,"Unknown")</f>
        <v>Female</v>
      </c>
    </row>
    <row r="2132" spans="1:15" x14ac:dyDescent="0.3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1">
        <v>45735</v>
      </c>
      <c r="G2132" s="1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f>orders[[#This Row],[Ship Date]]-orders[[#This Row],[Order Date]]</f>
        <v>4</v>
      </c>
      <c r="N2132">
        <f>WEEKNUM(orders[[#This Row],[Order Date]])</f>
        <v>12</v>
      </c>
      <c r="O2132" t="str" cm="1">
        <f t="array" ref="O2132">_xlfn.IFS(orders[[#This Row],[Customer Gender]]="M","Male", orders[[#This Row],[Customer Gender]]="F","Female", orders[[#This Row],[Customer Gender]]="O","Other", TRUE,"Unknown")</f>
        <v>Unknown</v>
      </c>
    </row>
    <row r="2133" spans="1:15" x14ac:dyDescent="0.3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1">
        <v>45735</v>
      </c>
      <c r="G2133" s="1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f>orders[[#This Row],[Ship Date]]-orders[[#This Row],[Order Date]]</f>
        <v>3</v>
      </c>
      <c r="N2133">
        <f>WEEKNUM(orders[[#This Row],[Order Date]])</f>
        <v>12</v>
      </c>
      <c r="O2133" t="str" cm="1">
        <f t="array" ref="O2133">_xlfn.IFS(orders[[#This Row],[Customer Gender]]="M","Male", orders[[#This Row],[Customer Gender]]="F","Female", orders[[#This Row],[Customer Gender]]="O","Other", TRUE,"Unknown")</f>
        <v>Female</v>
      </c>
    </row>
    <row r="2134" spans="1:15" x14ac:dyDescent="0.3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1">
        <v>45735</v>
      </c>
      <c r="G2134" s="1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f>orders[[#This Row],[Ship Date]]-orders[[#This Row],[Order Date]]</f>
        <v>1</v>
      </c>
      <c r="N2134">
        <f>WEEKNUM(orders[[#This Row],[Order Date]])</f>
        <v>12</v>
      </c>
      <c r="O2134" t="str" cm="1">
        <f t="array" ref="O2134">_xlfn.IFS(orders[[#This Row],[Customer Gender]]="M","Male", orders[[#This Row],[Customer Gender]]="F","Female", orders[[#This Row],[Customer Gender]]="O","Other", TRUE,"Unknown")</f>
        <v>Male</v>
      </c>
    </row>
    <row r="2135" spans="1:15" x14ac:dyDescent="0.3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1">
        <v>45735</v>
      </c>
      <c r="G2135" s="1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f>orders[[#This Row],[Ship Date]]-orders[[#This Row],[Order Date]]</f>
        <v>6</v>
      </c>
      <c r="N2135">
        <f>WEEKNUM(orders[[#This Row],[Order Date]])</f>
        <v>12</v>
      </c>
      <c r="O2135" t="str" cm="1">
        <f t="array" ref="O2135">_xlfn.IFS(orders[[#This Row],[Customer Gender]]="M","Male", orders[[#This Row],[Customer Gender]]="F","Female", orders[[#This Row],[Customer Gender]]="O","Other", TRUE,"Unknown")</f>
        <v>Male</v>
      </c>
    </row>
    <row r="2136" spans="1:15" x14ac:dyDescent="0.3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1">
        <v>45735</v>
      </c>
      <c r="G2136" s="1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f>orders[[#This Row],[Ship Date]]-orders[[#This Row],[Order Date]]</f>
        <v>1</v>
      </c>
      <c r="N2136">
        <f>WEEKNUM(orders[[#This Row],[Order Date]])</f>
        <v>12</v>
      </c>
      <c r="O2136" t="str" cm="1">
        <f t="array" ref="O2136">_xlfn.IFS(orders[[#This Row],[Customer Gender]]="M","Male", orders[[#This Row],[Customer Gender]]="F","Female", orders[[#This Row],[Customer Gender]]="O","Other", TRUE,"Unknown")</f>
        <v>Male</v>
      </c>
    </row>
    <row r="2137" spans="1:15" x14ac:dyDescent="0.3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1">
        <v>45735</v>
      </c>
      <c r="G2137" s="1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f>orders[[#This Row],[Ship Date]]-orders[[#This Row],[Order Date]]</f>
        <v>2</v>
      </c>
      <c r="N2137">
        <f>WEEKNUM(orders[[#This Row],[Order Date]])</f>
        <v>12</v>
      </c>
      <c r="O2137" t="str" cm="1">
        <f t="array" ref="O2137">_xlfn.IFS(orders[[#This Row],[Customer Gender]]="M","Male", orders[[#This Row],[Customer Gender]]="F","Female", orders[[#This Row],[Customer Gender]]="O","Other", TRUE,"Unknown")</f>
        <v>Male</v>
      </c>
    </row>
    <row r="2138" spans="1:15" x14ac:dyDescent="0.3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1">
        <v>45735</v>
      </c>
      <c r="G2138" s="1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f>orders[[#This Row],[Ship Date]]-orders[[#This Row],[Order Date]]</f>
        <v>1</v>
      </c>
      <c r="N2138">
        <f>WEEKNUM(orders[[#This Row],[Order Date]])</f>
        <v>12</v>
      </c>
      <c r="O2138" t="str" cm="1">
        <f t="array" ref="O2138">_xlfn.IFS(orders[[#This Row],[Customer Gender]]="M","Male", orders[[#This Row],[Customer Gender]]="F","Female", orders[[#This Row],[Customer Gender]]="O","Other", TRUE,"Unknown")</f>
        <v>Male</v>
      </c>
    </row>
    <row r="2139" spans="1:15" x14ac:dyDescent="0.3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1">
        <v>45736</v>
      </c>
      <c r="G2139" s="1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f>orders[[#This Row],[Ship Date]]-orders[[#This Row],[Order Date]]</f>
        <v>3</v>
      </c>
      <c r="N2139">
        <f>WEEKNUM(orders[[#This Row],[Order Date]])</f>
        <v>12</v>
      </c>
      <c r="O2139" t="str" cm="1">
        <f t="array" ref="O2139">_xlfn.IFS(orders[[#This Row],[Customer Gender]]="M","Male", orders[[#This Row],[Customer Gender]]="F","Female", orders[[#This Row],[Customer Gender]]="O","Other", TRUE,"Unknown")</f>
        <v>Male</v>
      </c>
    </row>
    <row r="2140" spans="1:15" x14ac:dyDescent="0.3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1">
        <v>45736</v>
      </c>
      <c r="G2140" s="1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f>orders[[#This Row],[Ship Date]]-orders[[#This Row],[Order Date]]</f>
        <v>1</v>
      </c>
      <c r="N2140">
        <f>WEEKNUM(orders[[#This Row],[Order Date]])</f>
        <v>12</v>
      </c>
      <c r="O2140" t="str" cm="1">
        <f t="array" ref="O2140">_xlfn.IFS(orders[[#This Row],[Customer Gender]]="M","Male", orders[[#This Row],[Customer Gender]]="F","Female", orders[[#This Row],[Customer Gender]]="O","Other", TRUE,"Unknown")</f>
        <v>Female</v>
      </c>
    </row>
    <row r="2141" spans="1:15" x14ac:dyDescent="0.3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1">
        <v>45736</v>
      </c>
      <c r="G2141" s="1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f>orders[[#This Row],[Ship Date]]-orders[[#This Row],[Order Date]]</f>
        <v>1</v>
      </c>
      <c r="N2141">
        <f>WEEKNUM(orders[[#This Row],[Order Date]])</f>
        <v>12</v>
      </c>
      <c r="O2141" t="str" cm="1">
        <f t="array" ref="O2141">_xlfn.IFS(orders[[#This Row],[Customer Gender]]="M","Male", orders[[#This Row],[Customer Gender]]="F","Female", orders[[#This Row],[Customer Gender]]="O","Other", TRUE,"Unknown")</f>
        <v>Female</v>
      </c>
    </row>
    <row r="2142" spans="1:15" x14ac:dyDescent="0.3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1">
        <v>45736</v>
      </c>
      <c r="G2142" s="1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f>orders[[#This Row],[Ship Date]]-orders[[#This Row],[Order Date]]</f>
        <v>1</v>
      </c>
      <c r="N2142">
        <f>WEEKNUM(orders[[#This Row],[Order Date]])</f>
        <v>12</v>
      </c>
      <c r="O2142" t="str" cm="1">
        <f t="array" ref="O2142">_xlfn.IFS(orders[[#This Row],[Customer Gender]]="M","Male", orders[[#This Row],[Customer Gender]]="F","Female", orders[[#This Row],[Customer Gender]]="O","Other", TRUE,"Unknown")</f>
        <v>Male</v>
      </c>
    </row>
    <row r="2143" spans="1:15" x14ac:dyDescent="0.3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1">
        <v>45736</v>
      </c>
      <c r="G2143" s="1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f>orders[[#This Row],[Ship Date]]-orders[[#This Row],[Order Date]]</f>
        <v>3</v>
      </c>
      <c r="N2143">
        <f>WEEKNUM(orders[[#This Row],[Order Date]])</f>
        <v>12</v>
      </c>
      <c r="O2143" t="str" cm="1">
        <f t="array" ref="O2143">_xlfn.IFS(orders[[#This Row],[Customer Gender]]="M","Male", orders[[#This Row],[Customer Gender]]="F","Female", orders[[#This Row],[Customer Gender]]="O","Other", TRUE,"Unknown")</f>
        <v>Male</v>
      </c>
    </row>
    <row r="2144" spans="1:15" x14ac:dyDescent="0.3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1">
        <v>45736</v>
      </c>
      <c r="G2144" s="1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f>orders[[#This Row],[Ship Date]]-orders[[#This Row],[Order Date]]</f>
        <v>1</v>
      </c>
      <c r="N2144">
        <f>WEEKNUM(orders[[#This Row],[Order Date]])</f>
        <v>12</v>
      </c>
      <c r="O2144" t="str" cm="1">
        <f t="array" ref="O2144">_xlfn.IFS(orders[[#This Row],[Customer Gender]]="M","Male", orders[[#This Row],[Customer Gender]]="F","Female", orders[[#This Row],[Customer Gender]]="O","Other", TRUE,"Unknown")</f>
        <v>Male</v>
      </c>
    </row>
    <row r="2145" spans="1:15" x14ac:dyDescent="0.3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1">
        <v>45736</v>
      </c>
      <c r="G2145" s="1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f>orders[[#This Row],[Ship Date]]-orders[[#This Row],[Order Date]]</f>
        <v>1</v>
      </c>
      <c r="N2145">
        <f>WEEKNUM(orders[[#This Row],[Order Date]])</f>
        <v>12</v>
      </c>
      <c r="O2145" t="str" cm="1">
        <f t="array" ref="O2145">_xlfn.IFS(orders[[#This Row],[Customer Gender]]="M","Male", orders[[#This Row],[Customer Gender]]="F","Female", orders[[#This Row],[Customer Gender]]="O","Other", TRUE,"Unknown")</f>
        <v>Female</v>
      </c>
    </row>
    <row r="2146" spans="1:15" x14ac:dyDescent="0.3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1">
        <v>45736</v>
      </c>
      <c r="G2146" s="1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f>orders[[#This Row],[Ship Date]]-orders[[#This Row],[Order Date]]</f>
        <v>1</v>
      </c>
      <c r="N2146">
        <f>WEEKNUM(orders[[#This Row],[Order Date]])</f>
        <v>12</v>
      </c>
      <c r="O2146" t="str" cm="1">
        <f t="array" ref="O2146">_xlfn.IFS(orders[[#This Row],[Customer Gender]]="M","Male", orders[[#This Row],[Customer Gender]]="F","Female", orders[[#This Row],[Customer Gender]]="O","Other", TRUE,"Unknown")</f>
        <v>Male</v>
      </c>
    </row>
    <row r="2147" spans="1:15" x14ac:dyDescent="0.3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1">
        <v>45736</v>
      </c>
      <c r="G2147" s="1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f>orders[[#This Row],[Ship Date]]-orders[[#This Row],[Order Date]]</f>
        <v>3</v>
      </c>
      <c r="N2147">
        <f>WEEKNUM(orders[[#This Row],[Order Date]])</f>
        <v>12</v>
      </c>
      <c r="O2147" t="str" cm="1">
        <f t="array" ref="O2147">_xlfn.IFS(orders[[#This Row],[Customer Gender]]="M","Male", orders[[#This Row],[Customer Gender]]="F","Female", orders[[#This Row],[Customer Gender]]="O","Other", TRUE,"Unknown")</f>
        <v>Female</v>
      </c>
    </row>
    <row r="2148" spans="1:15" x14ac:dyDescent="0.3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1">
        <v>45736</v>
      </c>
      <c r="G2148" s="1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f>orders[[#This Row],[Ship Date]]-orders[[#This Row],[Order Date]]</f>
        <v>14</v>
      </c>
      <c r="N2148">
        <f>WEEKNUM(orders[[#This Row],[Order Date]])</f>
        <v>12</v>
      </c>
      <c r="O2148" t="str" cm="1">
        <f t="array" ref="O2148">_xlfn.IFS(orders[[#This Row],[Customer Gender]]="M","Male", orders[[#This Row],[Customer Gender]]="F","Female", orders[[#This Row],[Customer Gender]]="O","Other", TRUE,"Unknown")</f>
        <v>Female</v>
      </c>
    </row>
    <row r="2149" spans="1:15" x14ac:dyDescent="0.3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1">
        <v>45736</v>
      </c>
      <c r="G2149" s="1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f>orders[[#This Row],[Ship Date]]-orders[[#This Row],[Order Date]]</f>
        <v>0</v>
      </c>
      <c r="N2149">
        <f>WEEKNUM(orders[[#This Row],[Order Date]])</f>
        <v>12</v>
      </c>
      <c r="O2149" t="str" cm="1">
        <f t="array" ref="O2149">_xlfn.IFS(orders[[#This Row],[Customer Gender]]="M","Male", orders[[#This Row],[Customer Gender]]="F","Female", orders[[#This Row],[Customer Gender]]="O","Other", TRUE,"Unknown")</f>
        <v>Male</v>
      </c>
    </row>
    <row r="2150" spans="1:15" x14ac:dyDescent="0.3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1">
        <v>45736</v>
      </c>
      <c r="G2150" s="1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f>orders[[#This Row],[Ship Date]]-orders[[#This Row],[Order Date]]</f>
        <v>8</v>
      </c>
      <c r="N2150">
        <f>WEEKNUM(orders[[#This Row],[Order Date]])</f>
        <v>12</v>
      </c>
      <c r="O2150" t="str" cm="1">
        <f t="array" ref="O2150">_xlfn.IFS(orders[[#This Row],[Customer Gender]]="M","Male", orders[[#This Row],[Customer Gender]]="F","Female", orders[[#This Row],[Customer Gender]]="O","Other", TRUE,"Unknown")</f>
        <v>Female</v>
      </c>
    </row>
    <row r="2151" spans="1:15" x14ac:dyDescent="0.3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1">
        <v>45736</v>
      </c>
      <c r="G2151" s="1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f>orders[[#This Row],[Ship Date]]-orders[[#This Row],[Order Date]]</f>
        <v>3</v>
      </c>
      <c r="N2151">
        <f>WEEKNUM(orders[[#This Row],[Order Date]])</f>
        <v>12</v>
      </c>
      <c r="O2151" t="str" cm="1">
        <f t="array" ref="O2151">_xlfn.IFS(orders[[#This Row],[Customer Gender]]="M","Male", orders[[#This Row],[Customer Gender]]="F","Female", orders[[#This Row],[Customer Gender]]="O","Other", TRUE,"Unknown")</f>
        <v>Male</v>
      </c>
    </row>
    <row r="2152" spans="1:15" x14ac:dyDescent="0.3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1">
        <v>45736</v>
      </c>
      <c r="G2152" s="1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f>orders[[#This Row],[Ship Date]]-orders[[#This Row],[Order Date]]</f>
        <v>1</v>
      </c>
      <c r="N2152">
        <f>WEEKNUM(orders[[#This Row],[Order Date]])</f>
        <v>12</v>
      </c>
      <c r="O2152" t="str" cm="1">
        <f t="array" ref="O2152">_xlfn.IFS(orders[[#This Row],[Customer Gender]]="M","Male", orders[[#This Row],[Customer Gender]]="F","Female", orders[[#This Row],[Customer Gender]]="O","Other", TRUE,"Unknown")</f>
        <v>Female</v>
      </c>
    </row>
    <row r="2153" spans="1:15" x14ac:dyDescent="0.3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1">
        <v>45736</v>
      </c>
      <c r="G2153" s="1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f>orders[[#This Row],[Ship Date]]-orders[[#This Row],[Order Date]]</f>
        <v>0</v>
      </c>
      <c r="N2153">
        <f>WEEKNUM(orders[[#This Row],[Order Date]])</f>
        <v>12</v>
      </c>
      <c r="O2153" t="str" cm="1">
        <f t="array" ref="O2153">_xlfn.IFS(orders[[#This Row],[Customer Gender]]="M","Male", orders[[#This Row],[Customer Gender]]="F","Female", orders[[#This Row],[Customer Gender]]="O","Other", TRUE,"Unknown")</f>
        <v>Female</v>
      </c>
    </row>
    <row r="2154" spans="1:15" x14ac:dyDescent="0.3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1">
        <v>45736</v>
      </c>
      <c r="G2154" s="1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f>orders[[#This Row],[Ship Date]]-orders[[#This Row],[Order Date]]</f>
        <v>1</v>
      </c>
      <c r="N2154">
        <f>WEEKNUM(orders[[#This Row],[Order Date]])</f>
        <v>12</v>
      </c>
      <c r="O2154" t="str" cm="1">
        <f t="array" ref="O2154">_xlfn.IFS(orders[[#This Row],[Customer Gender]]="M","Male", orders[[#This Row],[Customer Gender]]="F","Female", orders[[#This Row],[Customer Gender]]="O","Other", TRUE,"Unknown")</f>
        <v>Female</v>
      </c>
    </row>
    <row r="2155" spans="1:15" x14ac:dyDescent="0.3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1">
        <v>45736</v>
      </c>
      <c r="G2155" s="1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f>orders[[#This Row],[Ship Date]]-orders[[#This Row],[Order Date]]</f>
        <v>1</v>
      </c>
      <c r="N2155">
        <f>WEEKNUM(orders[[#This Row],[Order Date]])</f>
        <v>12</v>
      </c>
      <c r="O2155" t="str" cm="1">
        <f t="array" ref="O2155">_xlfn.IFS(orders[[#This Row],[Customer Gender]]="M","Male", orders[[#This Row],[Customer Gender]]="F","Female", orders[[#This Row],[Customer Gender]]="O","Other", TRUE,"Unknown")</f>
        <v>Female</v>
      </c>
    </row>
    <row r="2156" spans="1:15" x14ac:dyDescent="0.3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1">
        <v>45736</v>
      </c>
      <c r="G2156" s="1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f>orders[[#This Row],[Ship Date]]-orders[[#This Row],[Order Date]]</f>
        <v>3</v>
      </c>
      <c r="N2156">
        <f>WEEKNUM(orders[[#This Row],[Order Date]])</f>
        <v>12</v>
      </c>
      <c r="O2156" t="str" cm="1">
        <f t="array" ref="O2156">_xlfn.IFS(orders[[#This Row],[Customer Gender]]="M","Male", orders[[#This Row],[Customer Gender]]="F","Female", orders[[#This Row],[Customer Gender]]="O","Other", TRUE,"Unknown")</f>
        <v>Male</v>
      </c>
    </row>
    <row r="2157" spans="1:15" x14ac:dyDescent="0.3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1">
        <v>45736</v>
      </c>
      <c r="G2157" s="1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f>orders[[#This Row],[Ship Date]]-orders[[#This Row],[Order Date]]</f>
        <v>1</v>
      </c>
      <c r="N2157">
        <f>WEEKNUM(orders[[#This Row],[Order Date]])</f>
        <v>12</v>
      </c>
      <c r="O2157" t="str" cm="1">
        <f t="array" ref="O2157">_xlfn.IFS(orders[[#This Row],[Customer Gender]]="M","Male", orders[[#This Row],[Customer Gender]]="F","Female", orders[[#This Row],[Customer Gender]]="O","Other", TRUE,"Unknown")</f>
        <v>Male</v>
      </c>
    </row>
    <row r="2158" spans="1:15" x14ac:dyDescent="0.3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1">
        <v>45736</v>
      </c>
      <c r="G2158" s="1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f>orders[[#This Row],[Ship Date]]-orders[[#This Row],[Order Date]]</f>
        <v>2</v>
      </c>
      <c r="N2158">
        <f>WEEKNUM(orders[[#This Row],[Order Date]])</f>
        <v>12</v>
      </c>
      <c r="O2158" t="str" cm="1">
        <f t="array" ref="O2158">_xlfn.IFS(orders[[#This Row],[Customer Gender]]="M","Male", orders[[#This Row],[Customer Gender]]="F","Female", orders[[#This Row],[Customer Gender]]="O","Other", TRUE,"Unknown")</f>
        <v>Female</v>
      </c>
    </row>
    <row r="2159" spans="1:15" x14ac:dyDescent="0.3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1">
        <v>45736</v>
      </c>
      <c r="G2159" s="1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f>orders[[#This Row],[Ship Date]]-orders[[#This Row],[Order Date]]</f>
        <v>1</v>
      </c>
      <c r="N2159">
        <f>WEEKNUM(orders[[#This Row],[Order Date]])</f>
        <v>12</v>
      </c>
      <c r="O2159" t="str" cm="1">
        <f t="array" ref="O2159">_xlfn.IFS(orders[[#This Row],[Customer Gender]]="M","Male", orders[[#This Row],[Customer Gender]]="F","Female", orders[[#This Row],[Customer Gender]]="O","Other", TRUE,"Unknown")</f>
        <v>Female</v>
      </c>
    </row>
    <row r="2160" spans="1:15" x14ac:dyDescent="0.3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1">
        <v>45736</v>
      </c>
      <c r="G2160" s="1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f>orders[[#This Row],[Ship Date]]-orders[[#This Row],[Order Date]]</f>
        <v>3</v>
      </c>
      <c r="N2160">
        <f>WEEKNUM(orders[[#This Row],[Order Date]])</f>
        <v>12</v>
      </c>
      <c r="O2160" t="str" cm="1">
        <f t="array" ref="O2160">_xlfn.IFS(orders[[#This Row],[Customer Gender]]="M","Male", orders[[#This Row],[Customer Gender]]="F","Female", orders[[#This Row],[Customer Gender]]="O","Other", TRUE,"Unknown")</f>
        <v>Unknown</v>
      </c>
    </row>
    <row r="2161" spans="1:15" x14ac:dyDescent="0.3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1">
        <v>45736</v>
      </c>
      <c r="G2161" s="1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f>orders[[#This Row],[Ship Date]]-orders[[#This Row],[Order Date]]</f>
        <v>1</v>
      </c>
      <c r="N2161">
        <f>WEEKNUM(orders[[#This Row],[Order Date]])</f>
        <v>12</v>
      </c>
      <c r="O2161" t="str" cm="1">
        <f t="array" ref="O2161">_xlfn.IFS(orders[[#This Row],[Customer Gender]]="M","Male", orders[[#This Row],[Customer Gender]]="F","Female", orders[[#This Row],[Customer Gender]]="O","Other", TRUE,"Unknown")</f>
        <v>Male</v>
      </c>
    </row>
    <row r="2162" spans="1:15" x14ac:dyDescent="0.3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1">
        <v>45736</v>
      </c>
      <c r="G2162" s="1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f>orders[[#This Row],[Ship Date]]-orders[[#This Row],[Order Date]]</f>
        <v>1</v>
      </c>
      <c r="N2162">
        <f>WEEKNUM(orders[[#This Row],[Order Date]])</f>
        <v>12</v>
      </c>
      <c r="O2162" t="str" cm="1">
        <f t="array" ref="O2162">_xlfn.IFS(orders[[#This Row],[Customer Gender]]="M","Male", orders[[#This Row],[Customer Gender]]="F","Female", orders[[#This Row],[Customer Gender]]="O","Other", TRUE,"Unknown")</f>
        <v>Female</v>
      </c>
    </row>
    <row r="2163" spans="1:15" x14ac:dyDescent="0.3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1">
        <v>45736</v>
      </c>
      <c r="G2163" s="1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f>orders[[#This Row],[Ship Date]]-orders[[#This Row],[Order Date]]</f>
        <v>1</v>
      </c>
      <c r="N2163">
        <f>WEEKNUM(orders[[#This Row],[Order Date]])</f>
        <v>12</v>
      </c>
      <c r="O2163" t="str" cm="1">
        <f t="array" ref="O2163">_xlfn.IFS(orders[[#This Row],[Customer Gender]]="M","Male", orders[[#This Row],[Customer Gender]]="F","Female", orders[[#This Row],[Customer Gender]]="O","Other", TRUE,"Unknown")</f>
        <v>Male</v>
      </c>
    </row>
    <row r="2164" spans="1:15" x14ac:dyDescent="0.3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1">
        <v>45736</v>
      </c>
      <c r="G2164" s="1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f>orders[[#This Row],[Ship Date]]-orders[[#This Row],[Order Date]]</f>
        <v>2</v>
      </c>
      <c r="N2164">
        <f>WEEKNUM(orders[[#This Row],[Order Date]])</f>
        <v>12</v>
      </c>
      <c r="O2164" t="str" cm="1">
        <f t="array" ref="O2164">_xlfn.IFS(orders[[#This Row],[Customer Gender]]="M","Male", orders[[#This Row],[Customer Gender]]="F","Female", orders[[#This Row],[Customer Gender]]="O","Other", TRUE,"Unknown")</f>
        <v>Male</v>
      </c>
    </row>
    <row r="2165" spans="1:15" x14ac:dyDescent="0.3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1">
        <v>45736</v>
      </c>
      <c r="G2165" s="1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f>orders[[#This Row],[Ship Date]]-orders[[#This Row],[Order Date]]</f>
        <v>0</v>
      </c>
      <c r="N2165">
        <f>WEEKNUM(orders[[#This Row],[Order Date]])</f>
        <v>12</v>
      </c>
      <c r="O2165" t="str" cm="1">
        <f t="array" ref="O2165">_xlfn.IFS(orders[[#This Row],[Customer Gender]]="M","Male", orders[[#This Row],[Customer Gender]]="F","Female", orders[[#This Row],[Customer Gender]]="O","Other", TRUE,"Unknown")</f>
        <v>Male</v>
      </c>
    </row>
    <row r="2166" spans="1:15" x14ac:dyDescent="0.3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1">
        <v>45736</v>
      </c>
      <c r="G2166" s="1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f>orders[[#This Row],[Ship Date]]-orders[[#This Row],[Order Date]]</f>
        <v>1</v>
      </c>
      <c r="N2166">
        <f>WEEKNUM(orders[[#This Row],[Order Date]])</f>
        <v>12</v>
      </c>
      <c r="O2166" t="str" cm="1">
        <f t="array" ref="O2166">_xlfn.IFS(orders[[#This Row],[Customer Gender]]="M","Male", orders[[#This Row],[Customer Gender]]="F","Female", orders[[#This Row],[Customer Gender]]="O","Other", TRUE,"Unknown")</f>
        <v>Male</v>
      </c>
    </row>
    <row r="2167" spans="1:15" x14ac:dyDescent="0.3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1">
        <v>45737</v>
      </c>
      <c r="G2167" s="1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f>orders[[#This Row],[Ship Date]]-orders[[#This Row],[Order Date]]</f>
        <v>2</v>
      </c>
      <c r="N2167">
        <f>WEEKNUM(orders[[#This Row],[Order Date]])</f>
        <v>12</v>
      </c>
      <c r="O2167" t="str" cm="1">
        <f t="array" ref="O2167">_xlfn.IFS(orders[[#This Row],[Customer Gender]]="M","Male", orders[[#This Row],[Customer Gender]]="F","Female", orders[[#This Row],[Customer Gender]]="O","Other", TRUE,"Unknown")</f>
        <v>Male</v>
      </c>
    </row>
    <row r="2168" spans="1:15" x14ac:dyDescent="0.3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1">
        <v>45737</v>
      </c>
      <c r="G2168" s="1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f>orders[[#This Row],[Ship Date]]-orders[[#This Row],[Order Date]]</f>
        <v>6</v>
      </c>
      <c r="N2168">
        <f>WEEKNUM(orders[[#This Row],[Order Date]])</f>
        <v>12</v>
      </c>
      <c r="O2168" t="str" cm="1">
        <f t="array" ref="O2168">_xlfn.IFS(orders[[#This Row],[Customer Gender]]="M","Male", orders[[#This Row],[Customer Gender]]="F","Female", orders[[#This Row],[Customer Gender]]="O","Other", TRUE,"Unknown")</f>
        <v>Unknown</v>
      </c>
    </row>
    <row r="2169" spans="1:15" x14ac:dyDescent="0.3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1">
        <v>45737</v>
      </c>
      <c r="G2169" s="1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f>orders[[#This Row],[Ship Date]]-orders[[#This Row],[Order Date]]</f>
        <v>1</v>
      </c>
      <c r="N2169">
        <f>WEEKNUM(orders[[#This Row],[Order Date]])</f>
        <v>12</v>
      </c>
      <c r="O2169" t="str" cm="1">
        <f t="array" ref="O2169">_xlfn.IFS(orders[[#This Row],[Customer Gender]]="M","Male", orders[[#This Row],[Customer Gender]]="F","Female", orders[[#This Row],[Customer Gender]]="O","Other", TRUE,"Unknown")</f>
        <v>Female</v>
      </c>
    </row>
    <row r="2170" spans="1:15" x14ac:dyDescent="0.3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1">
        <v>45737</v>
      </c>
      <c r="G2170" s="1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f>orders[[#This Row],[Ship Date]]-orders[[#This Row],[Order Date]]</f>
        <v>1</v>
      </c>
      <c r="N2170">
        <f>WEEKNUM(orders[[#This Row],[Order Date]])</f>
        <v>12</v>
      </c>
      <c r="O2170" t="str" cm="1">
        <f t="array" ref="O2170">_xlfn.IFS(orders[[#This Row],[Customer Gender]]="M","Male", orders[[#This Row],[Customer Gender]]="F","Female", orders[[#This Row],[Customer Gender]]="O","Other", TRUE,"Unknown")</f>
        <v>Male</v>
      </c>
    </row>
    <row r="2171" spans="1:15" x14ac:dyDescent="0.3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1">
        <v>45737</v>
      </c>
      <c r="G2171" s="1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f>orders[[#This Row],[Ship Date]]-orders[[#This Row],[Order Date]]</f>
        <v>0</v>
      </c>
      <c r="N2171">
        <f>WEEKNUM(orders[[#This Row],[Order Date]])</f>
        <v>12</v>
      </c>
      <c r="O2171" t="str" cm="1">
        <f t="array" ref="O2171">_xlfn.IFS(orders[[#This Row],[Customer Gender]]="M","Male", orders[[#This Row],[Customer Gender]]="F","Female", orders[[#This Row],[Customer Gender]]="O","Other", TRUE,"Unknown")</f>
        <v>Male</v>
      </c>
    </row>
    <row r="2172" spans="1:15" x14ac:dyDescent="0.3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1">
        <v>45737</v>
      </c>
      <c r="G2172" s="1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f>orders[[#This Row],[Ship Date]]-orders[[#This Row],[Order Date]]</f>
        <v>1</v>
      </c>
      <c r="N2172">
        <f>WEEKNUM(orders[[#This Row],[Order Date]])</f>
        <v>12</v>
      </c>
      <c r="O2172" t="str" cm="1">
        <f t="array" ref="O2172">_xlfn.IFS(orders[[#This Row],[Customer Gender]]="M","Male", orders[[#This Row],[Customer Gender]]="F","Female", orders[[#This Row],[Customer Gender]]="O","Other", TRUE,"Unknown")</f>
        <v>Female</v>
      </c>
    </row>
    <row r="2173" spans="1:15" x14ac:dyDescent="0.3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1">
        <v>45737</v>
      </c>
      <c r="G2173" s="1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f>orders[[#This Row],[Ship Date]]-orders[[#This Row],[Order Date]]</f>
        <v>1</v>
      </c>
      <c r="N2173">
        <f>WEEKNUM(orders[[#This Row],[Order Date]])</f>
        <v>12</v>
      </c>
      <c r="O2173" t="str" cm="1">
        <f t="array" ref="O2173">_xlfn.IFS(orders[[#This Row],[Customer Gender]]="M","Male", orders[[#This Row],[Customer Gender]]="F","Female", orders[[#This Row],[Customer Gender]]="O","Other", TRUE,"Unknown")</f>
        <v>Male</v>
      </c>
    </row>
    <row r="2174" spans="1:15" x14ac:dyDescent="0.3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1">
        <v>45737</v>
      </c>
      <c r="G2174" s="1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f>orders[[#This Row],[Ship Date]]-orders[[#This Row],[Order Date]]</f>
        <v>2</v>
      </c>
      <c r="N2174">
        <f>WEEKNUM(orders[[#This Row],[Order Date]])</f>
        <v>12</v>
      </c>
      <c r="O2174" t="str" cm="1">
        <f t="array" ref="O2174">_xlfn.IFS(orders[[#This Row],[Customer Gender]]="M","Male", orders[[#This Row],[Customer Gender]]="F","Female", orders[[#This Row],[Customer Gender]]="O","Other", TRUE,"Unknown")</f>
        <v>Male</v>
      </c>
    </row>
    <row r="2175" spans="1:15" x14ac:dyDescent="0.3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1">
        <v>45737</v>
      </c>
      <c r="G2175" s="1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f>orders[[#This Row],[Ship Date]]-orders[[#This Row],[Order Date]]</f>
        <v>1</v>
      </c>
      <c r="N2175">
        <f>WEEKNUM(orders[[#This Row],[Order Date]])</f>
        <v>12</v>
      </c>
      <c r="O2175" t="str" cm="1">
        <f t="array" ref="O2175">_xlfn.IFS(orders[[#This Row],[Customer Gender]]="M","Male", orders[[#This Row],[Customer Gender]]="F","Female", orders[[#This Row],[Customer Gender]]="O","Other", TRUE,"Unknown")</f>
        <v>Female</v>
      </c>
    </row>
    <row r="2176" spans="1:15" x14ac:dyDescent="0.3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1">
        <v>45737</v>
      </c>
      <c r="G2176" s="1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f>orders[[#This Row],[Ship Date]]-orders[[#This Row],[Order Date]]</f>
        <v>3</v>
      </c>
      <c r="N2176">
        <f>WEEKNUM(orders[[#This Row],[Order Date]])</f>
        <v>12</v>
      </c>
      <c r="O2176" t="str" cm="1">
        <f t="array" ref="O2176">_xlfn.IFS(orders[[#This Row],[Customer Gender]]="M","Male", orders[[#This Row],[Customer Gender]]="F","Female", orders[[#This Row],[Customer Gender]]="O","Other", TRUE,"Unknown")</f>
        <v>Female</v>
      </c>
    </row>
    <row r="2177" spans="1:15" x14ac:dyDescent="0.3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1">
        <v>45737</v>
      </c>
      <c r="G2177" s="1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f>orders[[#This Row],[Ship Date]]-orders[[#This Row],[Order Date]]</f>
        <v>3</v>
      </c>
      <c r="N2177">
        <f>WEEKNUM(orders[[#This Row],[Order Date]])</f>
        <v>12</v>
      </c>
      <c r="O2177" t="str" cm="1">
        <f t="array" ref="O2177">_xlfn.IFS(orders[[#This Row],[Customer Gender]]="M","Male", orders[[#This Row],[Customer Gender]]="F","Female", orders[[#This Row],[Customer Gender]]="O","Other", TRUE,"Unknown")</f>
        <v>Male</v>
      </c>
    </row>
    <row r="2178" spans="1:15" x14ac:dyDescent="0.3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1">
        <v>45737</v>
      </c>
      <c r="G2178" s="1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f>orders[[#This Row],[Ship Date]]-orders[[#This Row],[Order Date]]</f>
        <v>1</v>
      </c>
      <c r="N2178">
        <f>WEEKNUM(orders[[#This Row],[Order Date]])</f>
        <v>12</v>
      </c>
      <c r="O2178" t="str" cm="1">
        <f t="array" ref="O2178">_xlfn.IFS(orders[[#This Row],[Customer Gender]]="M","Male", orders[[#This Row],[Customer Gender]]="F","Female", orders[[#This Row],[Customer Gender]]="O","Other", TRUE,"Unknown")</f>
        <v>Female</v>
      </c>
    </row>
    <row r="2179" spans="1:15" x14ac:dyDescent="0.3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1">
        <v>45737</v>
      </c>
      <c r="G2179" s="1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f>orders[[#This Row],[Ship Date]]-orders[[#This Row],[Order Date]]</f>
        <v>1</v>
      </c>
      <c r="N2179">
        <f>WEEKNUM(orders[[#This Row],[Order Date]])</f>
        <v>12</v>
      </c>
      <c r="O2179" t="str" cm="1">
        <f t="array" ref="O2179">_xlfn.IFS(orders[[#This Row],[Customer Gender]]="M","Male", orders[[#This Row],[Customer Gender]]="F","Female", orders[[#This Row],[Customer Gender]]="O","Other", TRUE,"Unknown")</f>
        <v>Female</v>
      </c>
    </row>
    <row r="2180" spans="1:15" x14ac:dyDescent="0.3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1">
        <v>45737</v>
      </c>
      <c r="G2180" s="1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f>orders[[#This Row],[Ship Date]]-orders[[#This Row],[Order Date]]</f>
        <v>1</v>
      </c>
      <c r="N2180">
        <f>WEEKNUM(orders[[#This Row],[Order Date]])</f>
        <v>12</v>
      </c>
      <c r="O2180" t="str" cm="1">
        <f t="array" ref="O2180">_xlfn.IFS(orders[[#This Row],[Customer Gender]]="M","Male", orders[[#This Row],[Customer Gender]]="F","Female", orders[[#This Row],[Customer Gender]]="O","Other", TRUE,"Unknown")</f>
        <v>Female</v>
      </c>
    </row>
    <row r="2181" spans="1:15" x14ac:dyDescent="0.3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1">
        <v>45737</v>
      </c>
      <c r="G2181" s="1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f>orders[[#This Row],[Ship Date]]-orders[[#This Row],[Order Date]]</f>
        <v>1</v>
      </c>
      <c r="N2181">
        <f>WEEKNUM(orders[[#This Row],[Order Date]])</f>
        <v>12</v>
      </c>
      <c r="O2181" t="str" cm="1">
        <f t="array" ref="O2181">_xlfn.IFS(orders[[#This Row],[Customer Gender]]="M","Male", orders[[#This Row],[Customer Gender]]="F","Female", orders[[#This Row],[Customer Gender]]="O","Other", TRUE,"Unknown")</f>
        <v>Male</v>
      </c>
    </row>
    <row r="2182" spans="1:15" x14ac:dyDescent="0.3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1">
        <v>45737</v>
      </c>
      <c r="G2182" s="1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f>orders[[#This Row],[Ship Date]]-orders[[#This Row],[Order Date]]</f>
        <v>10</v>
      </c>
      <c r="N2182">
        <f>WEEKNUM(orders[[#This Row],[Order Date]])</f>
        <v>12</v>
      </c>
      <c r="O2182" t="str" cm="1">
        <f t="array" ref="O2182">_xlfn.IFS(orders[[#This Row],[Customer Gender]]="M","Male", orders[[#This Row],[Customer Gender]]="F","Female", orders[[#This Row],[Customer Gender]]="O","Other", TRUE,"Unknown")</f>
        <v>Male</v>
      </c>
    </row>
    <row r="2183" spans="1:15" x14ac:dyDescent="0.3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1">
        <v>45737</v>
      </c>
      <c r="G2183" s="1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f>orders[[#This Row],[Ship Date]]-orders[[#This Row],[Order Date]]</f>
        <v>1</v>
      </c>
      <c r="N2183">
        <f>WEEKNUM(orders[[#This Row],[Order Date]])</f>
        <v>12</v>
      </c>
      <c r="O2183" t="str" cm="1">
        <f t="array" ref="O2183">_xlfn.IFS(orders[[#This Row],[Customer Gender]]="M","Male", orders[[#This Row],[Customer Gender]]="F","Female", orders[[#This Row],[Customer Gender]]="O","Other", TRUE,"Unknown")</f>
        <v>Male</v>
      </c>
    </row>
    <row r="2184" spans="1:15" x14ac:dyDescent="0.3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1">
        <v>45737</v>
      </c>
      <c r="G2184" s="1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f>orders[[#This Row],[Ship Date]]-orders[[#This Row],[Order Date]]</f>
        <v>3</v>
      </c>
      <c r="N2184">
        <f>WEEKNUM(orders[[#This Row],[Order Date]])</f>
        <v>12</v>
      </c>
      <c r="O2184" t="str" cm="1">
        <f t="array" ref="O2184">_xlfn.IFS(orders[[#This Row],[Customer Gender]]="M","Male", orders[[#This Row],[Customer Gender]]="F","Female", orders[[#This Row],[Customer Gender]]="O","Other", TRUE,"Unknown")</f>
        <v>Other</v>
      </c>
    </row>
    <row r="2185" spans="1:15" x14ac:dyDescent="0.3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1">
        <v>45737</v>
      </c>
      <c r="G2185" s="1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f>orders[[#This Row],[Ship Date]]-orders[[#This Row],[Order Date]]</f>
        <v>4</v>
      </c>
      <c r="N2185">
        <f>WEEKNUM(orders[[#This Row],[Order Date]])</f>
        <v>12</v>
      </c>
      <c r="O2185" t="str" cm="1">
        <f t="array" ref="O2185">_xlfn.IFS(orders[[#This Row],[Customer Gender]]="M","Male", orders[[#This Row],[Customer Gender]]="F","Female", orders[[#This Row],[Customer Gender]]="O","Other", TRUE,"Unknown")</f>
        <v>Female</v>
      </c>
    </row>
    <row r="2186" spans="1:15" x14ac:dyDescent="0.3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1">
        <v>45737</v>
      </c>
      <c r="G2186" s="1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f>orders[[#This Row],[Ship Date]]-orders[[#This Row],[Order Date]]</f>
        <v>1</v>
      </c>
      <c r="N2186">
        <f>WEEKNUM(orders[[#This Row],[Order Date]])</f>
        <v>12</v>
      </c>
      <c r="O2186" t="str" cm="1">
        <f t="array" ref="O2186">_xlfn.IFS(orders[[#This Row],[Customer Gender]]="M","Male", orders[[#This Row],[Customer Gender]]="F","Female", orders[[#This Row],[Customer Gender]]="O","Other", TRUE,"Unknown")</f>
        <v>Male</v>
      </c>
    </row>
    <row r="2187" spans="1:15" x14ac:dyDescent="0.3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1">
        <v>45737</v>
      </c>
      <c r="G2187" s="1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f>orders[[#This Row],[Ship Date]]-orders[[#This Row],[Order Date]]</f>
        <v>3</v>
      </c>
      <c r="N2187">
        <f>WEEKNUM(orders[[#This Row],[Order Date]])</f>
        <v>12</v>
      </c>
      <c r="O2187" t="str" cm="1">
        <f t="array" ref="O2187">_xlfn.IFS(orders[[#This Row],[Customer Gender]]="M","Male", orders[[#This Row],[Customer Gender]]="F","Female", orders[[#This Row],[Customer Gender]]="O","Other", TRUE,"Unknown")</f>
        <v>Male</v>
      </c>
    </row>
    <row r="2188" spans="1:15" x14ac:dyDescent="0.3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1">
        <v>45737</v>
      </c>
      <c r="G2188" s="1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f>orders[[#This Row],[Ship Date]]-orders[[#This Row],[Order Date]]</f>
        <v>1</v>
      </c>
      <c r="N2188">
        <f>WEEKNUM(orders[[#This Row],[Order Date]])</f>
        <v>12</v>
      </c>
      <c r="O2188" t="str" cm="1">
        <f t="array" ref="O2188">_xlfn.IFS(orders[[#This Row],[Customer Gender]]="M","Male", orders[[#This Row],[Customer Gender]]="F","Female", orders[[#This Row],[Customer Gender]]="O","Other", TRUE,"Unknown")</f>
        <v>Female</v>
      </c>
    </row>
    <row r="2189" spans="1:15" x14ac:dyDescent="0.3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1">
        <v>45737</v>
      </c>
      <c r="G2189" s="1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f>orders[[#This Row],[Ship Date]]-orders[[#This Row],[Order Date]]</f>
        <v>1</v>
      </c>
      <c r="N2189">
        <f>WEEKNUM(orders[[#This Row],[Order Date]])</f>
        <v>12</v>
      </c>
      <c r="O2189" t="str" cm="1">
        <f t="array" ref="O2189">_xlfn.IFS(orders[[#This Row],[Customer Gender]]="M","Male", orders[[#This Row],[Customer Gender]]="F","Female", orders[[#This Row],[Customer Gender]]="O","Other", TRUE,"Unknown")</f>
        <v>Female</v>
      </c>
    </row>
    <row r="2190" spans="1:15" x14ac:dyDescent="0.3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1">
        <v>45737</v>
      </c>
      <c r="G2190" s="1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f>orders[[#This Row],[Ship Date]]-orders[[#This Row],[Order Date]]</f>
        <v>1</v>
      </c>
      <c r="N2190">
        <f>WEEKNUM(orders[[#This Row],[Order Date]])</f>
        <v>12</v>
      </c>
      <c r="O2190" t="str" cm="1">
        <f t="array" ref="O2190">_xlfn.IFS(orders[[#This Row],[Customer Gender]]="M","Male", orders[[#This Row],[Customer Gender]]="F","Female", orders[[#This Row],[Customer Gender]]="O","Other", TRUE,"Unknown")</f>
        <v>Male</v>
      </c>
    </row>
    <row r="2191" spans="1:15" x14ac:dyDescent="0.3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1">
        <v>45737</v>
      </c>
      <c r="G2191" s="1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f>orders[[#This Row],[Ship Date]]-orders[[#This Row],[Order Date]]</f>
        <v>1</v>
      </c>
      <c r="N2191">
        <f>WEEKNUM(orders[[#This Row],[Order Date]])</f>
        <v>12</v>
      </c>
      <c r="O2191" t="str" cm="1">
        <f t="array" ref="O2191">_xlfn.IFS(orders[[#This Row],[Customer Gender]]="M","Male", orders[[#This Row],[Customer Gender]]="F","Female", orders[[#This Row],[Customer Gender]]="O","Other", TRUE,"Unknown")</f>
        <v>Male</v>
      </c>
    </row>
    <row r="2192" spans="1:15" x14ac:dyDescent="0.3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1">
        <v>45737</v>
      </c>
      <c r="G2192" s="1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f>orders[[#This Row],[Ship Date]]-orders[[#This Row],[Order Date]]</f>
        <v>5</v>
      </c>
      <c r="N2192">
        <f>WEEKNUM(orders[[#This Row],[Order Date]])</f>
        <v>12</v>
      </c>
      <c r="O2192" t="str" cm="1">
        <f t="array" ref="O2192">_xlfn.IFS(orders[[#This Row],[Customer Gender]]="M","Male", orders[[#This Row],[Customer Gender]]="F","Female", orders[[#This Row],[Customer Gender]]="O","Other", TRUE,"Unknown")</f>
        <v>Male</v>
      </c>
    </row>
    <row r="2193" spans="1:15" x14ac:dyDescent="0.3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1">
        <v>45737</v>
      </c>
      <c r="G2193" s="1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f>orders[[#This Row],[Ship Date]]-orders[[#This Row],[Order Date]]</f>
        <v>7</v>
      </c>
      <c r="N2193">
        <f>WEEKNUM(orders[[#This Row],[Order Date]])</f>
        <v>12</v>
      </c>
      <c r="O2193" t="str" cm="1">
        <f t="array" ref="O2193">_xlfn.IFS(orders[[#This Row],[Customer Gender]]="M","Male", orders[[#This Row],[Customer Gender]]="F","Female", orders[[#This Row],[Customer Gender]]="O","Other", TRUE,"Unknown")</f>
        <v>Male</v>
      </c>
    </row>
    <row r="2194" spans="1:15" x14ac:dyDescent="0.3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1">
        <v>45737</v>
      </c>
      <c r="G2194" s="1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f>orders[[#This Row],[Ship Date]]-orders[[#This Row],[Order Date]]</f>
        <v>2</v>
      </c>
      <c r="N2194">
        <f>WEEKNUM(orders[[#This Row],[Order Date]])</f>
        <v>12</v>
      </c>
      <c r="O2194" t="str" cm="1">
        <f t="array" ref="O2194">_xlfn.IFS(orders[[#This Row],[Customer Gender]]="M","Male", orders[[#This Row],[Customer Gender]]="F","Female", orders[[#This Row],[Customer Gender]]="O","Other", TRUE,"Unknown")</f>
        <v>Male</v>
      </c>
    </row>
    <row r="2195" spans="1:15" x14ac:dyDescent="0.3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1">
        <v>45738</v>
      </c>
      <c r="G2195" s="1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f>orders[[#This Row],[Ship Date]]-orders[[#This Row],[Order Date]]</f>
        <v>0</v>
      </c>
      <c r="N2195">
        <f>WEEKNUM(orders[[#This Row],[Order Date]])</f>
        <v>12</v>
      </c>
      <c r="O2195" t="str" cm="1">
        <f t="array" ref="O2195">_xlfn.IFS(orders[[#This Row],[Customer Gender]]="M","Male", orders[[#This Row],[Customer Gender]]="F","Female", orders[[#This Row],[Customer Gender]]="O","Other", TRUE,"Unknown")</f>
        <v>Female</v>
      </c>
    </row>
    <row r="2196" spans="1:15" x14ac:dyDescent="0.3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1">
        <v>45738</v>
      </c>
      <c r="G2196" s="1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f>orders[[#This Row],[Ship Date]]-orders[[#This Row],[Order Date]]</f>
        <v>2</v>
      </c>
      <c r="N2196">
        <f>WEEKNUM(orders[[#This Row],[Order Date]])</f>
        <v>12</v>
      </c>
      <c r="O2196" t="str" cm="1">
        <f t="array" ref="O2196">_xlfn.IFS(orders[[#This Row],[Customer Gender]]="M","Male", orders[[#This Row],[Customer Gender]]="F","Female", orders[[#This Row],[Customer Gender]]="O","Other", TRUE,"Unknown")</f>
        <v>Male</v>
      </c>
    </row>
    <row r="2197" spans="1:15" x14ac:dyDescent="0.3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1">
        <v>45738</v>
      </c>
      <c r="G2197" s="1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f>orders[[#This Row],[Ship Date]]-orders[[#This Row],[Order Date]]</f>
        <v>4</v>
      </c>
      <c r="N2197">
        <f>WEEKNUM(orders[[#This Row],[Order Date]])</f>
        <v>12</v>
      </c>
      <c r="O2197" t="str" cm="1">
        <f t="array" ref="O2197">_xlfn.IFS(orders[[#This Row],[Customer Gender]]="M","Male", orders[[#This Row],[Customer Gender]]="F","Female", orders[[#This Row],[Customer Gender]]="O","Other", TRUE,"Unknown")</f>
        <v>Male</v>
      </c>
    </row>
    <row r="2198" spans="1:15" x14ac:dyDescent="0.3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1">
        <v>45738</v>
      </c>
      <c r="G2198" s="1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f>orders[[#This Row],[Ship Date]]-orders[[#This Row],[Order Date]]</f>
        <v>1</v>
      </c>
      <c r="N2198">
        <f>WEEKNUM(orders[[#This Row],[Order Date]])</f>
        <v>12</v>
      </c>
      <c r="O2198" t="str" cm="1">
        <f t="array" ref="O2198">_xlfn.IFS(orders[[#This Row],[Customer Gender]]="M","Male", orders[[#This Row],[Customer Gender]]="F","Female", orders[[#This Row],[Customer Gender]]="O","Other", TRUE,"Unknown")</f>
        <v>Female</v>
      </c>
    </row>
    <row r="2199" spans="1:15" x14ac:dyDescent="0.3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1">
        <v>45738</v>
      </c>
      <c r="G2199" s="1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f>orders[[#This Row],[Ship Date]]-orders[[#This Row],[Order Date]]</f>
        <v>1</v>
      </c>
      <c r="N2199">
        <f>WEEKNUM(orders[[#This Row],[Order Date]])</f>
        <v>12</v>
      </c>
      <c r="O2199" t="str" cm="1">
        <f t="array" ref="O2199">_xlfn.IFS(orders[[#This Row],[Customer Gender]]="M","Male", orders[[#This Row],[Customer Gender]]="F","Female", orders[[#This Row],[Customer Gender]]="O","Other", TRUE,"Unknown")</f>
        <v>Female</v>
      </c>
    </row>
    <row r="2200" spans="1:15" x14ac:dyDescent="0.3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1">
        <v>45738</v>
      </c>
      <c r="G2200" s="1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f>orders[[#This Row],[Ship Date]]-orders[[#This Row],[Order Date]]</f>
        <v>1</v>
      </c>
      <c r="N2200">
        <f>WEEKNUM(orders[[#This Row],[Order Date]])</f>
        <v>12</v>
      </c>
      <c r="O2200" t="str" cm="1">
        <f t="array" ref="O2200">_xlfn.IFS(orders[[#This Row],[Customer Gender]]="M","Male", orders[[#This Row],[Customer Gender]]="F","Female", orders[[#This Row],[Customer Gender]]="O","Other", TRUE,"Unknown")</f>
        <v>Male</v>
      </c>
    </row>
    <row r="2201" spans="1:15" x14ac:dyDescent="0.3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1">
        <v>45738</v>
      </c>
      <c r="G2201" s="1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f>orders[[#This Row],[Ship Date]]-orders[[#This Row],[Order Date]]</f>
        <v>2</v>
      </c>
      <c r="N2201">
        <f>WEEKNUM(orders[[#This Row],[Order Date]])</f>
        <v>12</v>
      </c>
      <c r="O2201" t="str" cm="1">
        <f t="array" ref="O2201">_xlfn.IFS(orders[[#This Row],[Customer Gender]]="M","Male", orders[[#This Row],[Customer Gender]]="F","Female", orders[[#This Row],[Customer Gender]]="O","Other", TRUE,"Unknown")</f>
        <v>Male</v>
      </c>
    </row>
    <row r="2202" spans="1:15" x14ac:dyDescent="0.3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1">
        <v>45738</v>
      </c>
      <c r="G2202" s="1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f>orders[[#This Row],[Ship Date]]-orders[[#This Row],[Order Date]]</f>
        <v>1</v>
      </c>
      <c r="N2202">
        <f>WEEKNUM(orders[[#This Row],[Order Date]])</f>
        <v>12</v>
      </c>
      <c r="O2202" t="str" cm="1">
        <f t="array" ref="O2202">_xlfn.IFS(orders[[#This Row],[Customer Gender]]="M","Male", orders[[#This Row],[Customer Gender]]="F","Female", orders[[#This Row],[Customer Gender]]="O","Other", TRUE,"Unknown")</f>
        <v>Male</v>
      </c>
    </row>
    <row r="2203" spans="1:15" x14ac:dyDescent="0.3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1">
        <v>45738</v>
      </c>
      <c r="G2203" s="1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f>orders[[#This Row],[Ship Date]]-orders[[#This Row],[Order Date]]</f>
        <v>1</v>
      </c>
      <c r="N2203">
        <f>WEEKNUM(orders[[#This Row],[Order Date]])</f>
        <v>12</v>
      </c>
      <c r="O2203" t="str" cm="1">
        <f t="array" ref="O2203">_xlfn.IFS(orders[[#This Row],[Customer Gender]]="M","Male", orders[[#This Row],[Customer Gender]]="F","Female", orders[[#This Row],[Customer Gender]]="O","Other", TRUE,"Unknown")</f>
        <v>Male</v>
      </c>
    </row>
    <row r="2204" spans="1:15" x14ac:dyDescent="0.3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1">
        <v>45738</v>
      </c>
      <c r="G2204" s="1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f>orders[[#This Row],[Ship Date]]-orders[[#This Row],[Order Date]]</f>
        <v>4</v>
      </c>
      <c r="N2204">
        <f>WEEKNUM(orders[[#This Row],[Order Date]])</f>
        <v>12</v>
      </c>
      <c r="O2204" t="str" cm="1">
        <f t="array" ref="O2204">_xlfn.IFS(orders[[#This Row],[Customer Gender]]="M","Male", orders[[#This Row],[Customer Gender]]="F","Female", orders[[#This Row],[Customer Gender]]="O","Other", TRUE,"Unknown")</f>
        <v>Male</v>
      </c>
    </row>
    <row r="2205" spans="1:15" x14ac:dyDescent="0.3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1">
        <v>45738</v>
      </c>
      <c r="G2205" s="1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f>orders[[#This Row],[Ship Date]]-orders[[#This Row],[Order Date]]</f>
        <v>1</v>
      </c>
      <c r="N2205">
        <f>WEEKNUM(orders[[#This Row],[Order Date]])</f>
        <v>12</v>
      </c>
      <c r="O2205" t="str" cm="1">
        <f t="array" ref="O2205">_xlfn.IFS(orders[[#This Row],[Customer Gender]]="M","Male", orders[[#This Row],[Customer Gender]]="F","Female", orders[[#This Row],[Customer Gender]]="O","Other", TRUE,"Unknown")</f>
        <v>Male</v>
      </c>
    </row>
    <row r="2206" spans="1:15" x14ac:dyDescent="0.3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1">
        <v>45738</v>
      </c>
      <c r="G2206" s="1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f>orders[[#This Row],[Ship Date]]-orders[[#This Row],[Order Date]]</f>
        <v>3</v>
      </c>
      <c r="N2206">
        <f>WEEKNUM(orders[[#This Row],[Order Date]])</f>
        <v>12</v>
      </c>
      <c r="O2206" t="str" cm="1">
        <f t="array" ref="O2206">_xlfn.IFS(orders[[#This Row],[Customer Gender]]="M","Male", orders[[#This Row],[Customer Gender]]="F","Female", orders[[#This Row],[Customer Gender]]="O","Other", TRUE,"Unknown")</f>
        <v>Female</v>
      </c>
    </row>
    <row r="2207" spans="1:15" x14ac:dyDescent="0.3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1">
        <v>45738</v>
      </c>
      <c r="G2207" s="1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f>orders[[#This Row],[Ship Date]]-orders[[#This Row],[Order Date]]</f>
        <v>2</v>
      </c>
      <c r="N2207">
        <f>WEEKNUM(orders[[#This Row],[Order Date]])</f>
        <v>12</v>
      </c>
      <c r="O2207" t="str" cm="1">
        <f t="array" ref="O2207">_xlfn.IFS(orders[[#This Row],[Customer Gender]]="M","Male", orders[[#This Row],[Customer Gender]]="F","Female", orders[[#This Row],[Customer Gender]]="O","Other", TRUE,"Unknown")</f>
        <v>Female</v>
      </c>
    </row>
    <row r="2208" spans="1:15" x14ac:dyDescent="0.3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1">
        <v>45738</v>
      </c>
      <c r="G2208" s="1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f>orders[[#This Row],[Ship Date]]-orders[[#This Row],[Order Date]]</f>
        <v>1</v>
      </c>
      <c r="N2208">
        <f>WEEKNUM(orders[[#This Row],[Order Date]])</f>
        <v>12</v>
      </c>
      <c r="O2208" t="str" cm="1">
        <f t="array" ref="O2208">_xlfn.IFS(orders[[#This Row],[Customer Gender]]="M","Male", orders[[#This Row],[Customer Gender]]="F","Female", orders[[#This Row],[Customer Gender]]="O","Other", TRUE,"Unknown")</f>
        <v>Female</v>
      </c>
    </row>
    <row r="2209" spans="1:15" x14ac:dyDescent="0.3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1">
        <v>45738</v>
      </c>
      <c r="G2209" s="1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f>orders[[#This Row],[Ship Date]]-orders[[#This Row],[Order Date]]</f>
        <v>0</v>
      </c>
      <c r="N2209">
        <f>WEEKNUM(orders[[#This Row],[Order Date]])</f>
        <v>12</v>
      </c>
      <c r="O2209" t="str" cm="1">
        <f t="array" ref="O2209">_xlfn.IFS(orders[[#This Row],[Customer Gender]]="M","Male", orders[[#This Row],[Customer Gender]]="F","Female", orders[[#This Row],[Customer Gender]]="O","Other", TRUE,"Unknown")</f>
        <v>Female</v>
      </c>
    </row>
    <row r="2210" spans="1:15" x14ac:dyDescent="0.3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1">
        <v>45738</v>
      </c>
      <c r="G2210" s="1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f>orders[[#This Row],[Ship Date]]-orders[[#This Row],[Order Date]]</f>
        <v>2</v>
      </c>
      <c r="N2210">
        <f>WEEKNUM(orders[[#This Row],[Order Date]])</f>
        <v>12</v>
      </c>
      <c r="O2210" t="str" cm="1">
        <f t="array" ref="O2210">_xlfn.IFS(orders[[#This Row],[Customer Gender]]="M","Male", orders[[#This Row],[Customer Gender]]="F","Female", orders[[#This Row],[Customer Gender]]="O","Other", TRUE,"Unknown")</f>
        <v>Female</v>
      </c>
    </row>
    <row r="2211" spans="1:15" x14ac:dyDescent="0.3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1">
        <v>45738</v>
      </c>
      <c r="G2211" s="1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f>orders[[#This Row],[Ship Date]]-orders[[#This Row],[Order Date]]</f>
        <v>1</v>
      </c>
      <c r="N2211">
        <f>WEEKNUM(orders[[#This Row],[Order Date]])</f>
        <v>12</v>
      </c>
      <c r="O2211" t="str" cm="1">
        <f t="array" ref="O2211">_xlfn.IFS(orders[[#This Row],[Customer Gender]]="M","Male", orders[[#This Row],[Customer Gender]]="F","Female", orders[[#This Row],[Customer Gender]]="O","Other", TRUE,"Unknown")</f>
        <v>Male</v>
      </c>
    </row>
    <row r="2212" spans="1:15" x14ac:dyDescent="0.3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1">
        <v>45738</v>
      </c>
      <c r="G2212" s="1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f>orders[[#This Row],[Ship Date]]-orders[[#This Row],[Order Date]]</f>
        <v>2</v>
      </c>
      <c r="N2212">
        <f>WEEKNUM(orders[[#This Row],[Order Date]])</f>
        <v>12</v>
      </c>
      <c r="O2212" t="str" cm="1">
        <f t="array" ref="O2212">_xlfn.IFS(orders[[#This Row],[Customer Gender]]="M","Male", orders[[#This Row],[Customer Gender]]="F","Female", orders[[#This Row],[Customer Gender]]="O","Other", TRUE,"Unknown")</f>
        <v>Unknown</v>
      </c>
    </row>
    <row r="2213" spans="1:15" x14ac:dyDescent="0.3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1">
        <v>45738</v>
      </c>
      <c r="G2213" s="1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f>orders[[#This Row],[Ship Date]]-orders[[#This Row],[Order Date]]</f>
        <v>1</v>
      </c>
      <c r="N2213">
        <f>WEEKNUM(orders[[#This Row],[Order Date]])</f>
        <v>12</v>
      </c>
      <c r="O2213" t="str" cm="1">
        <f t="array" ref="O2213">_xlfn.IFS(orders[[#This Row],[Customer Gender]]="M","Male", orders[[#This Row],[Customer Gender]]="F","Female", orders[[#This Row],[Customer Gender]]="O","Other", TRUE,"Unknown")</f>
        <v>Male</v>
      </c>
    </row>
    <row r="2214" spans="1:15" x14ac:dyDescent="0.3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1">
        <v>45738</v>
      </c>
      <c r="G2214" s="1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f>orders[[#This Row],[Ship Date]]-orders[[#This Row],[Order Date]]</f>
        <v>8</v>
      </c>
      <c r="N2214">
        <f>WEEKNUM(orders[[#This Row],[Order Date]])</f>
        <v>12</v>
      </c>
      <c r="O2214" t="str" cm="1">
        <f t="array" ref="O2214">_xlfn.IFS(orders[[#This Row],[Customer Gender]]="M","Male", orders[[#This Row],[Customer Gender]]="F","Female", orders[[#This Row],[Customer Gender]]="O","Other", TRUE,"Unknown")</f>
        <v>Female</v>
      </c>
    </row>
    <row r="2215" spans="1:15" x14ac:dyDescent="0.3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1">
        <v>45738</v>
      </c>
      <c r="G2215" s="1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f>orders[[#This Row],[Ship Date]]-orders[[#This Row],[Order Date]]</f>
        <v>2</v>
      </c>
      <c r="N2215">
        <f>WEEKNUM(orders[[#This Row],[Order Date]])</f>
        <v>12</v>
      </c>
      <c r="O2215" t="str" cm="1">
        <f t="array" ref="O2215">_xlfn.IFS(orders[[#This Row],[Customer Gender]]="M","Male", orders[[#This Row],[Customer Gender]]="F","Female", orders[[#This Row],[Customer Gender]]="O","Other", TRUE,"Unknown")</f>
        <v>Male</v>
      </c>
    </row>
    <row r="2216" spans="1:15" x14ac:dyDescent="0.3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1">
        <v>45738</v>
      </c>
      <c r="G2216" s="1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f>orders[[#This Row],[Ship Date]]-orders[[#This Row],[Order Date]]</f>
        <v>3</v>
      </c>
      <c r="N2216">
        <f>WEEKNUM(orders[[#This Row],[Order Date]])</f>
        <v>12</v>
      </c>
      <c r="O2216" t="str" cm="1">
        <f t="array" ref="O2216">_xlfn.IFS(orders[[#This Row],[Customer Gender]]="M","Male", orders[[#This Row],[Customer Gender]]="F","Female", orders[[#This Row],[Customer Gender]]="O","Other", TRUE,"Unknown")</f>
        <v>Other</v>
      </c>
    </row>
    <row r="2217" spans="1:15" x14ac:dyDescent="0.3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1">
        <v>45738</v>
      </c>
      <c r="G2217" s="1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f>orders[[#This Row],[Ship Date]]-orders[[#This Row],[Order Date]]</f>
        <v>1</v>
      </c>
      <c r="N2217">
        <f>WEEKNUM(orders[[#This Row],[Order Date]])</f>
        <v>12</v>
      </c>
      <c r="O2217" t="str" cm="1">
        <f t="array" ref="O2217">_xlfn.IFS(orders[[#This Row],[Customer Gender]]="M","Male", orders[[#This Row],[Customer Gender]]="F","Female", orders[[#This Row],[Customer Gender]]="O","Other", TRUE,"Unknown")</f>
        <v>Female</v>
      </c>
    </row>
    <row r="2218" spans="1:15" x14ac:dyDescent="0.3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1">
        <v>45739</v>
      </c>
      <c r="G2218" s="1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f>orders[[#This Row],[Ship Date]]-orders[[#This Row],[Order Date]]</f>
        <v>1</v>
      </c>
      <c r="N2218">
        <f>WEEKNUM(orders[[#This Row],[Order Date]])</f>
        <v>13</v>
      </c>
      <c r="O2218" t="str" cm="1">
        <f t="array" ref="O2218">_xlfn.IFS(orders[[#This Row],[Customer Gender]]="M","Male", orders[[#This Row],[Customer Gender]]="F","Female", orders[[#This Row],[Customer Gender]]="O","Other", TRUE,"Unknown")</f>
        <v>Male</v>
      </c>
    </row>
    <row r="2219" spans="1:15" x14ac:dyDescent="0.3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1">
        <v>45739</v>
      </c>
      <c r="G2219" s="1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f>orders[[#This Row],[Ship Date]]-orders[[#This Row],[Order Date]]</f>
        <v>4</v>
      </c>
      <c r="N2219">
        <f>WEEKNUM(orders[[#This Row],[Order Date]])</f>
        <v>13</v>
      </c>
      <c r="O2219" t="str" cm="1">
        <f t="array" ref="O2219">_xlfn.IFS(orders[[#This Row],[Customer Gender]]="M","Male", orders[[#This Row],[Customer Gender]]="F","Female", orders[[#This Row],[Customer Gender]]="O","Other", TRUE,"Unknown")</f>
        <v>Male</v>
      </c>
    </row>
    <row r="2220" spans="1:15" x14ac:dyDescent="0.3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1">
        <v>45739</v>
      </c>
      <c r="G2220" s="1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f>orders[[#This Row],[Ship Date]]-orders[[#This Row],[Order Date]]</f>
        <v>1</v>
      </c>
      <c r="N2220">
        <f>WEEKNUM(orders[[#This Row],[Order Date]])</f>
        <v>13</v>
      </c>
      <c r="O2220" t="str" cm="1">
        <f t="array" ref="O2220">_xlfn.IFS(orders[[#This Row],[Customer Gender]]="M","Male", orders[[#This Row],[Customer Gender]]="F","Female", orders[[#This Row],[Customer Gender]]="O","Other", TRUE,"Unknown")</f>
        <v>Male</v>
      </c>
    </row>
    <row r="2221" spans="1:15" x14ac:dyDescent="0.3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1">
        <v>45739</v>
      </c>
      <c r="G2221" s="1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f>orders[[#This Row],[Ship Date]]-orders[[#This Row],[Order Date]]</f>
        <v>0</v>
      </c>
      <c r="N2221">
        <f>WEEKNUM(orders[[#This Row],[Order Date]])</f>
        <v>13</v>
      </c>
      <c r="O2221" t="str" cm="1">
        <f t="array" ref="O2221">_xlfn.IFS(orders[[#This Row],[Customer Gender]]="M","Male", orders[[#This Row],[Customer Gender]]="F","Female", orders[[#This Row],[Customer Gender]]="O","Other", TRUE,"Unknown")</f>
        <v>Male</v>
      </c>
    </row>
    <row r="2222" spans="1:15" x14ac:dyDescent="0.3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1">
        <v>45739</v>
      </c>
      <c r="G2222" s="1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f>orders[[#This Row],[Ship Date]]-orders[[#This Row],[Order Date]]</f>
        <v>1</v>
      </c>
      <c r="N2222">
        <f>WEEKNUM(orders[[#This Row],[Order Date]])</f>
        <v>13</v>
      </c>
      <c r="O2222" t="str" cm="1">
        <f t="array" ref="O2222">_xlfn.IFS(orders[[#This Row],[Customer Gender]]="M","Male", orders[[#This Row],[Customer Gender]]="F","Female", orders[[#This Row],[Customer Gender]]="O","Other", TRUE,"Unknown")</f>
        <v>Male</v>
      </c>
    </row>
    <row r="2223" spans="1:15" x14ac:dyDescent="0.3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1">
        <v>45739</v>
      </c>
      <c r="G2223" s="1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f>orders[[#This Row],[Ship Date]]-orders[[#This Row],[Order Date]]</f>
        <v>0</v>
      </c>
      <c r="N2223">
        <f>WEEKNUM(orders[[#This Row],[Order Date]])</f>
        <v>13</v>
      </c>
      <c r="O2223" t="str" cm="1">
        <f t="array" ref="O2223">_xlfn.IFS(orders[[#This Row],[Customer Gender]]="M","Male", orders[[#This Row],[Customer Gender]]="F","Female", orders[[#This Row],[Customer Gender]]="O","Other", TRUE,"Unknown")</f>
        <v>Male</v>
      </c>
    </row>
    <row r="2224" spans="1:15" x14ac:dyDescent="0.3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1">
        <v>45739</v>
      </c>
      <c r="G2224" s="1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f>orders[[#This Row],[Ship Date]]-orders[[#This Row],[Order Date]]</f>
        <v>3</v>
      </c>
      <c r="N2224">
        <f>WEEKNUM(orders[[#This Row],[Order Date]])</f>
        <v>13</v>
      </c>
      <c r="O2224" t="str" cm="1">
        <f t="array" ref="O2224">_xlfn.IFS(orders[[#This Row],[Customer Gender]]="M","Male", orders[[#This Row],[Customer Gender]]="F","Female", orders[[#This Row],[Customer Gender]]="O","Other", TRUE,"Unknown")</f>
        <v>Female</v>
      </c>
    </row>
    <row r="2225" spans="1:15" x14ac:dyDescent="0.3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1">
        <v>45739</v>
      </c>
      <c r="G2225" s="1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f>orders[[#This Row],[Ship Date]]-orders[[#This Row],[Order Date]]</f>
        <v>1</v>
      </c>
      <c r="N2225">
        <f>WEEKNUM(orders[[#This Row],[Order Date]])</f>
        <v>13</v>
      </c>
      <c r="O2225" t="str" cm="1">
        <f t="array" ref="O2225">_xlfn.IFS(orders[[#This Row],[Customer Gender]]="M","Male", orders[[#This Row],[Customer Gender]]="F","Female", orders[[#This Row],[Customer Gender]]="O","Other", TRUE,"Unknown")</f>
        <v>Female</v>
      </c>
    </row>
    <row r="2226" spans="1:15" x14ac:dyDescent="0.3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1">
        <v>45739</v>
      </c>
      <c r="G2226" s="1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f>orders[[#This Row],[Ship Date]]-orders[[#This Row],[Order Date]]</f>
        <v>1</v>
      </c>
      <c r="N2226">
        <f>WEEKNUM(orders[[#This Row],[Order Date]])</f>
        <v>13</v>
      </c>
      <c r="O2226" t="str" cm="1">
        <f t="array" ref="O2226">_xlfn.IFS(orders[[#This Row],[Customer Gender]]="M","Male", orders[[#This Row],[Customer Gender]]="F","Female", orders[[#This Row],[Customer Gender]]="O","Other", TRUE,"Unknown")</f>
        <v>Female</v>
      </c>
    </row>
    <row r="2227" spans="1:15" x14ac:dyDescent="0.3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1">
        <v>45739</v>
      </c>
      <c r="G2227" s="1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f>orders[[#This Row],[Ship Date]]-orders[[#This Row],[Order Date]]</f>
        <v>0</v>
      </c>
      <c r="N2227">
        <f>WEEKNUM(orders[[#This Row],[Order Date]])</f>
        <v>13</v>
      </c>
      <c r="O2227" t="str" cm="1">
        <f t="array" ref="O2227">_xlfn.IFS(orders[[#This Row],[Customer Gender]]="M","Male", orders[[#This Row],[Customer Gender]]="F","Female", orders[[#This Row],[Customer Gender]]="O","Other", TRUE,"Unknown")</f>
        <v>Female</v>
      </c>
    </row>
    <row r="2228" spans="1:15" x14ac:dyDescent="0.3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1">
        <v>45739</v>
      </c>
      <c r="G2228" s="1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f>orders[[#This Row],[Ship Date]]-orders[[#This Row],[Order Date]]</f>
        <v>3</v>
      </c>
      <c r="N2228">
        <f>WEEKNUM(orders[[#This Row],[Order Date]])</f>
        <v>13</v>
      </c>
      <c r="O2228" t="str" cm="1">
        <f t="array" ref="O2228">_xlfn.IFS(orders[[#This Row],[Customer Gender]]="M","Male", orders[[#This Row],[Customer Gender]]="F","Female", orders[[#This Row],[Customer Gender]]="O","Other", TRUE,"Unknown")</f>
        <v>Male</v>
      </c>
    </row>
    <row r="2229" spans="1:15" x14ac:dyDescent="0.3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1">
        <v>45739</v>
      </c>
      <c r="G2229" s="1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f>orders[[#This Row],[Ship Date]]-orders[[#This Row],[Order Date]]</f>
        <v>1</v>
      </c>
      <c r="N2229">
        <f>WEEKNUM(orders[[#This Row],[Order Date]])</f>
        <v>13</v>
      </c>
      <c r="O2229" t="str" cm="1">
        <f t="array" ref="O2229">_xlfn.IFS(orders[[#This Row],[Customer Gender]]="M","Male", orders[[#This Row],[Customer Gender]]="F","Female", orders[[#This Row],[Customer Gender]]="O","Other", TRUE,"Unknown")</f>
        <v>Male</v>
      </c>
    </row>
    <row r="2230" spans="1:15" x14ac:dyDescent="0.3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1">
        <v>45739</v>
      </c>
      <c r="G2230" s="1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f>orders[[#This Row],[Ship Date]]-orders[[#This Row],[Order Date]]</f>
        <v>3</v>
      </c>
      <c r="N2230">
        <f>WEEKNUM(orders[[#This Row],[Order Date]])</f>
        <v>13</v>
      </c>
      <c r="O2230" t="str" cm="1">
        <f t="array" ref="O2230">_xlfn.IFS(orders[[#This Row],[Customer Gender]]="M","Male", orders[[#This Row],[Customer Gender]]="F","Female", orders[[#This Row],[Customer Gender]]="O","Other", TRUE,"Unknown")</f>
        <v>Female</v>
      </c>
    </row>
    <row r="2231" spans="1:15" x14ac:dyDescent="0.3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1">
        <v>45739</v>
      </c>
      <c r="G2231" s="1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f>orders[[#This Row],[Ship Date]]-orders[[#This Row],[Order Date]]</f>
        <v>0</v>
      </c>
      <c r="N2231">
        <f>WEEKNUM(orders[[#This Row],[Order Date]])</f>
        <v>13</v>
      </c>
      <c r="O2231" t="str" cm="1">
        <f t="array" ref="O2231">_xlfn.IFS(orders[[#This Row],[Customer Gender]]="M","Male", orders[[#This Row],[Customer Gender]]="F","Female", orders[[#This Row],[Customer Gender]]="O","Other", TRUE,"Unknown")</f>
        <v>Female</v>
      </c>
    </row>
    <row r="2232" spans="1:15" x14ac:dyDescent="0.3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1">
        <v>45739</v>
      </c>
      <c r="G2232" s="1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f>orders[[#This Row],[Ship Date]]-orders[[#This Row],[Order Date]]</f>
        <v>0</v>
      </c>
      <c r="N2232">
        <f>WEEKNUM(orders[[#This Row],[Order Date]])</f>
        <v>13</v>
      </c>
      <c r="O2232" t="str" cm="1">
        <f t="array" ref="O2232">_xlfn.IFS(orders[[#This Row],[Customer Gender]]="M","Male", orders[[#This Row],[Customer Gender]]="F","Female", orders[[#This Row],[Customer Gender]]="O","Other", TRUE,"Unknown")</f>
        <v>Female</v>
      </c>
    </row>
    <row r="2233" spans="1:15" x14ac:dyDescent="0.3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1">
        <v>45739</v>
      </c>
      <c r="G2233" s="1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f>orders[[#This Row],[Ship Date]]-orders[[#This Row],[Order Date]]</f>
        <v>5</v>
      </c>
      <c r="N2233">
        <f>WEEKNUM(orders[[#This Row],[Order Date]])</f>
        <v>13</v>
      </c>
      <c r="O2233" t="str" cm="1">
        <f t="array" ref="O2233">_xlfn.IFS(orders[[#This Row],[Customer Gender]]="M","Male", orders[[#This Row],[Customer Gender]]="F","Female", orders[[#This Row],[Customer Gender]]="O","Other", TRUE,"Unknown")</f>
        <v>Male</v>
      </c>
    </row>
    <row r="2234" spans="1:15" x14ac:dyDescent="0.3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1">
        <v>45739</v>
      </c>
      <c r="G2234" s="1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f>orders[[#This Row],[Ship Date]]-orders[[#This Row],[Order Date]]</f>
        <v>1</v>
      </c>
      <c r="N2234">
        <f>WEEKNUM(orders[[#This Row],[Order Date]])</f>
        <v>13</v>
      </c>
      <c r="O2234" t="str" cm="1">
        <f t="array" ref="O2234">_xlfn.IFS(orders[[#This Row],[Customer Gender]]="M","Male", orders[[#This Row],[Customer Gender]]="F","Female", orders[[#This Row],[Customer Gender]]="O","Other", TRUE,"Unknown")</f>
        <v>Female</v>
      </c>
    </row>
    <row r="2235" spans="1:15" x14ac:dyDescent="0.3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1">
        <v>45739</v>
      </c>
      <c r="G2235" s="1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f>orders[[#This Row],[Ship Date]]-orders[[#This Row],[Order Date]]</f>
        <v>1</v>
      </c>
      <c r="N2235">
        <f>WEEKNUM(orders[[#This Row],[Order Date]])</f>
        <v>13</v>
      </c>
      <c r="O2235" t="str" cm="1">
        <f t="array" ref="O2235">_xlfn.IFS(orders[[#This Row],[Customer Gender]]="M","Male", orders[[#This Row],[Customer Gender]]="F","Female", orders[[#This Row],[Customer Gender]]="O","Other", TRUE,"Unknown")</f>
        <v>Male</v>
      </c>
    </row>
    <row r="2236" spans="1:15" x14ac:dyDescent="0.3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1">
        <v>45739</v>
      </c>
      <c r="G2236" s="1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f>orders[[#This Row],[Ship Date]]-orders[[#This Row],[Order Date]]</f>
        <v>3</v>
      </c>
      <c r="N2236">
        <f>WEEKNUM(orders[[#This Row],[Order Date]])</f>
        <v>13</v>
      </c>
      <c r="O2236" t="str" cm="1">
        <f t="array" ref="O2236">_xlfn.IFS(orders[[#This Row],[Customer Gender]]="M","Male", orders[[#This Row],[Customer Gender]]="F","Female", orders[[#This Row],[Customer Gender]]="O","Other", TRUE,"Unknown")</f>
        <v>Female</v>
      </c>
    </row>
    <row r="2237" spans="1:15" x14ac:dyDescent="0.3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1">
        <v>45740</v>
      </c>
      <c r="G2237" s="1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f>orders[[#This Row],[Ship Date]]-orders[[#This Row],[Order Date]]</f>
        <v>2</v>
      </c>
      <c r="N2237">
        <f>WEEKNUM(orders[[#This Row],[Order Date]])</f>
        <v>13</v>
      </c>
      <c r="O2237" t="str" cm="1">
        <f t="array" ref="O2237">_xlfn.IFS(orders[[#This Row],[Customer Gender]]="M","Male", orders[[#This Row],[Customer Gender]]="F","Female", orders[[#This Row],[Customer Gender]]="O","Other", TRUE,"Unknown")</f>
        <v>Unknown</v>
      </c>
    </row>
    <row r="2238" spans="1:15" x14ac:dyDescent="0.3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1">
        <v>45740</v>
      </c>
      <c r="G2238" s="1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f>orders[[#This Row],[Ship Date]]-orders[[#This Row],[Order Date]]</f>
        <v>1</v>
      </c>
      <c r="N2238">
        <f>WEEKNUM(orders[[#This Row],[Order Date]])</f>
        <v>13</v>
      </c>
      <c r="O2238" t="str" cm="1">
        <f t="array" ref="O2238">_xlfn.IFS(orders[[#This Row],[Customer Gender]]="M","Male", orders[[#This Row],[Customer Gender]]="F","Female", orders[[#This Row],[Customer Gender]]="O","Other", TRUE,"Unknown")</f>
        <v>Female</v>
      </c>
    </row>
    <row r="2239" spans="1:15" x14ac:dyDescent="0.3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1">
        <v>45740</v>
      </c>
      <c r="G2239" s="1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f>orders[[#This Row],[Ship Date]]-orders[[#This Row],[Order Date]]</f>
        <v>2</v>
      </c>
      <c r="N2239">
        <f>WEEKNUM(orders[[#This Row],[Order Date]])</f>
        <v>13</v>
      </c>
      <c r="O2239" t="str" cm="1">
        <f t="array" ref="O2239">_xlfn.IFS(orders[[#This Row],[Customer Gender]]="M","Male", orders[[#This Row],[Customer Gender]]="F","Female", orders[[#This Row],[Customer Gender]]="O","Other", TRUE,"Unknown")</f>
        <v>Female</v>
      </c>
    </row>
    <row r="2240" spans="1:15" x14ac:dyDescent="0.3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1">
        <v>45740</v>
      </c>
      <c r="G2240" s="1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f>orders[[#This Row],[Ship Date]]-orders[[#This Row],[Order Date]]</f>
        <v>2</v>
      </c>
      <c r="N2240">
        <f>WEEKNUM(orders[[#This Row],[Order Date]])</f>
        <v>13</v>
      </c>
      <c r="O2240" t="str" cm="1">
        <f t="array" ref="O2240">_xlfn.IFS(orders[[#This Row],[Customer Gender]]="M","Male", orders[[#This Row],[Customer Gender]]="F","Female", orders[[#This Row],[Customer Gender]]="O","Other", TRUE,"Unknown")</f>
        <v>Male</v>
      </c>
    </row>
    <row r="2241" spans="1:15" x14ac:dyDescent="0.3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1">
        <v>45740</v>
      </c>
      <c r="G2241" s="1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f>orders[[#This Row],[Ship Date]]-orders[[#This Row],[Order Date]]</f>
        <v>1</v>
      </c>
      <c r="N2241">
        <f>WEEKNUM(orders[[#This Row],[Order Date]])</f>
        <v>13</v>
      </c>
      <c r="O2241" t="str" cm="1">
        <f t="array" ref="O2241">_xlfn.IFS(orders[[#This Row],[Customer Gender]]="M","Male", orders[[#This Row],[Customer Gender]]="F","Female", orders[[#This Row],[Customer Gender]]="O","Other", TRUE,"Unknown")</f>
        <v>Female</v>
      </c>
    </row>
    <row r="2242" spans="1:15" x14ac:dyDescent="0.3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1">
        <v>45740</v>
      </c>
      <c r="G2242" s="1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f>orders[[#This Row],[Ship Date]]-orders[[#This Row],[Order Date]]</f>
        <v>1</v>
      </c>
      <c r="N2242">
        <f>WEEKNUM(orders[[#This Row],[Order Date]])</f>
        <v>13</v>
      </c>
      <c r="O2242" t="str" cm="1">
        <f t="array" ref="O2242">_xlfn.IFS(orders[[#This Row],[Customer Gender]]="M","Male", orders[[#This Row],[Customer Gender]]="F","Female", orders[[#This Row],[Customer Gender]]="O","Other", TRUE,"Unknown")</f>
        <v>Female</v>
      </c>
    </row>
    <row r="2243" spans="1:15" x14ac:dyDescent="0.3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1">
        <v>45740</v>
      </c>
      <c r="G2243" s="1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f>orders[[#This Row],[Ship Date]]-orders[[#This Row],[Order Date]]</f>
        <v>2</v>
      </c>
      <c r="N2243">
        <f>WEEKNUM(orders[[#This Row],[Order Date]])</f>
        <v>13</v>
      </c>
      <c r="O2243" t="str" cm="1">
        <f t="array" ref="O2243">_xlfn.IFS(orders[[#This Row],[Customer Gender]]="M","Male", orders[[#This Row],[Customer Gender]]="F","Female", orders[[#This Row],[Customer Gender]]="O","Other", TRUE,"Unknown")</f>
        <v>Male</v>
      </c>
    </row>
    <row r="2244" spans="1:15" x14ac:dyDescent="0.3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1">
        <v>45740</v>
      </c>
      <c r="G2244" s="1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f>orders[[#This Row],[Ship Date]]-orders[[#This Row],[Order Date]]</f>
        <v>4</v>
      </c>
      <c r="N2244">
        <f>WEEKNUM(orders[[#This Row],[Order Date]])</f>
        <v>13</v>
      </c>
      <c r="O2244" t="str" cm="1">
        <f t="array" ref="O2244">_xlfn.IFS(orders[[#This Row],[Customer Gender]]="M","Male", orders[[#This Row],[Customer Gender]]="F","Female", orders[[#This Row],[Customer Gender]]="O","Other", TRUE,"Unknown")</f>
        <v>Male</v>
      </c>
    </row>
    <row r="2245" spans="1:15" x14ac:dyDescent="0.3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1">
        <v>45740</v>
      </c>
      <c r="G2245" s="1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f>orders[[#This Row],[Ship Date]]-orders[[#This Row],[Order Date]]</f>
        <v>2</v>
      </c>
      <c r="N2245">
        <f>WEEKNUM(orders[[#This Row],[Order Date]])</f>
        <v>13</v>
      </c>
      <c r="O2245" t="str" cm="1">
        <f t="array" ref="O2245">_xlfn.IFS(orders[[#This Row],[Customer Gender]]="M","Male", orders[[#This Row],[Customer Gender]]="F","Female", orders[[#This Row],[Customer Gender]]="O","Other", TRUE,"Unknown")</f>
        <v>Female</v>
      </c>
    </row>
    <row r="2246" spans="1:15" x14ac:dyDescent="0.3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1">
        <v>45740</v>
      </c>
      <c r="G2246" s="1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f>orders[[#This Row],[Ship Date]]-orders[[#This Row],[Order Date]]</f>
        <v>1</v>
      </c>
      <c r="N2246">
        <f>WEEKNUM(orders[[#This Row],[Order Date]])</f>
        <v>13</v>
      </c>
      <c r="O2246" t="str" cm="1">
        <f t="array" ref="O2246">_xlfn.IFS(orders[[#This Row],[Customer Gender]]="M","Male", orders[[#This Row],[Customer Gender]]="F","Female", orders[[#This Row],[Customer Gender]]="O","Other", TRUE,"Unknown")</f>
        <v>Male</v>
      </c>
    </row>
    <row r="2247" spans="1:15" x14ac:dyDescent="0.3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1">
        <v>45740</v>
      </c>
      <c r="G2247" s="1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f>orders[[#This Row],[Ship Date]]-orders[[#This Row],[Order Date]]</f>
        <v>1</v>
      </c>
      <c r="N2247">
        <f>WEEKNUM(orders[[#This Row],[Order Date]])</f>
        <v>13</v>
      </c>
      <c r="O2247" t="str" cm="1">
        <f t="array" ref="O2247">_xlfn.IFS(orders[[#This Row],[Customer Gender]]="M","Male", orders[[#This Row],[Customer Gender]]="F","Female", orders[[#This Row],[Customer Gender]]="O","Other", TRUE,"Unknown")</f>
        <v>Female</v>
      </c>
    </row>
    <row r="2248" spans="1:15" x14ac:dyDescent="0.3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1">
        <v>45740</v>
      </c>
      <c r="G2248" s="1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f>orders[[#This Row],[Ship Date]]-orders[[#This Row],[Order Date]]</f>
        <v>3</v>
      </c>
      <c r="N2248">
        <f>WEEKNUM(orders[[#This Row],[Order Date]])</f>
        <v>13</v>
      </c>
      <c r="O2248" t="str" cm="1">
        <f t="array" ref="O2248">_xlfn.IFS(orders[[#This Row],[Customer Gender]]="M","Male", orders[[#This Row],[Customer Gender]]="F","Female", orders[[#This Row],[Customer Gender]]="O","Other", TRUE,"Unknown")</f>
        <v>Female</v>
      </c>
    </row>
    <row r="2249" spans="1:15" x14ac:dyDescent="0.3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1">
        <v>45740</v>
      </c>
      <c r="G2249" s="1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f>orders[[#This Row],[Ship Date]]-orders[[#This Row],[Order Date]]</f>
        <v>1</v>
      </c>
      <c r="N2249">
        <f>WEEKNUM(orders[[#This Row],[Order Date]])</f>
        <v>13</v>
      </c>
      <c r="O2249" t="str" cm="1">
        <f t="array" ref="O2249">_xlfn.IFS(orders[[#This Row],[Customer Gender]]="M","Male", orders[[#This Row],[Customer Gender]]="F","Female", orders[[#This Row],[Customer Gender]]="O","Other", TRUE,"Unknown")</f>
        <v>Female</v>
      </c>
    </row>
    <row r="2250" spans="1:15" x14ac:dyDescent="0.3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1">
        <v>45740</v>
      </c>
      <c r="G2250" s="1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f>orders[[#This Row],[Ship Date]]-orders[[#This Row],[Order Date]]</f>
        <v>3</v>
      </c>
      <c r="N2250">
        <f>WEEKNUM(orders[[#This Row],[Order Date]])</f>
        <v>13</v>
      </c>
      <c r="O2250" t="str" cm="1">
        <f t="array" ref="O2250">_xlfn.IFS(orders[[#This Row],[Customer Gender]]="M","Male", orders[[#This Row],[Customer Gender]]="F","Female", orders[[#This Row],[Customer Gender]]="O","Other", TRUE,"Unknown")</f>
        <v>Male</v>
      </c>
    </row>
    <row r="2251" spans="1:15" x14ac:dyDescent="0.3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1">
        <v>45740</v>
      </c>
      <c r="G2251" s="1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f>orders[[#This Row],[Ship Date]]-orders[[#This Row],[Order Date]]</f>
        <v>2</v>
      </c>
      <c r="N2251">
        <f>WEEKNUM(orders[[#This Row],[Order Date]])</f>
        <v>13</v>
      </c>
      <c r="O2251" t="str" cm="1">
        <f t="array" ref="O2251">_xlfn.IFS(orders[[#This Row],[Customer Gender]]="M","Male", orders[[#This Row],[Customer Gender]]="F","Female", orders[[#This Row],[Customer Gender]]="O","Other", TRUE,"Unknown")</f>
        <v>Female</v>
      </c>
    </row>
    <row r="2252" spans="1:15" x14ac:dyDescent="0.3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1">
        <v>45740</v>
      </c>
      <c r="G2252" s="1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f>orders[[#This Row],[Ship Date]]-orders[[#This Row],[Order Date]]</f>
        <v>1</v>
      </c>
      <c r="N2252">
        <f>WEEKNUM(orders[[#This Row],[Order Date]])</f>
        <v>13</v>
      </c>
      <c r="O2252" t="str" cm="1">
        <f t="array" ref="O2252">_xlfn.IFS(orders[[#This Row],[Customer Gender]]="M","Male", orders[[#This Row],[Customer Gender]]="F","Female", orders[[#This Row],[Customer Gender]]="O","Other", TRUE,"Unknown")</f>
        <v>Female</v>
      </c>
    </row>
    <row r="2253" spans="1:15" x14ac:dyDescent="0.3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1">
        <v>45740</v>
      </c>
      <c r="G2253" s="1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f>orders[[#This Row],[Ship Date]]-orders[[#This Row],[Order Date]]</f>
        <v>1</v>
      </c>
      <c r="N2253">
        <f>WEEKNUM(orders[[#This Row],[Order Date]])</f>
        <v>13</v>
      </c>
      <c r="O2253" t="str" cm="1">
        <f t="array" ref="O2253">_xlfn.IFS(orders[[#This Row],[Customer Gender]]="M","Male", orders[[#This Row],[Customer Gender]]="F","Female", orders[[#This Row],[Customer Gender]]="O","Other", TRUE,"Unknown")</f>
        <v>Male</v>
      </c>
    </row>
    <row r="2254" spans="1:15" x14ac:dyDescent="0.3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1">
        <v>45740</v>
      </c>
      <c r="G2254" s="1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f>orders[[#This Row],[Ship Date]]-orders[[#This Row],[Order Date]]</f>
        <v>1</v>
      </c>
      <c r="N2254">
        <f>WEEKNUM(orders[[#This Row],[Order Date]])</f>
        <v>13</v>
      </c>
      <c r="O2254" t="str" cm="1">
        <f t="array" ref="O2254">_xlfn.IFS(orders[[#This Row],[Customer Gender]]="M","Male", orders[[#This Row],[Customer Gender]]="F","Female", orders[[#This Row],[Customer Gender]]="O","Other", TRUE,"Unknown")</f>
        <v>Male</v>
      </c>
    </row>
    <row r="2255" spans="1:15" x14ac:dyDescent="0.3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1">
        <v>45740</v>
      </c>
      <c r="G2255" s="1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f>orders[[#This Row],[Ship Date]]-orders[[#This Row],[Order Date]]</f>
        <v>2</v>
      </c>
      <c r="N2255">
        <f>WEEKNUM(orders[[#This Row],[Order Date]])</f>
        <v>13</v>
      </c>
      <c r="O2255" t="str" cm="1">
        <f t="array" ref="O2255">_xlfn.IFS(orders[[#This Row],[Customer Gender]]="M","Male", orders[[#This Row],[Customer Gender]]="F","Female", orders[[#This Row],[Customer Gender]]="O","Other", TRUE,"Unknown")</f>
        <v>Male</v>
      </c>
    </row>
    <row r="2256" spans="1:15" x14ac:dyDescent="0.3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1">
        <v>45740</v>
      </c>
      <c r="G2256" s="1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f>orders[[#This Row],[Ship Date]]-orders[[#This Row],[Order Date]]</f>
        <v>3</v>
      </c>
      <c r="N2256">
        <f>WEEKNUM(orders[[#This Row],[Order Date]])</f>
        <v>13</v>
      </c>
      <c r="O2256" t="str" cm="1">
        <f t="array" ref="O2256">_xlfn.IFS(orders[[#This Row],[Customer Gender]]="M","Male", orders[[#This Row],[Customer Gender]]="F","Female", orders[[#This Row],[Customer Gender]]="O","Other", TRUE,"Unknown")</f>
        <v>Female</v>
      </c>
    </row>
    <row r="2257" spans="1:15" x14ac:dyDescent="0.3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1">
        <v>45740</v>
      </c>
      <c r="G2257" s="1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f>orders[[#This Row],[Ship Date]]-orders[[#This Row],[Order Date]]</f>
        <v>2</v>
      </c>
      <c r="N2257">
        <f>WEEKNUM(orders[[#This Row],[Order Date]])</f>
        <v>13</v>
      </c>
      <c r="O2257" t="str" cm="1">
        <f t="array" ref="O2257">_xlfn.IFS(orders[[#This Row],[Customer Gender]]="M","Male", orders[[#This Row],[Customer Gender]]="F","Female", orders[[#This Row],[Customer Gender]]="O","Other", TRUE,"Unknown")</f>
        <v>Female</v>
      </c>
    </row>
    <row r="2258" spans="1:15" x14ac:dyDescent="0.3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1">
        <v>45740</v>
      </c>
      <c r="G2258" s="1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f>orders[[#This Row],[Ship Date]]-orders[[#This Row],[Order Date]]</f>
        <v>1</v>
      </c>
      <c r="N2258">
        <f>WEEKNUM(orders[[#This Row],[Order Date]])</f>
        <v>13</v>
      </c>
      <c r="O2258" t="str" cm="1">
        <f t="array" ref="O2258">_xlfn.IFS(orders[[#This Row],[Customer Gender]]="M","Male", orders[[#This Row],[Customer Gender]]="F","Female", orders[[#This Row],[Customer Gender]]="O","Other", TRUE,"Unknown")</f>
        <v>Male</v>
      </c>
    </row>
    <row r="2259" spans="1:15" x14ac:dyDescent="0.3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1">
        <v>45740</v>
      </c>
      <c r="G2259" s="1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f>orders[[#This Row],[Ship Date]]-orders[[#This Row],[Order Date]]</f>
        <v>1</v>
      </c>
      <c r="N2259">
        <f>WEEKNUM(orders[[#This Row],[Order Date]])</f>
        <v>13</v>
      </c>
      <c r="O2259" t="str" cm="1">
        <f t="array" ref="O2259">_xlfn.IFS(orders[[#This Row],[Customer Gender]]="M","Male", orders[[#This Row],[Customer Gender]]="F","Female", orders[[#This Row],[Customer Gender]]="O","Other", TRUE,"Unknown")</f>
        <v>Female</v>
      </c>
    </row>
    <row r="2260" spans="1:15" x14ac:dyDescent="0.3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1">
        <v>45741</v>
      </c>
      <c r="G2260" s="1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f>orders[[#This Row],[Ship Date]]-orders[[#This Row],[Order Date]]</f>
        <v>2</v>
      </c>
      <c r="N2260">
        <f>WEEKNUM(orders[[#This Row],[Order Date]])</f>
        <v>13</v>
      </c>
      <c r="O2260" t="str" cm="1">
        <f t="array" ref="O2260">_xlfn.IFS(orders[[#This Row],[Customer Gender]]="M","Male", orders[[#This Row],[Customer Gender]]="F","Female", orders[[#This Row],[Customer Gender]]="O","Other", TRUE,"Unknown")</f>
        <v>Female</v>
      </c>
    </row>
    <row r="2261" spans="1:15" x14ac:dyDescent="0.3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1">
        <v>45741</v>
      </c>
      <c r="G2261" s="1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f>orders[[#This Row],[Ship Date]]-orders[[#This Row],[Order Date]]</f>
        <v>1</v>
      </c>
      <c r="N2261">
        <f>WEEKNUM(orders[[#This Row],[Order Date]])</f>
        <v>13</v>
      </c>
      <c r="O2261" t="str" cm="1">
        <f t="array" ref="O2261">_xlfn.IFS(orders[[#This Row],[Customer Gender]]="M","Male", orders[[#This Row],[Customer Gender]]="F","Female", orders[[#This Row],[Customer Gender]]="O","Other", TRUE,"Unknown")</f>
        <v>Female</v>
      </c>
    </row>
    <row r="2262" spans="1:15" x14ac:dyDescent="0.3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1">
        <v>45741</v>
      </c>
      <c r="G2262" s="1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f>orders[[#This Row],[Ship Date]]-orders[[#This Row],[Order Date]]</f>
        <v>2</v>
      </c>
      <c r="N2262">
        <f>WEEKNUM(orders[[#This Row],[Order Date]])</f>
        <v>13</v>
      </c>
      <c r="O2262" t="str" cm="1">
        <f t="array" ref="O2262">_xlfn.IFS(orders[[#This Row],[Customer Gender]]="M","Male", orders[[#This Row],[Customer Gender]]="F","Female", orders[[#This Row],[Customer Gender]]="O","Other", TRUE,"Unknown")</f>
        <v>Female</v>
      </c>
    </row>
    <row r="2263" spans="1:15" x14ac:dyDescent="0.3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1">
        <v>45741</v>
      </c>
      <c r="G2263" s="1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f>orders[[#This Row],[Ship Date]]-orders[[#This Row],[Order Date]]</f>
        <v>4</v>
      </c>
      <c r="N2263">
        <f>WEEKNUM(orders[[#This Row],[Order Date]])</f>
        <v>13</v>
      </c>
      <c r="O2263" t="str" cm="1">
        <f t="array" ref="O2263">_xlfn.IFS(orders[[#This Row],[Customer Gender]]="M","Male", orders[[#This Row],[Customer Gender]]="F","Female", orders[[#This Row],[Customer Gender]]="O","Other", TRUE,"Unknown")</f>
        <v>Male</v>
      </c>
    </row>
    <row r="2264" spans="1:15" x14ac:dyDescent="0.3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1">
        <v>45741</v>
      </c>
      <c r="G2264" s="1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f>orders[[#This Row],[Ship Date]]-orders[[#This Row],[Order Date]]</f>
        <v>1</v>
      </c>
      <c r="N2264">
        <f>WEEKNUM(orders[[#This Row],[Order Date]])</f>
        <v>13</v>
      </c>
      <c r="O2264" t="str" cm="1">
        <f t="array" ref="O2264">_xlfn.IFS(orders[[#This Row],[Customer Gender]]="M","Male", orders[[#This Row],[Customer Gender]]="F","Female", orders[[#This Row],[Customer Gender]]="O","Other", TRUE,"Unknown")</f>
        <v>Male</v>
      </c>
    </row>
    <row r="2265" spans="1:15" x14ac:dyDescent="0.3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1">
        <v>45741</v>
      </c>
      <c r="G2265" s="1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f>orders[[#This Row],[Ship Date]]-orders[[#This Row],[Order Date]]</f>
        <v>1</v>
      </c>
      <c r="N2265">
        <f>WEEKNUM(orders[[#This Row],[Order Date]])</f>
        <v>13</v>
      </c>
      <c r="O2265" t="str" cm="1">
        <f t="array" ref="O2265">_xlfn.IFS(orders[[#This Row],[Customer Gender]]="M","Male", orders[[#This Row],[Customer Gender]]="F","Female", orders[[#This Row],[Customer Gender]]="O","Other", TRUE,"Unknown")</f>
        <v>Male</v>
      </c>
    </row>
    <row r="2266" spans="1:15" x14ac:dyDescent="0.3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1">
        <v>45741</v>
      </c>
      <c r="G2266" s="1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f>orders[[#This Row],[Ship Date]]-orders[[#This Row],[Order Date]]</f>
        <v>1</v>
      </c>
      <c r="N2266">
        <f>WEEKNUM(orders[[#This Row],[Order Date]])</f>
        <v>13</v>
      </c>
      <c r="O2266" t="str" cm="1">
        <f t="array" ref="O2266">_xlfn.IFS(orders[[#This Row],[Customer Gender]]="M","Male", orders[[#This Row],[Customer Gender]]="F","Female", orders[[#This Row],[Customer Gender]]="O","Other", TRUE,"Unknown")</f>
        <v>Male</v>
      </c>
    </row>
    <row r="2267" spans="1:15" x14ac:dyDescent="0.3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1">
        <v>45741</v>
      </c>
      <c r="G2267" s="1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f>orders[[#This Row],[Ship Date]]-orders[[#This Row],[Order Date]]</f>
        <v>5</v>
      </c>
      <c r="N2267">
        <f>WEEKNUM(orders[[#This Row],[Order Date]])</f>
        <v>13</v>
      </c>
      <c r="O2267" t="str" cm="1">
        <f t="array" ref="O2267">_xlfn.IFS(orders[[#This Row],[Customer Gender]]="M","Male", orders[[#This Row],[Customer Gender]]="F","Female", orders[[#This Row],[Customer Gender]]="O","Other", TRUE,"Unknown")</f>
        <v>Other</v>
      </c>
    </row>
    <row r="2268" spans="1:15" x14ac:dyDescent="0.3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1">
        <v>45741</v>
      </c>
      <c r="G2268" s="1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f>orders[[#This Row],[Ship Date]]-orders[[#This Row],[Order Date]]</f>
        <v>1</v>
      </c>
      <c r="N2268">
        <f>WEEKNUM(orders[[#This Row],[Order Date]])</f>
        <v>13</v>
      </c>
      <c r="O2268" t="str" cm="1">
        <f t="array" ref="O2268">_xlfn.IFS(orders[[#This Row],[Customer Gender]]="M","Male", orders[[#This Row],[Customer Gender]]="F","Female", orders[[#This Row],[Customer Gender]]="O","Other", TRUE,"Unknown")</f>
        <v>Female</v>
      </c>
    </row>
    <row r="2269" spans="1:15" x14ac:dyDescent="0.3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1">
        <v>45741</v>
      </c>
      <c r="G2269" s="1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f>orders[[#This Row],[Ship Date]]-orders[[#This Row],[Order Date]]</f>
        <v>1</v>
      </c>
      <c r="N2269">
        <f>WEEKNUM(orders[[#This Row],[Order Date]])</f>
        <v>13</v>
      </c>
      <c r="O2269" t="str" cm="1">
        <f t="array" ref="O2269">_xlfn.IFS(orders[[#This Row],[Customer Gender]]="M","Male", orders[[#This Row],[Customer Gender]]="F","Female", orders[[#This Row],[Customer Gender]]="O","Other", TRUE,"Unknown")</f>
        <v>Female</v>
      </c>
    </row>
    <row r="2270" spans="1:15" x14ac:dyDescent="0.3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1">
        <v>45741</v>
      </c>
      <c r="G2270" s="1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f>orders[[#This Row],[Ship Date]]-orders[[#This Row],[Order Date]]</f>
        <v>1</v>
      </c>
      <c r="N2270">
        <f>WEEKNUM(orders[[#This Row],[Order Date]])</f>
        <v>13</v>
      </c>
      <c r="O2270" t="str" cm="1">
        <f t="array" ref="O2270">_xlfn.IFS(orders[[#This Row],[Customer Gender]]="M","Male", orders[[#This Row],[Customer Gender]]="F","Female", orders[[#This Row],[Customer Gender]]="O","Other", TRUE,"Unknown")</f>
        <v>Female</v>
      </c>
    </row>
    <row r="2271" spans="1:15" x14ac:dyDescent="0.3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1">
        <v>45741</v>
      </c>
      <c r="G2271" s="1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f>orders[[#This Row],[Ship Date]]-orders[[#This Row],[Order Date]]</f>
        <v>1</v>
      </c>
      <c r="N2271">
        <f>WEEKNUM(orders[[#This Row],[Order Date]])</f>
        <v>13</v>
      </c>
      <c r="O2271" t="str" cm="1">
        <f t="array" ref="O2271">_xlfn.IFS(orders[[#This Row],[Customer Gender]]="M","Male", orders[[#This Row],[Customer Gender]]="F","Female", orders[[#This Row],[Customer Gender]]="O","Other", TRUE,"Unknown")</f>
        <v>Female</v>
      </c>
    </row>
    <row r="2272" spans="1:15" x14ac:dyDescent="0.3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1">
        <v>45741</v>
      </c>
      <c r="G2272" s="1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f>orders[[#This Row],[Ship Date]]-orders[[#This Row],[Order Date]]</f>
        <v>3</v>
      </c>
      <c r="N2272">
        <f>WEEKNUM(orders[[#This Row],[Order Date]])</f>
        <v>13</v>
      </c>
      <c r="O2272" t="str" cm="1">
        <f t="array" ref="O2272">_xlfn.IFS(orders[[#This Row],[Customer Gender]]="M","Male", orders[[#This Row],[Customer Gender]]="F","Female", orders[[#This Row],[Customer Gender]]="O","Other", TRUE,"Unknown")</f>
        <v>Female</v>
      </c>
    </row>
    <row r="2273" spans="1:15" x14ac:dyDescent="0.3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1">
        <v>45741</v>
      </c>
      <c r="G2273" s="1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f>orders[[#This Row],[Ship Date]]-orders[[#This Row],[Order Date]]</f>
        <v>3</v>
      </c>
      <c r="N2273">
        <f>WEEKNUM(orders[[#This Row],[Order Date]])</f>
        <v>13</v>
      </c>
      <c r="O2273" t="str" cm="1">
        <f t="array" ref="O2273">_xlfn.IFS(orders[[#This Row],[Customer Gender]]="M","Male", orders[[#This Row],[Customer Gender]]="F","Female", orders[[#This Row],[Customer Gender]]="O","Other", TRUE,"Unknown")</f>
        <v>Female</v>
      </c>
    </row>
    <row r="2274" spans="1:15" x14ac:dyDescent="0.3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1">
        <v>45741</v>
      </c>
      <c r="G2274" s="1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f>orders[[#This Row],[Ship Date]]-orders[[#This Row],[Order Date]]</f>
        <v>2</v>
      </c>
      <c r="N2274">
        <f>WEEKNUM(orders[[#This Row],[Order Date]])</f>
        <v>13</v>
      </c>
      <c r="O2274" t="str" cm="1">
        <f t="array" ref="O2274">_xlfn.IFS(orders[[#This Row],[Customer Gender]]="M","Male", orders[[#This Row],[Customer Gender]]="F","Female", orders[[#This Row],[Customer Gender]]="O","Other", TRUE,"Unknown")</f>
        <v>Female</v>
      </c>
    </row>
    <row r="2275" spans="1:15" x14ac:dyDescent="0.3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1">
        <v>45741</v>
      </c>
      <c r="G2275" s="1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f>orders[[#This Row],[Ship Date]]-orders[[#This Row],[Order Date]]</f>
        <v>2</v>
      </c>
      <c r="N2275">
        <f>WEEKNUM(orders[[#This Row],[Order Date]])</f>
        <v>13</v>
      </c>
      <c r="O2275" t="str" cm="1">
        <f t="array" ref="O2275">_xlfn.IFS(orders[[#This Row],[Customer Gender]]="M","Male", orders[[#This Row],[Customer Gender]]="F","Female", orders[[#This Row],[Customer Gender]]="O","Other", TRUE,"Unknown")</f>
        <v>Male</v>
      </c>
    </row>
    <row r="2276" spans="1:15" x14ac:dyDescent="0.3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1">
        <v>45741</v>
      </c>
      <c r="G2276" s="1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f>orders[[#This Row],[Ship Date]]-orders[[#This Row],[Order Date]]</f>
        <v>2</v>
      </c>
      <c r="N2276">
        <f>WEEKNUM(orders[[#This Row],[Order Date]])</f>
        <v>13</v>
      </c>
      <c r="O2276" t="str" cm="1">
        <f t="array" ref="O2276">_xlfn.IFS(orders[[#This Row],[Customer Gender]]="M","Male", orders[[#This Row],[Customer Gender]]="F","Female", orders[[#This Row],[Customer Gender]]="O","Other", TRUE,"Unknown")</f>
        <v>Male</v>
      </c>
    </row>
    <row r="2277" spans="1:15" x14ac:dyDescent="0.3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1">
        <v>45741</v>
      </c>
      <c r="G2277" s="1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f>orders[[#This Row],[Ship Date]]-orders[[#This Row],[Order Date]]</f>
        <v>2</v>
      </c>
      <c r="N2277">
        <f>WEEKNUM(orders[[#This Row],[Order Date]])</f>
        <v>13</v>
      </c>
      <c r="O2277" t="str" cm="1">
        <f t="array" ref="O2277">_xlfn.IFS(orders[[#This Row],[Customer Gender]]="M","Male", orders[[#This Row],[Customer Gender]]="F","Female", orders[[#This Row],[Customer Gender]]="O","Other", TRUE,"Unknown")</f>
        <v>Unknown</v>
      </c>
    </row>
    <row r="2278" spans="1:15" x14ac:dyDescent="0.3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1">
        <v>45741</v>
      </c>
      <c r="G2278" s="1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f>orders[[#This Row],[Ship Date]]-orders[[#This Row],[Order Date]]</f>
        <v>3</v>
      </c>
      <c r="N2278">
        <f>WEEKNUM(orders[[#This Row],[Order Date]])</f>
        <v>13</v>
      </c>
      <c r="O2278" t="str" cm="1">
        <f t="array" ref="O2278">_xlfn.IFS(orders[[#This Row],[Customer Gender]]="M","Male", orders[[#This Row],[Customer Gender]]="F","Female", orders[[#This Row],[Customer Gender]]="O","Other", TRUE,"Unknown")</f>
        <v>Female</v>
      </c>
    </row>
    <row r="2279" spans="1:15" x14ac:dyDescent="0.3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1">
        <v>45741</v>
      </c>
      <c r="G2279" s="1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f>orders[[#This Row],[Ship Date]]-orders[[#This Row],[Order Date]]</f>
        <v>1</v>
      </c>
      <c r="N2279">
        <f>WEEKNUM(orders[[#This Row],[Order Date]])</f>
        <v>13</v>
      </c>
      <c r="O2279" t="str" cm="1">
        <f t="array" ref="O2279">_xlfn.IFS(orders[[#This Row],[Customer Gender]]="M","Male", orders[[#This Row],[Customer Gender]]="F","Female", orders[[#This Row],[Customer Gender]]="O","Other", TRUE,"Unknown")</f>
        <v>Male</v>
      </c>
    </row>
    <row r="2280" spans="1:15" x14ac:dyDescent="0.3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1">
        <v>45741</v>
      </c>
      <c r="G2280" s="1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f>orders[[#This Row],[Ship Date]]-orders[[#This Row],[Order Date]]</f>
        <v>3</v>
      </c>
      <c r="N2280">
        <f>WEEKNUM(orders[[#This Row],[Order Date]])</f>
        <v>13</v>
      </c>
      <c r="O2280" t="str" cm="1">
        <f t="array" ref="O2280">_xlfn.IFS(orders[[#This Row],[Customer Gender]]="M","Male", orders[[#This Row],[Customer Gender]]="F","Female", orders[[#This Row],[Customer Gender]]="O","Other", TRUE,"Unknown")</f>
        <v>Male</v>
      </c>
    </row>
    <row r="2281" spans="1:15" x14ac:dyDescent="0.3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1">
        <v>45741</v>
      </c>
      <c r="G2281" s="1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f>orders[[#This Row],[Ship Date]]-orders[[#This Row],[Order Date]]</f>
        <v>1</v>
      </c>
      <c r="N2281">
        <f>WEEKNUM(orders[[#This Row],[Order Date]])</f>
        <v>13</v>
      </c>
      <c r="O2281" t="str" cm="1">
        <f t="array" ref="O2281">_xlfn.IFS(orders[[#This Row],[Customer Gender]]="M","Male", orders[[#This Row],[Customer Gender]]="F","Female", orders[[#This Row],[Customer Gender]]="O","Other", TRUE,"Unknown")</f>
        <v>Male</v>
      </c>
    </row>
    <row r="2282" spans="1:15" x14ac:dyDescent="0.3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1">
        <v>45741</v>
      </c>
      <c r="G2282" s="1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f>orders[[#This Row],[Ship Date]]-orders[[#This Row],[Order Date]]</f>
        <v>1</v>
      </c>
      <c r="N2282">
        <f>WEEKNUM(orders[[#This Row],[Order Date]])</f>
        <v>13</v>
      </c>
      <c r="O2282" t="str" cm="1">
        <f t="array" ref="O2282">_xlfn.IFS(orders[[#This Row],[Customer Gender]]="M","Male", orders[[#This Row],[Customer Gender]]="F","Female", orders[[#This Row],[Customer Gender]]="O","Other", TRUE,"Unknown")</f>
        <v>Male</v>
      </c>
    </row>
    <row r="2283" spans="1:15" x14ac:dyDescent="0.3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1">
        <v>45741</v>
      </c>
      <c r="G2283" s="1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f>orders[[#This Row],[Ship Date]]-orders[[#This Row],[Order Date]]</f>
        <v>4</v>
      </c>
      <c r="N2283">
        <f>WEEKNUM(orders[[#This Row],[Order Date]])</f>
        <v>13</v>
      </c>
      <c r="O2283" t="str" cm="1">
        <f t="array" ref="O2283">_xlfn.IFS(orders[[#This Row],[Customer Gender]]="M","Male", orders[[#This Row],[Customer Gender]]="F","Female", orders[[#This Row],[Customer Gender]]="O","Other", TRUE,"Unknown")</f>
        <v>Female</v>
      </c>
    </row>
    <row r="2284" spans="1:15" x14ac:dyDescent="0.3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1">
        <v>45741</v>
      </c>
      <c r="G2284" s="1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f>orders[[#This Row],[Ship Date]]-orders[[#This Row],[Order Date]]</f>
        <v>0</v>
      </c>
      <c r="N2284">
        <f>WEEKNUM(orders[[#This Row],[Order Date]])</f>
        <v>13</v>
      </c>
      <c r="O2284" t="str" cm="1">
        <f t="array" ref="O2284">_xlfn.IFS(orders[[#This Row],[Customer Gender]]="M","Male", orders[[#This Row],[Customer Gender]]="F","Female", orders[[#This Row],[Customer Gender]]="O","Other", TRUE,"Unknown")</f>
        <v>Female</v>
      </c>
    </row>
    <row r="2285" spans="1:15" x14ac:dyDescent="0.3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1">
        <v>45741</v>
      </c>
      <c r="G2285" s="1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f>orders[[#This Row],[Ship Date]]-orders[[#This Row],[Order Date]]</f>
        <v>2</v>
      </c>
      <c r="N2285">
        <f>WEEKNUM(orders[[#This Row],[Order Date]])</f>
        <v>13</v>
      </c>
      <c r="O2285" t="str" cm="1">
        <f t="array" ref="O2285">_xlfn.IFS(orders[[#This Row],[Customer Gender]]="M","Male", orders[[#This Row],[Customer Gender]]="F","Female", orders[[#This Row],[Customer Gender]]="O","Other", TRUE,"Unknown")</f>
        <v>Male</v>
      </c>
    </row>
    <row r="2286" spans="1:15" x14ac:dyDescent="0.3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1">
        <v>45742</v>
      </c>
      <c r="G2286" s="1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f>orders[[#This Row],[Ship Date]]-orders[[#This Row],[Order Date]]</f>
        <v>1</v>
      </c>
      <c r="N2286">
        <f>WEEKNUM(orders[[#This Row],[Order Date]])</f>
        <v>13</v>
      </c>
      <c r="O2286" t="str" cm="1">
        <f t="array" ref="O2286">_xlfn.IFS(orders[[#This Row],[Customer Gender]]="M","Male", orders[[#This Row],[Customer Gender]]="F","Female", orders[[#This Row],[Customer Gender]]="O","Other", TRUE,"Unknown")</f>
        <v>Male</v>
      </c>
    </row>
    <row r="2287" spans="1:15" x14ac:dyDescent="0.3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1">
        <v>45742</v>
      </c>
      <c r="G2287" s="1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f>orders[[#This Row],[Ship Date]]-orders[[#This Row],[Order Date]]</f>
        <v>2</v>
      </c>
      <c r="N2287">
        <f>WEEKNUM(orders[[#This Row],[Order Date]])</f>
        <v>13</v>
      </c>
      <c r="O2287" t="str" cm="1">
        <f t="array" ref="O2287">_xlfn.IFS(orders[[#This Row],[Customer Gender]]="M","Male", orders[[#This Row],[Customer Gender]]="F","Female", orders[[#This Row],[Customer Gender]]="O","Other", TRUE,"Unknown")</f>
        <v>Male</v>
      </c>
    </row>
    <row r="2288" spans="1:15" x14ac:dyDescent="0.3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1">
        <v>45742</v>
      </c>
      <c r="G2288" s="1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f>orders[[#This Row],[Ship Date]]-orders[[#This Row],[Order Date]]</f>
        <v>1</v>
      </c>
      <c r="N2288">
        <f>WEEKNUM(orders[[#This Row],[Order Date]])</f>
        <v>13</v>
      </c>
      <c r="O2288" t="str" cm="1">
        <f t="array" ref="O2288">_xlfn.IFS(orders[[#This Row],[Customer Gender]]="M","Male", orders[[#This Row],[Customer Gender]]="F","Female", orders[[#This Row],[Customer Gender]]="O","Other", TRUE,"Unknown")</f>
        <v>Male</v>
      </c>
    </row>
    <row r="2289" spans="1:15" x14ac:dyDescent="0.3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1">
        <v>45742</v>
      </c>
      <c r="G2289" s="1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f>orders[[#This Row],[Ship Date]]-orders[[#This Row],[Order Date]]</f>
        <v>3</v>
      </c>
      <c r="N2289">
        <f>WEEKNUM(orders[[#This Row],[Order Date]])</f>
        <v>13</v>
      </c>
      <c r="O2289" t="str" cm="1">
        <f t="array" ref="O2289">_xlfn.IFS(orders[[#This Row],[Customer Gender]]="M","Male", orders[[#This Row],[Customer Gender]]="F","Female", orders[[#This Row],[Customer Gender]]="O","Other", TRUE,"Unknown")</f>
        <v>Male</v>
      </c>
    </row>
    <row r="2290" spans="1:15" x14ac:dyDescent="0.3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1">
        <v>45742</v>
      </c>
      <c r="G2290" s="1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f>orders[[#This Row],[Ship Date]]-orders[[#This Row],[Order Date]]</f>
        <v>2</v>
      </c>
      <c r="N2290">
        <f>WEEKNUM(orders[[#This Row],[Order Date]])</f>
        <v>13</v>
      </c>
      <c r="O2290" t="str" cm="1">
        <f t="array" ref="O2290">_xlfn.IFS(orders[[#This Row],[Customer Gender]]="M","Male", orders[[#This Row],[Customer Gender]]="F","Female", orders[[#This Row],[Customer Gender]]="O","Other", TRUE,"Unknown")</f>
        <v>Other</v>
      </c>
    </row>
    <row r="2291" spans="1:15" x14ac:dyDescent="0.3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1">
        <v>45742</v>
      </c>
      <c r="G2291" s="1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f>orders[[#This Row],[Ship Date]]-orders[[#This Row],[Order Date]]</f>
        <v>1</v>
      </c>
      <c r="N2291">
        <f>WEEKNUM(orders[[#This Row],[Order Date]])</f>
        <v>13</v>
      </c>
      <c r="O2291" t="str" cm="1">
        <f t="array" ref="O2291">_xlfn.IFS(orders[[#This Row],[Customer Gender]]="M","Male", orders[[#This Row],[Customer Gender]]="F","Female", orders[[#This Row],[Customer Gender]]="O","Other", TRUE,"Unknown")</f>
        <v>Male</v>
      </c>
    </row>
    <row r="2292" spans="1:15" x14ac:dyDescent="0.3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1">
        <v>45742</v>
      </c>
      <c r="G2292" s="1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f>orders[[#This Row],[Ship Date]]-orders[[#This Row],[Order Date]]</f>
        <v>6</v>
      </c>
      <c r="N2292">
        <f>WEEKNUM(orders[[#This Row],[Order Date]])</f>
        <v>13</v>
      </c>
      <c r="O2292" t="str" cm="1">
        <f t="array" ref="O2292">_xlfn.IFS(orders[[#This Row],[Customer Gender]]="M","Male", orders[[#This Row],[Customer Gender]]="F","Female", orders[[#This Row],[Customer Gender]]="O","Other", TRUE,"Unknown")</f>
        <v>Male</v>
      </c>
    </row>
    <row r="2293" spans="1:15" x14ac:dyDescent="0.3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1">
        <v>45742</v>
      </c>
      <c r="G2293" s="1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f>orders[[#This Row],[Ship Date]]-orders[[#This Row],[Order Date]]</f>
        <v>1</v>
      </c>
      <c r="N2293">
        <f>WEEKNUM(orders[[#This Row],[Order Date]])</f>
        <v>13</v>
      </c>
      <c r="O2293" t="str" cm="1">
        <f t="array" ref="O2293">_xlfn.IFS(orders[[#This Row],[Customer Gender]]="M","Male", orders[[#This Row],[Customer Gender]]="F","Female", orders[[#This Row],[Customer Gender]]="O","Other", TRUE,"Unknown")</f>
        <v>Female</v>
      </c>
    </row>
    <row r="2294" spans="1:15" x14ac:dyDescent="0.3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1">
        <v>45742</v>
      </c>
      <c r="G2294" s="1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f>orders[[#This Row],[Ship Date]]-orders[[#This Row],[Order Date]]</f>
        <v>1</v>
      </c>
      <c r="N2294">
        <f>WEEKNUM(orders[[#This Row],[Order Date]])</f>
        <v>13</v>
      </c>
      <c r="O2294" t="str" cm="1">
        <f t="array" ref="O2294">_xlfn.IFS(orders[[#This Row],[Customer Gender]]="M","Male", orders[[#This Row],[Customer Gender]]="F","Female", orders[[#This Row],[Customer Gender]]="O","Other", TRUE,"Unknown")</f>
        <v>Male</v>
      </c>
    </row>
    <row r="2295" spans="1:15" x14ac:dyDescent="0.3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1">
        <v>45742</v>
      </c>
      <c r="G2295" s="1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f>orders[[#This Row],[Ship Date]]-orders[[#This Row],[Order Date]]</f>
        <v>2</v>
      </c>
      <c r="N2295">
        <f>WEEKNUM(orders[[#This Row],[Order Date]])</f>
        <v>13</v>
      </c>
      <c r="O2295" t="str" cm="1">
        <f t="array" ref="O2295">_xlfn.IFS(orders[[#This Row],[Customer Gender]]="M","Male", orders[[#This Row],[Customer Gender]]="F","Female", orders[[#This Row],[Customer Gender]]="O","Other", TRUE,"Unknown")</f>
        <v>Other</v>
      </c>
    </row>
    <row r="2296" spans="1:15" x14ac:dyDescent="0.3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1">
        <v>45742</v>
      </c>
      <c r="G2296" s="1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f>orders[[#This Row],[Ship Date]]-orders[[#This Row],[Order Date]]</f>
        <v>4</v>
      </c>
      <c r="N2296">
        <f>WEEKNUM(orders[[#This Row],[Order Date]])</f>
        <v>13</v>
      </c>
      <c r="O2296" t="str" cm="1">
        <f t="array" ref="O2296">_xlfn.IFS(orders[[#This Row],[Customer Gender]]="M","Male", orders[[#This Row],[Customer Gender]]="F","Female", orders[[#This Row],[Customer Gender]]="O","Other", TRUE,"Unknown")</f>
        <v>Male</v>
      </c>
    </row>
    <row r="2297" spans="1:15" x14ac:dyDescent="0.3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1">
        <v>45742</v>
      </c>
      <c r="G2297" s="1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f>orders[[#This Row],[Ship Date]]-orders[[#This Row],[Order Date]]</f>
        <v>2</v>
      </c>
      <c r="N2297">
        <f>WEEKNUM(orders[[#This Row],[Order Date]])</f>
        <v>13</v>
      </c>
      <c r="O2297" t="str" cm="1">
        <f t="array" ref="O2297">_xlfn.IFS(orders[[#This Row],[Customer Gender]]="M","Male", orders[[#This Row],[Customer Gender]]="F","Female", orders[[#This Row],[Customer Gender]]="O","Other", TRUE,"Unknown")</f>
        <v>Female</v>
      </c>
    </row>
    <row r="2298" spans="1:15" x14ac:dyDescent="0.3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1">
        <v>45742</v>
      </c>
      <c r="G2298" s="1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f>orders[[#This Row],[Ship Date]]-orders[[#This Row],[Order Date]]</f>
        <v>1</v>
      </c>
      <c r="N2298">
        <f>WEEKNUM(orders[[#This Row],[Order Date]])</f>
        <v>13</v>
      </c>
      <c r="O2298" t="str" cm="1">
        <f t="array" ref="O2298">_xlfn.IFS(orders[[#This Row],[Customer Gender]]="M","Male", orders[[#This Row],[Customer Gender]]="F","Female", orders[[#This Row],[Customer Gender]]="O","Other", TRUE,"Unknown")</f>
        <v>Male</v>
      </c>
    </row>
    <row r="2299" spans="1:15" x14ac:dyDescent="0.3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1">
        <v>45742</v>
      </c>
      <c r="G2299" s="1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f>orders[[#This Row],[Ship Date]]-orders[[#This Row],[Order Date]]</f>
        <v>2</v>
      </c>
      <c r="N2299">
        <f>WEEKNUM(orders[[#This Row],[Order Date]])</f>
        <v>13</v>
      </c>
      <c r="O2299" t="str" cm="1">
        <f t="array" ref="O2299">_xlfn.IFS(orders[[#This Row],[Customer Gender]]="M","Male", orders[[#This Row],[Customer Gender]]="F","Female", orders[[#This Row],[Customer Gender]]="O","Other", TRUE,"Unknown")</f>
        <v>Male</v>
      </c>
    </row>
    <row r="2300" spans="1:15" x14ac:dyDescent="0.3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1">
        <v>45742</v>
      </c>
      <c r="G2300" s="1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f>orders[[#This Row],[Ship Date]]-orders[[#This Row],[Order Date]]</f>
        <v>1</v>
      </c>
      <c r="N2300">
        <f>WEEKNUM(orders[[#This Row],[Order Date]])</f>
        <v>13</v>
      </c>
      <c r="O2300" t="str" cm="1">
        <f t="array" ref="O2300">_xlfn.IFS(orders[[#This Row],[Customer Gender]]="M","Male", orders[[#This Row],[Customer Gender]]="F","Female", orders[[#This Row],[Customer Gender]]="O","Other", TRUE,"Unknown")</f>
        <v>Male</v>
      </c>
    </row>
    <row r="2301" spans="1:15" x14ac:dyDescent="0.3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1">
        <v>45742</v>
      </c>
      <c r="G2301" s="1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f>orders[[#This Row],[Ship Date]]-orders[[#This Row],[Order Date]]</f>
        <v>14</v>
      </c>
      <c r="N2301">
        <f>WEEKNUM(orders[[#This Row],[Order Date]])</f>
        <v>13</v>
      </c>
      <c r="O2301" t="str" cm="1">
        <f t="array" ref="O2301">_xlfn.IFS(orders[[#This Row],[Customer Gender]]="M","Male", orders[[#This Row],[Customer Gender]]="F","Female", orders[[#This Row],[Customer Gender]]="O","Other", TRUE,"Unknown")</f>
        <v>Female</v>
      </c>
    </row>
    <row r="2302" spans="1:15" x14ac:dyDescent="0.3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1">
        <v>45742</v>
      </c>
      <c r="G2302" s="1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f>orders[[#This Row],[Ship Date]]-orders[[#This Row],[Order Date]]</f>
        <v>1</v>
      </c>
      <c r="N2302">
        <f>WEEKNUM(orders[[#This Row],[Order Date]])</f>
        <v>13</v>
      </c>
      <c r="O2302" t="str" cm="1">
        <f t="array" ref="O2302">_xlfn.IFS(orders[[#This Row],[Customer Gender]]="M","Male", orders[[#This Row],[Customer Gender]]="F","Female", orders[[#This Row],[Customer Gender]]="O","Other", TRUE,"Unknown")</f>
        <v>Male</v>
      </c>
    </row>
    <row r="2303" spans="1:15" x14ac:dyDescent="0.3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1">
        <v>45742</v>
      </c>
      <c r="G2303" s="1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f>orders[[#This Row],[Ship Date]]-orders[[#This Row],[Order Date]]</f>
        <v>7</v>
      </c>
      <c r="N2303">
        <f>WEEKNUM(orders[[#This Row],[Order Date]])</f>
        <v>13</v>
      </c>
      <c r="O2303" t="str" cm="1">
        <f t="array" ref="O2303">_xlfn.IFS(orders[[#This Row],[Customer Gender]]="M","Male", orders[[#This Row],[Customer Gender]]="F","Female", orders[[#This Row],[Customer Gender]]="O","Other", TRUE,"Unknown")</f>
        <v>Male</v>
      </c>
    </row>
    <row r="2304" spans="1:15" x14ac:dyDescent="0.3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1">
        <v>45742</v>
      </c>
      <c r="G2304" s="1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f>orders[[#This Row],[Ship Date]]-orders[[#This Row],[Order Date]]</f>
        <v>2</v>
      </c>
      <c r="N2304">
        <f>WEEKNUM(orders[[#This Row],[Order Date]])</f>
        <v>13</v>
      </c>
      <c r="O2304" t="str" cm="1">
        <f t="array" ref="O2304">_xlfn.IFS(orders[[#This Row],[Customer Gender]]="M","Male", orders[[#This Row],[Customer Gender]]="F","Female", orders[[#This Row],[Customer Gender]]="O","Other", TRUE,"Unknown")</f>
        <v>Male</v>
      </c>
    </row>
    <row r="2305" spans="1:15" x14ac:dyDescent="0.3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1">
        <v>45742</v>
      </c>
      <c r="G2305" s="1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f>orders[[#This Row],[Ship Date]]-orders[[#This Row],[Order Date]]</f>
        <v>3</v>
      </c>
      <c r="N2305">
        <f>WEEKNUM(orders[[#This Row],[Order Date]])</f>
        <v>13</v>
      </c>
      <c r="O2305" t="str" cm="1">
        <f t="array" ref="O2305">_xlfn.IFS(orders[[#This Row],[Customer Gender]]="M","Male", orders[[#This Row],[Customer Gender]]="F","Female", orders[[#This Row],[Customer Gender]]="O","Other", TRUE,"Unknown")</f>
        <v>Female</v>
      </c>
    </row>
    <row r="2306" spans="1:15" x14ac:dyDescent="0.3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1">
        <v>45742</v>
      </c>
      <c r="G2306" s="1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f>orders[[#This Row],[Ship Date]]-orders[[#This Row],[Order Date]]</f>
        <v>4</v>
      </c>
      <c r="N2306">
        <f>WEEKNUM(orders[[#This Row],[Order Date]])</f>
        <v>13</v>
      </c>
      <c r="O2306" t="str" cm="1">
        <f t="array" ref="O2306">_xlfn.IFS(orders[[#This Row],[Customer Gender]]="M","Male", orders[[#This Row],[Customer Gender]]="F","Female", orders[[#This Row],[Customer Gender]]="O","Other", TRUE,"Unknown")</f>
        <v>Female</v>
      </c>
    </row>
    <row r="2307" spans="1:15" x14ac:dyDescent="0.3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1">
        <v>45742</v>
      </c>
      <c r="G2307" s="1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f>orders[[#This Row],[Ship Date]]-orders[[#This Row],[Order Date]]</f>
        <v>1</v>
      </c>
      <c r="N2307">
        <f>WEEKNUM(orders[[#This Row],[Order Date]])</f>
        <v>13</v>
      </c>
      <c r="O2307" t="str" cm="1">
        <f t="array" ref="O2307">_xlfn.IFS(orders[[#This Row],[Customer Gender]]="M","Male", orders[[#This Row],[Customer Gender]]="F","Female", orders[[#This Row],[Customer Gender]]="O","Other", TRUE,"Unknown")</f>
        <v>Male</v>
      </c>
    </row>
    <row r="2308" spans="1:15" x14ac:dyDescent="0.3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1">
        <v>45742</v>
      </c>
      <c r="G2308" s="1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f>orders[[#This Row],[Ship Date]]-orders[[#This Row],[Order Date]]</f>
        <v>2</v>
      </c>
      <c r="N2308">
        <f>WEEKNUM(orders[[#This Row],[Order Date]])</f>
        <v>13</v>
      </c>
      <c r="O2308" t="str" cm="1">
        <f t="array" ref="O2308">_xlfn.IFS(orders[[#This Row],[Customer Gender]]="M","Male", orders[[#This Row],[Customer Gender]]="F","Female", orders[[#This Row],[Customer Gender]]="O","Other", TRUE,"Unknown")</f>
        <v>Female</v>
      </c>
    </row>
    <row r="2309" spans="1:15" x14ac:dyDescent="0.3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1">
        <v>45742</v>
      </c>
      <c r="G2309" s="1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f>orders[[#This Row],[Ship Date]]-orders[[#This Row],[Order Date]]</f>
        <v>10</v>
      </c>
      <c r="N2309">
        <f>WEEKNUM(orders[[#This Row],[Order Date]])</f>
        <v>13</v>
      </c>
      <c r="O2309" t="str" cm="1">
        <f t="array" ref="O2309">_xlfn.IFS(orders[[#This Row],[Customer Gender]]="M","Male", orders[[#This Row],[Customer Gender]]="F","Female", orders[[#This Row],[Customer Gender]]="O","Other", TRUE,"Unknown")</f>
        <v>Unknown</v>
      </c>
    </row>
    <row r="2310" spans="1:15" x14ac:dyDescent="0.3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1">
        <v>45742</v>
      </c>
      <c r="G2310" s="1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f>orders[[#This Row],[Ship Date]]-orders[[#This Row],[Order Date]]</f>
        <v>0</v>
      </c>
      <c r="N2310">
        <f>WEEKNUM(orders[[#This Row],[Order Date]])</f>
        <v>13</v>
      </c>
      <c r="O2310" t="str" cm="1">
        <f t="array" ref="O2310">_xlfn.IFS(orders[[#This Row],[Customer Gender]]="M","Male", orders[[#This Row],[Customer Gender]]="F","Female", orders[[#This Row],[Customer Gender]]="O","Other", TRUE,"Unknown")</f>
        <v>Male</v>
      </c>
    </row>
    <row r="2311" spans="1:15" x14ac:dyDescent="0.3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1">
        <v>45742</v>
      </c>
      <c r="G2311" s="1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f>orders[[#This Row],[Ship Date]]-orders[[#This Row],[Order Date]]</f>
        <v>2</v>
      </c>
      <c r="N2311">
        <f>WEEKNUM(orders[[#This Row],[Order Date]])</f>
        <v>13</v>
      </c>
      <c r="O2311" t="str" cm="1">
        <f t="array" ref="O2311">_xlfn.IFS(orders[[#This Row],[Customer Gender]]="M","Male", orders[[#This Row],[Customer Gender]]="F","Female", orders[[#This Row],[Customer Gender]]="O","Other", TRUE,"Unknown")</f>
        <v>Male</v>
      </c>
    </row>
    <row r="2312" spans="1:15" x14ac:dyDescent="0.3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1">
        <v>45742</v>
      </c>
      <c r="G2312" s="1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f>orders[[#This Row],[Ship Date]]-orders[[#This Row],[Order Date]]</f>
        <v>1</v>
      </c>
      <c r="N2312">
        <f>WEEKNUM(orders[[#This Row],[Order Date]])</f>
        <v>13</v>
      </c>
      <c r="O2312" t="str" cm="1">
        <f t="array" ref="O2312">_xlfn.IFS(orders[[#This Row],[Customer Gender]]="M","Male", orders[[#This Row],[Customer Gender]]="F","Female", orders[[#This Row],[Customer Gender]]="O","Other", TRUE,"Unknown")</f>
        <v>Male</v>
      </c>
    </row>
    <row r="2313" spans="1:15" x14ac:dyDescent="0.3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1">
        <v>45742</v>
      </c>
      <c r="G2313" s="1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f>orders[[#This Row],[Ship Date]]-orders[[#This Row],[Order Date]]</f>
        <v>2</v>
      </c>
      <c r="N2313">
        <f>WEEKNUM(orders[[#This Row],[Order Date]])</f>
        <v>13</v>
      </c>
      <c r="O2313" t="str" cm="1">
        <f t="array" ref="O2313">_xlfn.IFS(orders[[#This Row],[Customer Gender]]="M","Male", orders[[#This Row],[Customer Gender]]="F","Female", orders[[#This Row],[Customer Gender]]="O","Other", TRUE,"Unknown")</f>
        <v>Female</v>
      </c>
    </row>
    <row r="2314" spans="1:15" x14ac:dyDescent="0.3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1">
        <v>45742</v>
      </c>
      <c r="G2314" s="1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f>orders[[#This Row],[Ship Date]]-orders[[#This Row],[Order Date]]</f>
        <v>2</v>
      </c>
      <c r="N2314">
        <f>WEEKNUM(orders[[#This Row],[Order Date]])</f>
        <v>13</v>
      </c>
      <c r="O2314" t="str" cm="1">
        <f t="array" ref="O2314">_xlfn.IFS(orders[[#This Row],[Customer Gender]]="M","Male", orders[[#This Row],[Customer Gender]]="F","Female", orders[[#This Row],[Customer Gender]]="O","Other", TRUE,"Unknown")</f>
        <v>Female</v>
      </c>
    </row>
    <row r="2315" spans="1:15" x14ac:dyDescent="0.3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1">
        <v>45742</v>
      </c>
      <c r="G2315" s="1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f>orders[[#This Row],[Ship Date]]-orders[[#This Row],[Order Date]]</f>
        <v>4</v>
      </c>
      <c r="N2315">
        <f>WEEKNUM(orders[[#This Row],[Order Date]])</f>
        <v>13</v>
      </c>
      <c r="O2315" t="str" cm="1">
        <f t="array" ref="O2315">_xlfn.IFS(orders[[#This Row],[Customer Gender]]="M","Male", orders[[#This Row],[Customer Gender]]="F","Female", orders[[#This Row],[Customer Gender]]="O","Other", TRUE,"Unknown")</f>
        <v>Female</v>
      </c>
    </row>
    <row r="2316" spans="1:15" x14ac:dyDescent="0.3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1">
        <v>45742</v>
      </c>
      <c r="G2316" s="1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f>orders[[#This Row],[Ship Date]]-orders[[#This Row],[Order Date]]</f>
        <v>1</v>
      </c>
      <c r="N2316">
        <f>WEEKNUM(orders[[#This Row],[Order Date]])</f>
        <v>13</v>
      </c>
      <c r="O2316" t="str" cm="1">
        <f t="array" ref="O2316">_xlfn.IFS(orders[[#This Row],[Customer Gender]]="M","Male", orders[[#This Row],[Customer Gender]]="F","Female", orders[[#This Row],[Customer Gender]]="O","Other", TRUE,"Unknown")</f>
        <v>Female</v>
      </c>
    </row>
    <row r="2317" spans="1:15" x14ac:dyDescent="0.3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1">
        <v>45742</v>
      </c>
      <c r="G2317" s="1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f>orders[[#This Row],[Ship Date]]-orders[[#This Row],[Order Date]]</f>
        <v>6</v>
      </c>
      <c r="N2317">
        <f>WEEKNUM(orders[[#This Row],[Order Date]])</f>
        <v>13</v>
      </c>
      <c r="O2317" t="str" cm="1">
        <f t="array" ref="O2317">_xlfn.IFS(orders[[#This Row],[Customer Gender]]="M","Male", orders[[#This Row],[Customer Gender]]="F","Female", orders[[#This Row],[Customer Gender]]="O","Other", TRUE,"Unknown")</f>
        <v>Female</v>
      </c>
    </row>
    <row r="2318" spans="1:15" x14ac:dyDescent="0.3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1">
        <v>45742</v>
      </c>
      <c r="G2318" s="1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f>orders[[#This Row],[Ship Date]]-orders[[#This Row],[Order Date]]</f>
        <v>2</v>
      </c>
      <c r="N2318">
        <f>WEEKNUM(orders[[#This Row],[Order Date]])</f>
        <v>13</v>
      </c>
      <c r="O2318" t="str" cm="1">
        <f t="array" ref="O2318">_xlfn.IFS(orders[[#This Row],[Customer Gender]]="M","Male", orders[[#This Row],[Customer Gender]]="F","Female", orders[[#This Row],[Customer Gender]]="O","Other", TRUE,"Unknown")</f>
        <v>Male</v>
      </c>
    </row>
    <row r="2319" spans="1:15" x14ac:dyDescent="0.3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1">
        <v>45743</v>
      </c>
      <c r="G2319" s="1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f>orders[[#This Row],[Ship Date]]-orders[[#This Row],[Order Date]]</f>
        <v>2</v>
      </c>
      <c r="N2319">
        <f>WEEKNUM(orders[[#This Row],[Order Date]])</f>
        <v>13</v>
      </c>
      <c r="O2319" t="str" cm="1">
        <f t="array" ref="O2319">_xlfn.IFS(orders[[#This Row],[Customer Gender]]="M","Male", orders[[#This Row],[Customer Gender]]="F","Female", orders[[#This Row],[Customer Gender]]="O","Other", TRUE,"Unknown")</f>
        <v>Unknown</v>
      </c>
    </row>
    <row r="2320" spans="1:15" x14ac:dyDescent="0.3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1">
        <v>45743</v>
      </c>
      <c r="G2320" s="1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f>orders[[#This Row],[Ship Date]]-orders[[#This Row],[Order Date]]</f>
        <v>0</v>
      </c>
      <c r="N2320">
        <f>WEEKNUM(orders[[#This Row],[Order Date]])</f>
        <v>13</v>
      </c>
      <c r="O2320" t="str" cm="1">
        <f t="array" ref="O2320">_xlfn.IFS(orders[[#This Row],[Customer Gender]]="M","Male", orders[[#This Row],[Customer Gender]]="F","Female", orders[[#This Row],[Customer Gender]]="O","Other", TRUE,"Unknown")</f>
        <v>Unknown</v>
      </c>
    </row>
    <row r="2321" spans="1:15" x14ac:dyDescent="0.3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1">
        <v>45743</v>
      </c>
      <c r="G2321" s="1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f>orders[[#This Row],[Ship Date]]-orders[[#This Row],[Order Date]]</f>
        <v>0</v>
      </c>
      <c r="N2321">
        <f>WEEKNUM(orders[[#This Row],[Order Date]])</f>
        <v>13</v>
      </c>
      <c r="O2321" t="str" cm="1">
        <f t="array" ref="O2321">_xlfn.IFS(orders[[#This Row],[Customer Gender]]="M","Male", orders[[#This Row],[Customer Gender]]="F","Female", orders[[#This Row],[Customer Gender]]="O","Other", TRUE,"Unknown")</f>
        <v>Male</v>
      </c>
    </row>
    <row r="2322" spans="1:15" x14ac:dyDescent="0.3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1">
        <v>45743</v>
      </c>
      <c r="G2322" s="1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f>orders[[#This Row],[Ship Date]]-orders[[#This Row],[Order Date]]</f>
        <v>2</v>
      </c>
      <c r="N2322">
        <f>WEEKNUM(orders[[#This Row],[Order Date]])</f>
        <v>13</v>
      </c>
      <c r="O2322" t="str" cm="1">
        <f t="array" ref="O2322">_xlfn.IFS(orders[[#This Row],[Customer Gender]]="M","Male", orders[[#This Row],[Customer Gender]]="F","Female", orders[[#This Row],[Customer Gender]]="O","Other", TRUE,"Unknown")</f>
        <v>Female</v>
      </c>
    </row>
    <row r="2323" spans="1:15" x14ac:dyDescent="0.3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1">
        <v>45743</v>
      </c>
      <c r="G2323" s="1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f>orders[[#This Row],[Ship Date]]-orders[[#This Row],[Order Date]]</f>
        <v>1</v>
      </c>
      <c r="N2323">
        <f>WEEKNUM(orders[[#This Row],[Order Date]])</f>
        <v>13</v>
      </c>
      <c r="O2323" t="str" cm="1">
        <f t="array" ref="O2323">_xlfn.IFS(orders[[#This Row],[Customer Gender]]="M","Male", orders[[#This Row],[Customer Gender]]="F","Female", orders[[#This Row],[Customer Gender]]="O","Other", TRUE,"Unknown")</f>
        <v>Female</v>
      </c>
    </row>
    <row r="2324" spans="1:15" x14ac:dyDescent="0.3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1">
        <v>45743</v>
      </c>
      <c r="G2324" s="1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f>orders[[#This Row],[Ship Date]]-orders[[#This Row],[Order Date]]</f>
        <v>4</v>
      </c>
      <c r="N2324">
        <f>WEEKNUM(orders[[#This Row],[Order Date]])</f>
        <v>13</v>
      </c>
      <c r="O2324" t="str" cm="1">
        <f t="array" ref="O2324">_xlfn.IFS(orders[[#This Row],[Customer Gender]]="M","Male", orders[[#This Row],[Customer Gender]]="F","Female", orders[[#This Row],[Customer Gender]]="O","Other", TRUE,"Unknown")</f>
        <v>Female</v>
      </c>
    </row>
    <row r="2325" spans="1:15" x14ac:dyDescent="0.3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1">
        <v>45743</v>
      </c>
      <c r="G2325" s="1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f>orders[[#This Row],[Ship Date]]-orders[[#This Row],[Order Date]]</f>
        <v>1</v>
      </c>
      <c r="N2325">
        <f>WEEKNUM(orders[[#This Row],[Order Date]])</f>
        <v>13</v>
      </c>
      <c r="O2325" t="str" cm="1">
        <f t="array" ref="O2325">_xlfn.IFS(orders[[#This Row],[Customer Gender]]="M","Male", orders[[#This Row],[Customer Gender]]="F","Female", orders[[#This Row],[Customer Gender]]="O","Other", TRUE,"Unknown")</f>
        <v>Male</v>
      </c>
    </row>
    <row r="2326" spans="1:15" x14ac:dyDescent="0.3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1">
        <v>45743</v>
      </c>
      <c r="G2326" s="1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f>orders[[#This Row],[Ship Date]]-orders[[#This Row],[Order Date]]</f>
        <v>4</v>
      </c>
      <c r="N2326">
        <f>WEEKNUM(orders[[#This Row],[Order Date]])</f>
        <v>13</v>
      </c>
      <c r="O2326" t="str" cm="1">
        <f t="array" ref="O2326">_xlfn.IFS(orders[[#This Row],[Customer Gender]]="M","Male", orders[[#This Row],[Customer Gender]]="F","Female", orders[[#This Row],[Customer Gender]]="O","Other", TRUE,"Unknown")</f>
        <v>Female</v>
      </c>
    </row>
    <row r="2327" spans="1:15" x14ac:dyDescent="0.3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1">
        <v>45743</v>
      </c>
      <c r="G2327" s="1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f>orders[[#This Row],[Ship Date]]-orders[[#This Row],[Order Date]]</f>
        <v>0</v>
      </c>
      <c r="N2327">
        <f>WEEKNUM(orders[[#This Row],[Order Date]])</f>
        <v>13</v>
      </c>
      <c r="O2327" t="str" cm="1">
        <f t="array" ref="O2327">_xlfn.IFS(orders[[#This Row],[Customer Gender]]="M","Male", orders[[#This Row],[Customer Gender]]="F","Female", orders[[#This Row],[Customer Gender]]="O","Other", TRUE,"Unknown")</f>
        <v>Female</v>
      </c>
    </row>
    <row r="2328" spans="1:15" x14ac:dyDescent="0.3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1">
        <v>45743</v>
      </c>
      <c r="G2328" s="1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f>orders[[#This Row],[Ship Date]]-orders[[#This Row],[Order Date]]</f>
        <v>2</v>
      </c>
      <c r="N2328">
        <f>WEEKNUM(orders[[#This Row],[Order Date]])</f>
        <v>13</v>
      </c>
      <c r="O2328" t="str" cm="1">
        <f t="array" ref="O2328">_xlfn.IFS(orders[[#This Row],[Customer Gender]]="M","Male", orders[[#This Row],[Customer Gender]]="F","Female", orders[[#This Row],[Customer Gender]]="O","Other", TRUE,"Unknown")</f>
        <v>Female</v>
      </c>
    </row>
    <row r="2329" spans="1:15" x14ac:dyDescent="0.3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1">
        <v>45743</v>
      </c>
      <c r="G2329" s="1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f>orders[[#This Row],[Ship Date]]-orders[[#This Row],[Order Date]]</f>
        <v>1</v>
      </c>
      <c r="N2329">
        <f>WEEKNUM(orders[[#This Row],[Order Date]])</f>
        <v>13</v>
      </c>
      <c r="O2329" t="str" cm="1">
        <f t="array" ref="O2329">_xlfn.IFS(orders[[#This Row],[Customer Gender]]="M","Male", orders[[#This Row],[Customer Gender]]="F","Female", orders[[#This Row],[Customer Gender]]="O","Other", TRUE,"Unknown")</f>
        <v>Female</v>
      </c>
    </row>
    <row r="2330" spans="1:15" x14ac:dyDescent="0.3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1">
        <v>45743</v>
      </c>
      <c r="G2330" s="1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f>orders[[#This Row],[Ship Date]]-orders[[#This Row],[Order Date]]</f>
        <v>3</v>
      </c>
      <c r="N2330">
        <f>WEEKNUM(orders[[#This Row],[Order Date]])</f>
        <v>13</v>
      </c>
      <c r="O2330" t="str" cm="1">
        <f t="array" ref="O2330">_xlfn.IFS(orders[[#This Row],[Customer Gender]]="M","Male", orders[[#This Row],[Customer Gender]]="F","Female", orders[[#This Row],[Customer Gender]]="O","Other", TRUE,"Unknown")</f>
        <v>Female</v>
      </c>
    </row>
    <row r="2331" spans="1:15" x14ac:dyDescent="0.3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1">
        <v>45743</v>
      </c>
      <c r="G2331" s="1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f>orders[[#This Row],[Ship Date]]-orders[[#This Row],[Order Date]]</f>
        <v>1</v>
      </c>
      <c r="N2331">
        <f>WEEKNUM(orders[[#This Row],[Order Date]])</f>
        <v>13</v>
      </c>
      <c r="O2331" t="str" cm="1">
        <f t="array" ref="O2331">_xlfn.IFS(orders[[#This Row],[Customer Gender]]="M","Male", orders[[#This Row],[Customer Gender]]="F","Female", orders[[#This Row],[Customer Gender]]="O","Other", TRUE,"Unknown")</f>
        <v>Male</v>
      </c>
    </row>
    <row r="2332" spans="1:15" x14ac:dyDescent="0.3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1">
        <v>45743</v>
      </c>
      <c r="G2332" s="1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f>orders[[#This Row],[Ship Date]]-orders[[#This Row],[Order Date]]</f>
        <v>2</v>
      </c>
      <c r="N2332">
        <f>WEEKNUM(orders[[#This Row],[Order Date]])</f>
        <v>13</v>
      </c>
      <c r="O2332" t="str" cm="1">
        <f t="array" ref="O2332">_xlfn.IFS(orders[[#This Row],[Customer Gender]]="M","Male", orders[[#This Row],[Customer Gender]]="F","Female", orders[[#This Row],[Customer Gender]]="O","Other", TRUE,"Unknown")</f>
        <v>Male</v>
      </c>
    </row>
    <row r="2333" spans="1:15" x14ac:dyDescent="0.3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1">
        <v>45743</v>
      </c>
      <c r="G2333" s="1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f>orders[[#This Row],[Ship Date]]-orders[[#This Row],[Order Date]]</f>
        <v>2</v>
      </c>
      <c r="N2333">
        <f>WEEKNUM(orders[[#This Row],[Order Date]])</f>
        <v>13</v>
      </c>
      <c r="O2333" t="str" cm="1">
        <f t="array" ref="O2333">_xlfn.IFS(orders[[#This Row],[Customer Gender]]="M","Male", orders[[#This Row],[Customer Gender]]="F","Female", orders[[#This Row],[Customer Gender]]="O","Other", TRUE,"Unknown")</f>
        <v>Female</v>
      </c>
    </row>
    <row r="2334" spans="1:15" x14ac:dyDescent="0.3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1">
        <v>45743</v>
      </c>
      <c r="G2334" s="1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f>orders[[#This Row],[Ship Date]]-orders[[#This Row],[Order Date]]</f>
        <v>2</v>
      </c>
      <c r="N2334">
        <f>WEEKNUM(orders[[#This Row],[Order Date]])</f>
        <v>13</v>
      </c>
      <c r="O2334" t="str" cm="1">
        <f t="array" ref="O2334">_xlfn.IFS(orders[[#This Row],[Customer Gender]]="M","Male", orders[[#This Row],[Customer Gender]]="F","Female", orders[[#This Row],[Customer Gender]]="O","Other", TRUE,"Unknown")</f>
        <v>Male</v>
      </c>
    </row>
    <row r="2335" spans="1:15" x14ac:dyDescent="0.3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1">
        <v>45743</v>
      </c>
      <c r="G2335" s="1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f>orders[[#This Row],[Ship Date]]-orders[[#This Row],[Order Date]]</f>
        <v>2</v>
      </c>
      <c r="N2335">
        <f>WEEKNUM(orders[[#This Row],[Order Date]])</f>
        <v>13</v>
      </c>
      <c r="O2335" t="str" cm="1">
        <f t="array" ref="O2335">_xlfn.IFS(orders[[#This Row],[Customer Gender]]="M","Male", orders[[#This Row],[Customer Gender]]="F","Female", orders[[#This Row],[Customer Gender]]="O","Other", TRUE,"Unknown")</f>
        <v>Female</v>
      </c>
    </row>
    <row r="2336" spans="1:15" x14ac:dyDescent="0.3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1">
        <v>45743</v>
      </c>
      <c r="G2336" s="1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f>orders[[#This Row],[Ship Date]]-orders[[#This Row],[Order Date]]</f>
        <v>2</v>
      </c>
      <c r="N2336">
        <f>WEEKNUM(orders[[#This Row],[Order Date]])</f>
        <v>13</v>
      </c>
      <c r="O2336" t="str" cm="1">
        <f t="array" ref="O2336">_xlfn.IFS(orders[[#This Row],[Customer Gender]]="M","Male", orders[[#This Row],[Customer Gender]]="F","Female", orders[[#This Row],[Customer Gender]]="O","Other", TRUE,"Unknown")</f>
        <v>Male</v>
      </c>
    </row>
    <row r="2337" spans="1:15" x14ac:dyDescent="0.3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1">
        <v>45743</v>
      </c>
      <c r="G2337" s="1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f>orders[[#This Row],[Ship Date]]-orders[[#This Row],[Order Date]]</f>
        <v>2</v>
      </c>
      <c r="N2337">
        <f>WEEKNUM(orders[[#This Row],[Order Date]])</f>
        <v>13</v>
      </c>
      <c r="O2337" t="str" cm="1">
        <f t="array" ref="O2337">_xlfn.IFS(orders[[#This Row],[Customer Gender]]="M","Male", orders[[#This Row],[Customer Gender]]="F","Female", orders[[#This Row],[Customer Gender]]="O","Other", TRUE,"Unknown")</f>
        <v>Male</v>
      </c>
    </row>
    <row r="2338" spans="1:15" x14ac:dyDescent="0.3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1">
        <v>45743</v>
      </c>
      <c r="G2338" s="1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f>orders[[#This Row],[Ship Date]]-orders[[#This Row],[Order Date]]</f>
        <v>1</v>
      </c>
      <c r="N2338">
        <f>WEEKNUM(orders[[#This Row],[Order Date]])</f>
        <v>13</v>
      </c>
      <c r="O2338" t="str" cm="1">
        <f t="array" ref="O2338">_xlfn.IFS(orders[[#This Row],[Customer Gender]]="M","Male", orders[[#This Row],[Customer Gender]]="F","Female", orders[[#This Row],[Customer Gender]]="O","Other", TRUE,"Unknown")</f>
        <v>Female</v>
      </c>
    </row>
    <row r="2339" spans="1:15" x14ac:dyDescent="0.3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1">
        <v>45743</v>
      </c>
      <c r="G2339" s="1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f>orders[[#This Row],[Ship Date]]-orders[[#This Row],[Order Date]]</f>
        <v>0</v>
      </c>
      <c r="N2339">
        <f>WEEKNUM(orders[[#This Row],[Order Date]])</f>
        <v>13</v>
      </c>
      <c r="O2339" t="str" cm="1">
        <f t="array" ref="O2339">_xlfn.IFS(orders[[#This Row],[Customer Gender]]="M","Male", orders[[#This Row],[Customer Gender]]="F","Female", orders[[#This Row],[Customer Gender]]="O","Other", TRUE,"Unknown")</f>
        <v>Male</v>
      </c>
    </row>
    <row r="2340" spans="1:15" x14ac:dyDescent="0.3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1">
        <v>45743</v>
      </c>
      <c r="G2340" s="1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f>orders[[#This Row],[Ship Date]]-orders[[#This Row],[Order Date]]</f>
        <v>4</v>
      </c>
      <c r="N2340">
        <f>WEEKNUM(orders[[#This Row],[Order Date]])</f>
        <v>13</v>
      </c>
      <c r="O2340" t="str" cm="1">
        <f t="array" ref="O2340">_xlfn.IFS(orders[[#This Row],[Customer Gender]]="M","Male", orders[[#This Row],[Customer Gender]]="F","Female", orders[[#This Row],[Customer Gender]]="O","Other", TRUE,"Unknown")</f>
        <v>Male</v>
      </c>
    </row>
    <row r="2341" spans="1:15" x14ac:dyDescent="0.3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1">
        <v>45743</v>
      </c>
      <c r="G2341" s="1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f>orders[[#This Row],[Ship Date]]-orders[[#This Row],[Order Date]]</f>
        <v>1</v>
      </c>
      <c r="N2341">
        <f>WEEKNUM(orders[[#This Row],[Order Date]])</f>
        <v>13</v>
      </c>
      <c r="O2341" t="str" cm="1">
        <f t="array" ref="O2341">_xlfn.IFS(orders[[#This Row],[Customer Gender]]="M","Male", orders[[#This Row],[Customer Gender]]="F","Female", orders[[#This Row],[Customer Gender]]="O","Other", TRUE,"Unknown")</f>
        <v>Male</v>
      </c>
    </row>
    <row r="2342" spans="1:15" x14ac:dyDescent="0.3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1">
        <v>45743</v>
      </c>
      <c r="G2342" s="1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f>orders[[#This Row],[Ship Date]]-orders[[#This Row],[Order Date]]</f>
        <v>2</v>
      </c>
      <c r="N2342">
        <f>WEEKNUM(orders[[#This Row],[Order Date]])</f>
        <v>13</v>
      </c>
      <c r="O2342" t="str" cm="1">
        <f t="array" ref="O2342">_xlfn.IFS(orders[[#This Row],[Customer Gender]]="M","Male", orders[[#This Row],[Customer Gender]]="F","Female", orders[[#This Row],[Customer Gender]]="O","Other", TRUE,"Unknown")</f>
        <v>Male</v>
      </c>
    </row>
    <row r="2343" spans="1:15" x14ac:dyDescent="0.3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1">
        <v>45743</v>
      </c>
      <c r="G2343" s="1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f>orders[[#This Row],[Ship Date]]-orders[[#This Row],[Order Date]]</f>
        <v>2</v>
      </c>
      <c r="N2343">
        <f>WEEKNUM(orders[[#This Row],[Order Date]])</f>
        <v>13</v>
      </c>
      <c r="O2343" t="str" cm="1">
        <f t="array" ref="O2343">_xlfn.IFS(orders[[#This Row],[Customer Gender]]="M","Male", orders[[#This Row],[Customer Gender]]="F","Female", orders[[#This Row],[Customer Gender]]="O","Other", TRUE,"Unknown")</f>
        <v>Female</v>
      </c>
    </row>
    <row r="2344" spans="1:15" x14ac:dyDescent="0.3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1">
        <v>45743</v>
      </c>
      <c r="G2344" s="1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f>orders[[#This Row],[Ship Date]]-orders[[#This Row],[Order Date]]</f>
        <v>3</v>
      </c>
      <c r="N2344">
        <f>WEEKNUM(orders[[#This Row],[Order Date]])</f>
        <v>13</v>
      </c>
      <c r="O2344" t="str" cm="1">
        <f t="array" ref="O2344">_xlfn.IFS(orders[[#This Row],[Customer Gender]]="M","Male", orders[[#This Row],[Customer Gender]]="F","Female", orders[[#This Row],[Customer Gender]]="O","Other", TRUE,"Unknown")</f>
        <v>Male</v>
      </c>
    </row>
    <row r="2345" spans="1:15" x14ac:dyDescent="0.3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1">
        <v>45743</v>
      </c>
      <c r="G2345" s="1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f>orders[[#This Row],[Ship Date]]-orders[[#This Row],[Order Date]]</f>
        <v>2</v>
      </c>
      <c r="N2345">
        <f>WEEKNUM(orders[[#This Row],[Order Date]])</f>
        <v>13</v>
      </c>
      <c r="O2345" t="str" cm="1">
        <f t="array" ref="O2345">_xlfn.IFS(orders[[#This Row],[Customer Gender]]="M","Male", orders[[#This Row],[Customer Gender]]="F","Female", orders[[#This Row],[Customer Gender]]="O","Other", TRUE,"Unknown")</f>
        <v>Other</v>
      </c>
    </row>
    <row r="2346" spans="1:15" x14ac:dyDescent="0.3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1">
        <v>45743</v>
      </c>
      <c r="G2346" s="1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f>orders[[#This Row],[Ship Date]]-orders[[#This Row],[Order Date]]</f>
        <v>3</v>
      </c>
      <c r="N2346">
        <f>WEEKNUM(orders[[#This Row],[Order Date]])</f>
        <v>13</v>
      </c>
      <c r="O2346" t="str" cm="1">
        <f t="array" ref="O2346">_xlfn.IFS(orders[[#This Row],[Customer Gender]]="M","Male", orders[[#This Row],[Customer Gender]]="F","Female", orders[[#This Row],[Customer Gender]]="O","Other", TRUE,"Unknown")</f>
        <v>Female</v>
      </c>
    </row>
    <row r="2347" spans="1:15" x14ac:dyDescent="0.3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1">
        <v>45744</v>
      </c>
      <c r="G2347" s="1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f>orders[[#This Row],[Ship Date]]-orders[[#This Row],[Order Date]]</f>
        <v>3</v>
      </c>
      <c r="N2347">
        <f>WEEKNUM(orders[[#This Row],[Order Date]])</f>
        <v>13</v>
      </c>
      <c r="O2347" t="str" cm="1">
        <f t="array" ref="O2347">_xlfn.IFS(orders[[#This Row],[Customer Gender]]="M","Male", orders[[#This Row],[Customer Gender]]="F","Female", orders[[#This Row],[Customer Gender]]="O","Other", TRUE,"Unknown")</f>
        <v>Female</v>
      </c>
    </row>
    <row r="2348" spans="1:15" x14ac:dyDescent="0.3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1">
        <v>45744</v>
      </c>
      <c r="G2348" s="1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f>orders[[#This Row],[Ship Date]]-orders[[#This Row],[Order Date]]</f>
        <v>1</v>
      </c>
      <c r="N2348">
        <f>WEEKNUM(orders[[#This Row],[Order Date]])</f>
        <v>13</v>
      </c>
      <c r="O2348" t="str" cm="1">
        <f t="array" ref="O2348">_xlfn.IFS(orders[[#This Row],[Customer Gender]]="M","Male", orders[[#This Row],[Customer Gender]]="F","Female", orders[[#This Row],[Customer Gender]]="O","Other", TRUE,"Unknown")</f>
        <v>Female</v>
      </c>
    </row>
    <row r="2349" spans="1:15" x14ac:dyDescent="0.3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1">
        <v>45744</v>
      </c>
      <c r="G2349" s="1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f>orders[[#This Row],[Ship Date]]-orders[[#This Row],[Order Date]]</f>
        <v>1</v>
      </c>
      <c r="N2349">
        <f>WEEKNUM(orders[[#This Row],[Order Date]])</f>
        <v>13</v>
      </c>
      <c r="O2349" t="str" cm="1">
        <f t="array" ref="O2349">_xlfn.IFS(orders[[#This Row],[Customer Gender]]="M","Male", orders[[#This Row],[Customer Gender]]="F","Female", orders[[#This Row],[Customer Gender]]="O","Other", TRUE,"Unknown")</f>
        <v>Female</v>
      </c>
    </row>
    <row r="2350" spans="1:15" x14ac:dyDescent="0.3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1">
        <v>45744</v>
      </c>
      <c r="G2350" s="1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f>orders[[#This Row],[Ship Date]]-orders[[#This Row],[Order Date]]</f>
        <v>4</v>
      </c>
      <c r="N2350">
        <f>WEEKNUM(orders[[#This Row],[Order Date]])</f>
        <v>13</v>
      </c>
      <c r="O2350" t="str" cm="1">
        <f t="array" ref="O2350">_xlfn.IFS(orders[[#This Row],[Customer Gender]]="M","Male", orders[[#This Row],[Customer Gender]]="F","Female", orders[[#This Row],[Customer Gender]]="O","Other", TRUE,"Unknown")</f>
        <v>Other</v>
      </c>
    </row>
    <row r="2351" spans="1:15" x14ac:dyDescent="0.3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1">
        <v>45744</v>
      </c>
      <c r="G2351" s="1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f>orders[[#This Row],[Ship Date]]-orders[[#This Row],[Order Date]]</f>
        <v>3</v>
      </c>
      <c r="N2351">
        <f>WEEKNUM(orders[[#This Row],[Order Date]])</f>
        <v>13</v>
      </c>
      <c r="O2351" t="str" cm="1">
        <f t="array" ref="O2351">_xlfn.IFS(orders[[#This Row],[Customer Gender]]="M","Male", orders[[#This Row],[Customer Gender]]="F","Female", orders[[#This Row],[Customer Gender]]="O","Other", TRUE,"Unknown")</f>
        <v>Female</v>
      </c>
    </row>
    <row r="2352" spans="1:15" x14ac:dyDescent="0.3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1">
        <v>45744</v>
      </c>
      <c r="G2352" s="1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f>orders[[#This Row],[Ship Date]]-orders[[#This Row],[Order Date]]</f>
        <v>2</v>
      </c>
      <c r="N2352">
        <f>WEEKNUM(orders[[#This Row],[Order Date]])</f>
        <v>13</v>
      </c>
      <c r="O2352" t="str" cm="1">
        <f t="array" ref="O2352">_xlfn.IFS(orders[[#This Row],[Customer Gender]]="M","Male", orders[[#This Row],[Customer Gender]]="F","Female", orders[[#This Row],[Customer Gender]]="O","Other", TRUE,"Unknown")</f>
        <v>Female</v>
      </c>
    </row>
    <row r="2353" spans="1:15" x14ac:dyDescent="0.3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1">
        <v>45744</v>
      </c>
      <c r="G2353" s="1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f>orders[[#This Row],[Ship Date]]-orders[[#This Row],[Order Date]]</f>
        <v>1</v>
      </c>
      <c r="N2353">
        <f>WEEKNUM(orders[[#This Row],[Order Date]])</f>
        <v>13</v>
      </c>
      <c r="O2353" t="str" cm="1">
        <f t="array" ref="O2353">_xlfn.IFS(orders[[#This Row],[Customer Gender]]="M","Male", orders[[#This Row],[Customer Gender]]="F","Female", orders[[#This Row],[Customer Gender]]="O","Other", TRUE,"Unknown")</f>
        <v>Female</v>
      </c>
    </row>
    <row r="2354" spans="1:15" x14ac:dyDescent="0.3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1">
        <v>45744</v>
      </c>
      <c r="G2354" s="1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f>orders[[#This Row],[Ship Date]]-orders[[#This Row],[Order Date]]</f>
        <v>4</v>
      </c>
      <c r="N2354">
        <f>WEEKNUM(orders[[#This Row],[Order Date]])</f>
        <v>13</v>
      </c>
      <c r="O2354" t="str" cm="1">
        <f t="array" ref="O2354">_xlfn.IFS(orders[[#This Row],[Customer Gender]]="M","Male", orders[[#This Row],[Customer Gender]]="F","Female", orders[[#This Row],[Customer Gender]]="O","Other", TRUE,"Unknown")</f>
        <v>Female</v>
      </c>
    </row>
    <row r="2355" spans="1:15" x14ac:dyDescent="0.3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1">
        <v>45744</v>
      </c>
      <c r="G2355" s="1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f>orders[[#This Row],[Ship Date]]-orders[[#This Row],[Order Date]]</f>
        <v>2</v>
      </c>
      <c r="N2355">
        <f>WEEKNUM(orders[[#This Row],[Order Date]])</f>
        <v>13</v>
      </c>
      <c r="O2355" t="str" cm="1">
        <f t="array" ref="O2355">_xlfn.IFS(orders[[#This Row],[Customer Gender]]="M","Male", orders[[#This Row],[Customer Gender]]="F","Female", orders[[#This Row],[Customer Gender]]="O","Other", TRUE,"Unknown")</f>
        <v>Unknown</v>
      </c>
    </row>
    <row r="2356" spans="1:15" x14ac:dyDescent="0.3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1">
        <v>45744</v>
      </c>
      <c r="G2356" s="1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f>orders[[#This Row],[Ship Date]]-orders[[#This Row],[Order Date]]</f>
        <v>2</v>
      </c>
      <c r="N2356">
        <f>WEEKNUM(orders[[#This Row],[Order Date]])</f>
        <v>13</v>
      </c>
      <c r="O2356" t="str" cm="1">
        <f t="array" ref="O2356">_xlfn.IFS(orders[[#This Row],[Customer Gender]]="M","Male", orders[[#This Row],[Customer Gender]]="F","Female", orders[[#This Row],[Customer Gender]]="O","Other", TRUE,"Unknown")</f>
        <v>Female</v>
      </c>
    </row>
    <row r="2357" spans="1:15" x14ac:dyDescent="0.3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1">
        <v>45744</v>
      </c>
      <c r="G2357" s="1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f>orders[[#This Row],[Ship Date]]-orders[[#This Row],[Order Date]]</f>
        <v>3</v>
      </c>
      <c r="N2357">
        <f>WEEKNUM(orders[[#This Row],[Order Date]])</f>
        <v>13</v>
      </c>
      <c r="O2357" t="str" cm="1">
        <f t="array" ref="O2357">_xlfn.IFS(orders[[#This Row],[Customer Gender]]="M","Male", orders[[#This Row],[Customer Gender]]="F","Female", orders[[#This Row],[Customer Gender]]="O","Other", TRUE,"Unknown")</f>
        <v>Female</v>
      </c>
    </row>
    <row r="2358" spans="1:15" x14ac:dyDescent="0.3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1">
        <v>45744</v>
      </c>
      <c r="G2358" s="1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f>orders[[#This Row],[Ship Date]]-orders[[#This Row],[Order Date]]</f>
        <v>1</v>
      </c>
      <c r="N2358">
        <f>WEEKNUM(orders[[#This Row],[Order Date]])</f>
        <v>13</v>
      </c>
      <c r="O2358" t="str" cm="1">
        <f t="array" ref="O2358">_xlfn.IFS(orders[[#This Row],[Customer Gender]]="M","Male", orders[[#This Row],[Customer Gender]]="F","Female", orders[[#This Row],[Customer Gender]]="O","Other", TRUE,"Unknown")</f>
        <v>Female</v>
      </c>
    </row>
    <row r="2359" spans="1:15" x14ac:dyDescent="0.3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1">
        <v>45744</v>
      </c>
      <c r="G2359" s="1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f>orders[[#This Row],[Ship Date]]-orders[[#This Row],[Order Date]]</f>
        <v>1</v>
      </c>
      <c r="N2359">
        <f>WEEKNUM(orders[[#This Row],[Order Date]])</f>
        <v>13</v>
      </c>
      <c r="O2359" t="str" cm="1">
        <f t="array" ref="O2359">_xlfn.IFS(orders[[#This Row],[Customer Gender]]="M","Male", orders[[#This Row],[Customer Gender]]="F","Female", orders[[#This Row],[Customer Gender]]="O","Other", TRUE,"Unknown")</f>
        <v>Male</v>
      </c>
    </row>
    <row r="2360" spans="1:15" x14ac:dyDescent="0.3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1">
        <v>45744</v>
      </c>
      <c r="G2360" s="1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f>orders[[#This Row],[Ship Date]]-orders[[#This Row],[Order Date]]</f>
        <v>1</v>
      </c>
      <c r="N2360">
        <f>WEEKNUM(orders[[#This Row],[Order Date]])</f>
        <v>13</v>
      </c>
      <c r="O2360" t="str" cm="1">
        <f t="array" ref="O2360">_xlfn.IFS(orders[[#This Row],[Customer Gender]]="M","Male", orders[[#This Row],[Customer Gender]]="F","Female", orders[[#This Row],[Customer Gender]]="O","Other", TRUE,"Unknown")</f>
        <v>Male</v>
      </c>
    </row>
    <row r="2361" spans="1:15" x14ac:dyDescent="0.3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1">
        <v>45744</v>
      </c>
      <c r="G2361" s="1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f>orders[[#This Row],[Ship Date]]-orders[[#This Row],[Order Date]]</f>
        <v>3</v>
      </c>
      <c r="N2361">
        <f>WEEKNUM(orders[[#This Row],[Order Date]])</f>
        <v>13</v>
      </c>
      <c r="O2361" t="str" cm="1">
        <f t="array" ref="O2361">_xlfn.IFS(orders[[#This Row],[Customer Gender]]="M","Male", orders[[#This Row],[Customer Gender]]="F","Female", orders[[#This Row],[Customer Gender]]="O","Other", TRUE,"Unknown")</f>
        <v>Female</v>
      </c>
    </row>
    <row r="2362" spans="1:15" x14ac:dyDescent="0.3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1">
        <v>45744</v>
      </c>
      <c r="G2362" s="1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f>orders[[#This Row],[Ship Date]]-orders[[#This Row],[Order Date]]</f>
        <v>1</v>
      </c>
      <c r="N2362">
        <f>WEEKNUM(orders[[#This Row],[Order Date]])</f>
        <v>13</v>
      </c>
      <c r="O2362" t="str" cm="1">
        <f t="array" ref="O2362">_xlfn.IFS(orders[[#This Row],[Customer Gender]]="M","Male", orders[[#This Row],[Customer Gender]]="F","Female", orders[[#This Row],[Customer Gender]]="O","Other", TRUE,"Unknown")</f>
        <v>Male</v>
      </c>
    </row>
    <row r="2363" spans="1:15" x14ac:dyDescent="0.3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1">
        <v>45744</v>
      </c>
      <c r="G2363" s="1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f>orders[[#This Row],[Ship Date]]-orders[[#This Row],[Order Date]]</f>
        <v>2</v>
      </c>
      <c r="N2363">
        <f>WEEKNUM(orders[[#This Row],[Order Date]])</f>
        <v>13</v>
      </c>
      <c r="O2363" t="str" cm="1">
        <f t="array" ref="O2363">_xlfn.IFS(orders[[#This Row],[Customer Gender]]="M","Male", orders[[#This Row],[Customer Gender]]="F","Female", orders[[#This Row],[Customer Gender]]="O","Other", TRUE,"Unknown")</f>
        <v>Female</v>
      </c>
    </row>
    <row r="2364" spans="1:15" x14ac:dyDescent="0.3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1">
        <v>45744</v>
      </c>
      <c r="G2364" s="1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f>orders[[#This Row],[Ship Date]]-orders[[#This Row],[Order Date]]</f>
        <v>0</v>
      </c>
      <c r="N2364">
        <f>WEEKNUM(orders[[#This Row],[Order Date]])</f>
        <v>13</v>
      </c>
      <c r="O2364" t="str" cm="1">
        <f t="array" ref="O2364">_xlfn.IFS(orders[[#This Row],[Customer Gender]]="M","Male", orders[[#This Row],[Customer Gender]]="F","Female", orders[[#This Row],[Customer Gender]]="O","Other", TRUE,"Unknown")</f>
        <v>Female</v>
      </c>
    </row>
    <row r="2365" spans="1:15" x14ac:dyDescent="0.3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1">
        <v>45744</v>
      </c>
      <c r="G2365" s="1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f>orders[[#This Row],[Ship Date]]-orders[[#This Row],[Order Date]]</f>
        <v>3</v>
      </c>
      <c r="N2365">
        <f>WEEKNUM(orders[[#This Row],[Order Date]])</f>
        <v>13</v>
      </c>
      <c r="O2365" t="str" cm="1">
        <f t="array" ref="O2365">_xlfn.IFS(orders[[#This Row],[Customer Gender]]="M","Male", orders[[#This Row],[Customer Gender]]="F","Female", orders[[#This Row],[Customer Gender]]="O","Other", TRUE,"Unknown")</f>
        <v>Male</v>
      </c>
    </row>
    <row r="2366" spans="1:15" x14ac:dyDescent="0.3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1">
        <v>45744</v>
      </c>
      <c r="G2366" s="1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f>orders[[#This Row],[Ship Date]]-orders[[#This Row],[Order Date]]</f>
        <v>1</v>
      </c>
      <c r="N2366">
        <f>WEEKNUM(orders[[#This Row],[Order Date]])</f>
        <v>13</v>
      </c>
      <c r="O2366" t="str" cm="1">
        <f t="array" ref="O2366">_xlfn.IFS(orders[[#This Row],[Customer Gender]]="M","Male", orders[[#This Row],[Customer Gender]]="F","Female", orders[[#This Row],[Customer Gender]]="O","Other", TRUE,"Unknown")</f>
        <v>Male</v>
      </c>
    </row>
    <row r="2367" spans="1:15" x14ac:dyDescent="0.3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1">
        <v>45744</v>
      </c>
      <c r="G2367" s="1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f>orders[[#This Row],[Ship Date]]-orders[[#This Row],[Order Date]]</f>
        <v>13</v>
      </c>
      <c r="N2367">
        <f>WEEKNUM(orders[[#This Row],[Order Date]])</f>
        <v>13</v>
      </c>
      <c r="O2367" t="str" cm="1">
        <f t="array" ref="O2367">_xlfn.IFS(orders[[#This Row],[Customer Gender]]="M","Male", orders[[#This Row],[Customer Gender]]="F","Female", orders[[#This Row],[Customer Gender]]="O","Other", TRUE,"Unknown")</f>
        <v>Female</v>
      </c>
    </row>
    <row r="2368" spans="1:15" x14ac:dyDescent="0.3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1">
        <v>45744</v>
      </c>
      <c r="G2368" s="1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f>orders[[#This Row],[Ship Date]]-orders[[#This Row],[Order Date]]</f>
        <v>5</v>
      </c>
      <c r="N2368">
        <f>WEEKNUM(orders[[#This Row],[Order Date]])</f>
        <v>13</v>
      </c>
      <c r="O2368" t="str" cm="1">
        <f t="array" ref="O2368">_xlfn.IFS(orders[[#This Row],[Customer Gender]]="M","Male", orders[[#This Row],[Customer Gender]]="F","Female", orders[[#This Row],[Customer Gender]]="O","Other", TRUE,"Unknown")</f>
        <v>Male</v>
      </c>
    </row>
    <row r="2369" spans="1:15" x14ac:dyDescent="0.3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1">
        <v>45744</v>
      </c>
      <c r="G2369" s="1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f>orders[[#This Row],[Ship Date]]-orders[[#This Row],[Order Date]]</f>
        <v>7</v>
      </c>
      <c r="N2369">
        <f>WEEKNUM(orders[[#This Row],[Order Date]])</f>
        <v>13</v>
      </c>
      <c r="O2369" t="str" cm="1">
        <f t="array" ref="O2369">_xlfn.IFS(orders[[#This Row],[Customer Gender]]="M","Male", orders[[#This Row],[Customer Gender]]="F","Female", orders[[#This Row],[Customer Gender]]="O","Other", TRUE,"Unknown")</f>
        <v>Unknown</v>
      </c>
    </row>
    <row r="2370" spans="1:15" x14ac:dyDescent="0.3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1">
        <v>45744</v>
      </c>
      <c r="G2370" s="1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f>orders[[#This Row],[Ship Date]]-orders[[#This Row],[Order Date]]</f>
        <v>1</v>
      </c>
      <c r="N2370">
        <f>WEEKNUM(orders[[#This Row],[Order Date]])</f>
        <v>13</v>
      </c>
      <c r="O2370" t="str" cm="1">
        <f t="array" ref="O2370">_xlfn.IFS(orders[[#This Row],[Customer Gender]]="M","Male", orders[[#This Row],[Customer Gender]]="F","Female", orders[[#This Row],[Customer Gender]]="O","Other", TRUE,"Unknown")</f>
        <v>Male</v>
      </c>
    </row>
    <row r="2371" spans="1:15" x14ac:dyDescent="0.3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1">
        <v>45744</v>
      </c>
      <c r="G2371" s="1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f>orders[[#This Row],[Ship Date]]-orders[[#This Row],[Order Date]]</f>
        <v>1</v>
      </c>
      <c r="N2371">
        <f>WEEKNUM(orders[[#This Row],[Order Date]])</f>
        <v>13</v>
      </c>
      <c r="O2371" t="str" cm="1">
        <f t="array" ref="O2371">_xlfn.IFS(orders[[#This Row],[Customer Gender]]="M","Male", orders[[#This Row],[Customer Gender]]="F","Female", orders[[#This Row],[Customer Gender]]="O","Other", TRUE,"Unknown")</f>
        <v>Male</v>
      </c>
    </row>
    <row r="2372" spans="1:15" x14ac:dyDescent="0.3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1">
        <v>45744</v>
      </c>
      <c r="G2372" s="1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f>orders[[#This Row],[Ship Date]]-orders[[#This Row],[Order Date]]</f>
        <v>1</v>
      </c>
      <c r="N2372">
        <f>WEEKNUM(orders[[#This Row],[Order Date]])</f>
        <v>13</v>
      </c>
      <c r="O2372" t="str" cm="1">
        <f t="array" ref="O2372">_xlfn.IFS(orders[[#This Row],[Customer Gender]]="M","Male", orders[[#This Row],[Customer Gender]]="F","Female", orders[[#This Row],[Customer Gender]]="O","Other", TRUE,"Unknown")</f>
        <v>Female</v>
      </c>
    </row>
    <row r="2373" spans="1:15" x14ac:dyDescent="0.3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1">
        <v>45744</v>
      </c>
      <c r="G2373" s="1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f>orders[[#This Row],[Ship Date]]-orders[[#This Row],[Order Date]]</f>
        <v>4</v>
      </c>
      <c r="N2373">
        <f>WEEKNUM(orders[[#This Row],[Order Date]])</f>
        <v>13</v>
      </c>
      <c r="O2373" t="str" cm="1">
        <f t="array" ref="O2373">_xlfn.IFS(orders[[#This Row],[Customer Gender]]="M","Male", orders[[#This Row],[Customer Gender]]="F","Female", orders[[#This Row],[Customer Gender]]="O","Other", TRUE,"Unknown")</f>
        <v>Male</v>
      </c>
    </row>
    <row r="2374" spans="1:15" x14ac:dyDescent="0.3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1">
        <v>45744</v>
      </c>
      <c r="G2374" s="1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f>orders[[#This Row],[Ship Date]]-orders[[#This Row],[Order Date]]</f>
        <v>3</v>
      </c>
      <c r="N2374">
        <f>WEEKNUM(orders[[#This Row],[Order Date]])</f>
        <v>13</v>
      </c>
      <c r="O2374" t="str" cm="1">
        <f t="array" ref="O2374">_xlfn.IFS(orders[[#This Row],[Customer Gender]]="M","Male", orders[[#This Row],[Customer Gender]]="F","Female", orders[[#This Row],[Customer Gender]]="O","Other", TRUE,"Unknown")</f>
        <v>Female</v>
      </c>
    </row>
    <row r="2375" spans="1:15" x14ac:dyDescent="0.3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1">
        <v>45744</v>
      </c>
      <c r="G2375" s="1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f>orders[[#This Row],[Ship Date]]-orders[[#This Row],[Order Date]]</f>
        <v>2</v>
      </c>
      <c r="N2375">
        <f>WEEKNUM(orders[[#This Row],[Order Date]])</f>
        <v>13</v>
      </c>
      <c r="O2375" t="str" cm="1">
        <f t="array" ref="O2375">_xlfn.IFS(orders[[#This Row],[Customer Gender]]="M","Male", orders[[#This Row],[Customer Gender]]="F","Female", orders[[#This Row],[Customer Gender]]="O","Other", TRUE,"Unknown")</f>
        <v>Female</v>
      </c>
    </row>
    <row r="2376" spans="1:15" x14ac:dyDescent="0.3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1">
        <v>45745</v>
      </c>
      <c r="G2376" s="1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f>orders[[#This Row],[Ship Date]]-orders[[#This Row],[Order Date]]</f>
        <v>1</v>
      </c>
      <c r="N2376">
        <f>WEEKNUM(orders[[#This Row],[Order Date]])</f>
        <v>13</v>
      </c>
      <c r="O2376" t="str" cm="1">
        <f t="array" ref="O2376">_xlfn.IFS(orders[[#This Row],[Customer Gender]]="M","Male", orders[[#This Row],[Customer Gender]]="F","Female", orders[[#This Row],[Customer Gender]]="O","Other", TRUE,"Unknown")</f>
        <v>Male</v>
      </c>
    </row>
    <row r="2377" spans="1:15" x14ac:dyDescent="0.3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1">
        <v>45745</v>
      </c>
      <c r="G2377" s="1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f>orders[[#This Row],[Ship Date]]-orders[[#This Row],[Order Date]]</f>
        <v>2</v>
      </c>
      <c r="N2377">
        <f>WEEKNUM(orders[[#This Row],[Order Date]])</f>
        <v>13</v>
      </c>
      <c r="O2377" t="str" cm="1">
        <f t="array" ref="O2377">_xlfn.IFS(orders[[#This Row],[Customer Gender]]="M","Male", orders[[#This Row],[Customer Gender]]="F","Female", orders[[#This Row],[Customer Gender]]="O","Other", TRUE,"Unknown")</f>
        <v>Unknown</v>
      </c>
    </row>
    <row r="2378" spans="1:15" x14ac:dyDescent="0.3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1">
        <v>45745</v>
      </c>
      <c r="G2378" s="1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f>orders[[#This Row],[Ship Date]]-orders[[#This Row],[Order Date]]</f>
        <v>1</v>
      </c>
      <c r="N2378">
        <f>WEEKNUM(orders[[#This Row],[Order Date]])</f>
        <v>13</v>
      </c>
      <c r="O2378" t="str" cm="1">
        <f t="array" ref="O2378">_xlfn.IFS(orders[[#This Row],[Customer Gender]]="M","Male", orders[[#This Row],[Customer Gender]]="F","Female", orders[[#This Row],[Customer Gender]]="O","Other", TRUE,"Unknown")</f>
        <v>Female</v>
      </c>
    </row>
    <row r="2379" spans="1:15" x14ac:dyDescent="0.3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1">
        <v>45745</v>
      </c>
      <c r="G2379" s="1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f>orders[[#This Row],[Ship Date]]-orders[[#This Row],[Order Date]]</f>
        <v>2</v>
      </c>
      <c r="N2379">
        <f>WEEKNUM(orders[[#This Row],[Order Date]])</f>
        <v>13</v>
      </c>
      <c r="O2379" t="str" cm="1">
        <f t="array" ref="O2379">_xlfn.IFS(orders[[#This Row],[Customer Gender]]="M","Male", orders[[#This Row],[Customer Gender]]="F","Female", orders[[#This Row],[Customer Gender]]="O","Other", TRUE,"Unknown")</f>
        <v>Female</v>
      </c>
    </row>
    <row r="2380" spans="1:15" x14ac:dyDescent="0.3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1">
        <v>45745</v>
      </c>
      <c r="G2380" s="1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f>orders[[#This Row],[Ship Date]]-orders[[#This Row],[Order Date]]</f>
        <v>1</v>
      </c>
      <c r="N2380">
        <f>WEEKNUM(orders[[#This Row],[Order Date]])</f>
        <v>13</v>
      </c>
      <c r="O2380" t="str" cm="1">
        <f t="array" ref="O2380">_xlfn.IFS(orders[[#This Row],[Customer Gender]]="M","Male", orders[[#This Row],[Customer Gender]]="F","Female", orders[[#This Row],[Customer Gender]]="O","Other", TRUE,"Unknown")</f>
        <v>Female</v>
      </c>
    </row>
    <row r="2381" spans="1:15" x14ac:dyDescent="0.3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1">
        <v>45745</v>
      </c>
      <c r="G2381" s="1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f>orders[[#This Row],[Ship Date]]-orders[[#This Row],[Order Date]]</f>
        <v>2</v>
      </c>
      <c r="N2381">
        <f>WEEKNUM(orders[[#This Row],[Order Date]])</f>
        <v>13</v>
      </c>
      <c r="O2381" t="str" cm="1">
        <f t="array" ref="O2381">_xlfn.IFS(orders[[#This Row],[Customer Gender]]="M","Male", orders[[#This Row],[Customer Gender]]="F","Female", orders[[#This Row],[Customer Gender]]="O","Other", TRUE,"Unknown")</f>
        <v>Female</v>
      </c>
    </row>
    <row r="2382" spans="1:15" x14ac:dyDescent="0.3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1">
        <v>45745</v>
      </c>
      <c r="G2382" s="1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f>orders[[#This Row],[Ship Date]]-orders[[#This Row],[Order Date]]</f>
        <v>3</v>
      </c>
      <c r="N2382">
        <f>WEEKNUM(orders[[#This Row],[Order Date]])</f>
        <v>13</v>
      </c>
      <c r="O2382" t="str" cm="1">
        <f t="array" ref="O2382">_xlfn.IFS(orders[[#This Row],[Customer Gender]]="M","Male", orders[[#This Row],[Customer Gender]]="F","Female", orders[[#This Row],[Customer Gender]]="O","Other", TRUE,"Unknown")</f>
        <v>Female</v>
      </c>
    </row>
    <row r="2383" spans="1:15" x14ac:dyDescent="0.3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1">
        <v>45745</v>
      </c>
      <c r="G2383" s="1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f>orders[[#This Row],[Ship Date]]-orders[[#This Row],[Order Date]]</f>
        <v>2</v>
      </c>
      <c r="N2383">
        <f>WEEKNUM(orders[[#This Row],[Order Date]])</f>
        <v>13</v>
      </c>
      <c r="O2383" t="str" cm="1">
        <f t="array" ref="O2383">_xlfn.IFS(orders[[#This Row],[Customer Gender]]="M","Male", orders[[#This Row],[Customer Gender]]="F","Female", orders[[#This Row],[Customer Gender]]="O","Other", TRUE,"Unknown")</f>
        <v>Male</v>
      </c>
    </row>
    <row r="2384" spans="1:15" x14ac:dyDescent="0.3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1">
        <v>45745</v>
      </c>
      <c r="G2384" s="1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f>orders[[#This Row],[Ship Date]]-orders[[#This Row],[Order Date]]</f>
        <v>1</v>
      </c>
      <c r="N2384">
        <f>WEEKNUM(orders[[#This Row],[Order Date]])</f>
        <v>13</v>
      </c>
      <c r="O2384" t="str" cm="1">
        <f t="array" ref="O2384">_xlfn.IFS(orders[[#This Row],[Customer Gender]]="M","Male", orders[[#This Row],[Customer Gender]]="F","Female", orders[[#This Row],[Customer Gender]]="O","Other", TRUE,"Unknown")</f>
        <v>Unknown</v>
      </c>
    </row>
    <row r="2385" spans="1:15" x14ac:dyDescent="0.3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1">
        <v>45745</v>
      </c>
      <c r="G2385" s="1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f>orders[[#This Row],[Ship Date]]-orders[[#This Row],[Order Date]]</f>
        <v>1</v>
      </c>
      <c r="N2385">
        <f>WEEKNUM(orders[[#This Row],[Order Date]])</f>
        <v>13</v>
      </c>
      <c r="O2385" t="str" cm="1">
        <f t="array" ref="O2385">_xlfn.IFS(orders[[#This Row],[Customer Gender]]="M","Male", orders[[#This Row],[Customer Gender]]="F","Female", orders[[#This Row],[Customer Gender]]="O","Other", TRUE,"Unknown")</f>
        <v>Male</v>
      </c>
    </row>
    <row r="2386" spans="1:15" x14ac:dyDescent="0.3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1">
        <v>45745</v>
      </c>
      <c r="G2386" s="1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f>orders[[#This Row],[Ship Date]]-orders[[#This Row],[Order Date]]</f>
        <v>1</v>
      </c>
      <c r="N2386">
        <f>WEEKNUM(orders[[#This Row],[Order Date]])</f>
        <v>13</v>
      </c>
      <c r="O2386" t="str" cm="1">
        <f t="array" ref="O2386">_xlfn.IFS(orders[[#This Row],[Customer Gender]]="M","Male", orders[[#This Row],[Customer Gender]]="F","Female", orders[[#This Row],[Customer Gender]]="O","Other", TRUE,"Unknown")</f>
        <v>Male</v>
      </c>
    </row>
    <row r="2387" spans="1:15" x14ac:dyDescent="0.3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1">
        <v>45745</v>
      </c>
      <c r="G2387" s="1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f>orders[[#This Row],[Ship Date]]-orders[[#This Row],[Order Date]]</f>
        <v>4</v>
      </c>
      <c r="N2387">
        <f>WEEKNUM(orders[[#This Row],[Order Date]])</f>
        <v>13</v>
      </c>
      <c r="O2387" t="str" cm="1">
        <f t="array" ref="O2387">_xlfn.IFS(orders[[#This Row],[Customer Gender]]="M","Male", orders[[#This Row],[Customer Gender]]="F","Female", orders[[#This Row],[Customer Gender]]="O","Other", TRUE,"Unknown")</f>
        <v>Male</v>
      </c>
    </row>
    <row r="2388" spans="1:15" x14ac:dyDescent="0.3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1">
        <v>45745</v>
      </c>
      <c r="G2388" s="1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f>orders[[#This Row],[Ship Date]]-orders[[#This Row],[Order Date]]</f>
        <v>1</v>
      </c>
      <c r="N2388">
        <f>WEEKNUM(orders[[#This Row],[Order Date]])</f>
        <v>13</v>
      </c>
      <c r="O2388" t="str" cm="1">
        <f t="array" ref="O2388">_xlfn.IFS(orders[[#This Row],[Customer Gender]]="M","Male", orders[[#This Row],[Customer Gender]]="F","Female", orders[[#This Row],[Customer Gender]]="O","Other", TRUE,"Unknown")</f>
        <v>Female</v>
      </c>
    </row>
    <row r="2389" spans="1:15" x14ac:dyDescent="0.3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1">
        <v>45745</v>
      </c>
      <c r="G2389" s="1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f>orders[[#This Row],[Ship Date]]-orders[[#This Row],[Order Date]]</f>
        <v>11</v>
      </c>
      <c r="N2389">
        <f>WEEKNUM(orders[[#This Row],[Order Date]])</f>
        <v>13</v>
      </c>
      <c r="O2389" t="str" cm="1">
        <f t="array" ref="O2389">_xlfn.IFS(orders[[#This Row],[Customer Gender]]="M","Male", orders[[#This Row],[Customer Gender]]="F","Female", orders[[#This Row],[Customer Gender]]="O","Other", TRUE,"Unknown")</f>
        <v>Male</v>
      </c>
    </row>
    <row r="2390" spans="1:15" x14ac:dyDescent="0.3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1">
        <v>45745</v>
      </c>
      <c r="G2390" s="1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f>orders[[#This Row],[Ship Date]]-orders[[#This Row],[Order Date]]</f>
        <v>4</v>
      </c>
      <c r="N2390">
        <f>WEEKNUM(orders[[#This Row],[Order Date]])</f>
        <v>13</v>
      </c>
      <c r="O2390" t="str" cm="1">
        <f t="array" ref="O2390">_xlfn.IFS(orders[[#This Row],[Customer Gender]]="M","Male", orders[[#This Row],[Customer Gender]]="F","Female", orders[[#This Row],[Customer Gender]]="O","Other", TRUE,"Unknown")</f>
        <v>Male</v>
      </c>
    </row>
    <row r="2391" spans="1:15" x14ac:dyDescent="0.3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1">
        <v>45745</v>
      </c>
      <c r="G2391" s="1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f>orders[[#This Row],[Ship Date]]-orders[[#This Row],[Order Date]]</f>
        <v>1</v>
      </c>
      <c r="N2391">
        <f>WEEKNUM(orders[[#This Row],[Order Date]])</f>
        <v>13</v>
      </c>
      <c r="O2391" t="str" cm="1">
        <f t="array" ref="O2391">_xlfn.IFS(orders[[#This Row],[Customer Gender]]="M","Male", orders[[#This Row],[Customer Gender]]="F","Female", orders[[#This Row],[Customer Gender]]="O","Other", TRUE,"Unknown")</f>
        <v>Female</v>
      </c>
    </row>
    <row r="2392" spans="1:15" x14ac:dyDescent="0.3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1">
        <v>45745</v>
      </c>
      <c r="G2392" s="1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f>orders[[#This Row],[Ship Date]]-orders[[#This Row],[Order Date]]</f>
        <v>2</v>
      </c>
      <c r="N2392">
        <f>WEEKNUM(orders[[#This Row],[Order Date]])</f>
        <v>13</v>
      </c>
      <c r="O2392" t="str" cm="1">
        <f t="array" ref="O2392">_xlfn.IFS(orders[[#This Row],[Customer Gender]]="M","Male", orders[[#This Row],[Customer Gender]]="F","Female", orders[[#This Row],[Customer Gender]]="O","Other", TRUE,"Unknown")</f>
        <v>Female</v>
      </c>
    </row>
    <row r="2393" spans="1:15" x14ac:dyDescent="0.3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1">
        <v>45745</v>
      </c>
      <c r="G2393" s="1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f>orders[[#This Row],[Ship Date]]-orders[[#This Row],[Order Date]]</f>
        <v>3</v>
      </c>
      <c r="N2393">
        <f>WEEKNUM(orders[[#This Row],[Order Date]])</f>
        <v>13</v>
      </c>
      <c r="O2393" t="str" cm="1">
        <f t="array" ref="O2393">_xlfn.IFS(orders[[#This Row],[Customer Gender]]="M","Male", orders[[#This Row],[Customer Gender]]="F","Female", orders[[#This Row],[Customer Gender]]="O","Other", TRUE,"Unknown")</f>
        <v>Unknown</v>
      </c>
    </row>
    <row r="2394" spans="1:15" x14ac:dyDescent="0.3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1">
        <v>45745</v>
      </c>
      <c r="G2394" s="1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f>orders[[#This Row],[Ship Date]]-orders[[#This Row],[Order Date]]</f>
        <v>2</v>
      </c>
      <c r="N2394">
        <f>WEEKNUM(orders[[#This Row],[Order Date]])</f>
        <v>13</v>
      </c>
      <c r="O2394" t="str" cm="1">
        <f t="array" ref="O2394">_xlfn.IFS(orders[[#This Row],[Customer Gender]]="M","Male", orders[[#This Row],[Customer Gender]]="F","Female", orders[[#This Row],[Customer Gender]]="O","Other", TRUE,"Unknown")</f>
        <v>Male</v>
      </c>
    </row>
    <row r="2395" spans="1:15" x14ac:dyDescent="0.3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1">
        <v>45745</v>
      </c>
      <c r="G2395" s="1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f>orders[[#This Row],[Ship Date]]-orders[[#This Row],[Order Date]]</f>
        <v>1</v>
      </c>
      <c r="N2395">
        <f>WEEKNUM(orders[[#This Row],[Order Date]])</f>
        <v>13</v>
      </c>
      <c r="O2395" t="str" cm="1">
        <f t="array" ref="O2395">_xlfn.IFS(orders[[#This Row],[Customer Gender]]="M","Male", orders[[#This Row],[Customer Gender]]="F","Female", orders[[#This Row],[Customer Gender]]="O","Other", TRUE,"Unknown")</f>
        <v>Male</v>
      </c>
    </row>
    <row r="2396" spans="1:15" x14ac:dyDescent="0.3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1">
        <v>45745</v>
      </c>
      <c r="G2396" s="1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f>orders[[#This Row],[Ship Date]]-orders[[#This Row],[Order Date]]</f>
        <v>1</v>
      </c>
      <c r="N2396">
        <f>WEEKNUM(orders[[#This Row],[Order Date]])</f>
        <v>13</v>
      </c>
      <c r="O2396" t="str" cm="1">
        <f t="array" ref="O2396">_xlfn.IFS(orders[[#This Row],[Customer Gender]]="M","Male", orders[[#This Row],[Customer Gender]]="F","Female", orders[[#This Row],[Customer Gender]]="O","Other", TRUE,"Unknown")</f>
        <v>Male</v>
      </c>
    </row>
    <row r="2397" spans="1:15" x14ac:dyDescent="0.3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1">
        <v>45745</v>
      </c>
      <c r="G2397" s="1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f>orders[[#This Row],[Ship Date]]-orders[[#This Row],[Order Date]]</f>
        <v>1</v>
      </c>
      <c r="N2397">
        <f>WEEKNUM(orders[[#This Row],[Order Date]])</f>
        <v>13</v>
      </c>
      <c r="O2397" t="str" cm="1">
        <f t="array" ref="O2397">_xlfn.IFS(orders[[#This Row],[Customer Gender]]="M","Male", orders[[#This Row],[Customer Gender]]="F","Female", orders[[#This Row],[Customer Gender]]="O","Other", TRUE,"Unknown")</f>
        <v>Male</v>
      </c>
    </row>
    <row r="2398" spans="1:15" x14ac:dyDescent="0.3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1">
        <v>45745</v>
      </c>
      <c r="G2398" s="1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f>orders[[#This Row],[Ship Date]]-orders[[#This Row],[Order Date]]</f>
        <v>1</v>
      </c>
      <c r="N2398">
        <f>WEEKNUM(orders[[#This Row],[Order Date]])</f>
        <v>13</v>
      </c>
      <c r="O2398" t="str" cm="1">
        <f t="array" ref="O2398">_xlfn.IFS(orders[[#This Row],[Customer Gender]]="M","Male", orders[[#This Row],[Customer Gender]]="F","Female", orders[[#This Row],[Customer Gender]]="O","Other", TRUE,"Unknown")</f>
        <v>Male</v>
      </c>
    </row>
    <row r="2399" spans="1:15" x14ac:dyDescent="0.3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1">
        <v>45745</v>
      </c>
      <c r="G2399" s="1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f>orders[[#This Row],[Ship Date]]-orders[[#This Row],[Order Date]]</f>
        <v>1</v>
      </c>
      <c r="N2399">
        <f>WEEKNUM(orders[[#This Row],[Order Date]])</f>
        <v>13</v>
      </c>
      <c r="O2399" t="str" cm="1">
        <f t="array" ref="O2399">_xlfn.IFS(orders[[#This Row],[Customer Gender]]="M","Male", orders[[#This Row],[Customer Gender]]="F","Female", orders[[#This Row],[Customer Gender]]="O","Other", TRUE,"Unknown")</f>
        <v>Female</v>
      </c>
    </row>
    <row r="2400" spans="1:15" x14ac:dyDescent="0.3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1">
        <v>45745</v>
      </c>
      <c r="G2400" s="1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f>orders[[#This Row],[Ship Date]]-orders[[#This Row],[Order Date]]</f>
        <v>2</v>
      </c>
      <c r="N2400">
        <f>WEEKNUM(orders[[#This Row],[Order Date]])</f>
        <v>13</v>
      </c>
      <c r="O2400" t="str" cm="1">
        <f t="array" ref="O2400">_xlfn.IFS(orders[[#This Row],[Customer Gender]]="M","Male", orders[[#This Row],[Customer Gender]]="F","Female", orders[[#This Row],[Customer Gender]]="O","Other", TRUE,"Unknown")</f>
        <v>Female</v>
      </c>
    </row>
    <row r="2401" spans="1:15" x14ac:dyDescent="0.3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1">
        <v>45745</v>
      </c>
      <c r="G2401" s="1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f>orders[[#This Row],[Ship Date]]-orders[[#This Row],[Order Date]]</f>
        <v>2</v>
      </c>
      <c r="N2401">
        <f>WEEKNUM(orders[[#This Row],[Order Date]])</f>
        <v>13</v>
      </c>
      <c r="O2401" t="str" cm="1">
        <f t="array" ref="O2401">_xlfn.IFS(orders[[#This Row],[Customer Gender]]="M","Male", orders[[#This Row],[Customer Gender]]="F","Female", orders[[#This Row],[Customer Gender]]="O","Other", TRUE,"Unknown")</f>
        <v>Male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67F3-9B1F-4E76-93FF-B0BCB729337C}">
  <dimension ref="B2:B18"/>
  <sheetViews>
    <sheetView workbookViewId="0">
      <selection activeCell="E9" sqref="E9"/>
    </sheetView>
  </sheetViews>
  <sheetFormatPr defaultRowHeight="14.4" x14ac:dyDescent="0.3"/>
  <cols>
    <col min="1" max="1" width="3.6640625" customWidth="1"/>
    <col min="2" max="2" width="52.77734375" customWidth="1"/>
  </cols>
  <sheetData>
    <row r="2" spans="2:2" x14ac:dyDescent="0.3">
      <c r="B2" s="3" t="s">
        <v>2503</v>
      </c>
    </row>
    <row r="3" spans="2:2" x14ac:dyDescent="0.3">
      <c r="B3" s="4" t="s">
        <v>2504</v>
      </c>
    </row>
    <row r="4" spans="2:2" x14ac:dyDescent="0.3">
      <c r="B4" s="4" t="s">
        <v>2505</v>
      </c>
    </row>
    <row r="5" spans="2:2" x14ac:dyDescent="0.3">
      <c r="B5" s="4" t="s">
        <v>2506</v>
      </c>
    </row>
    <row r="6" spans="2:2" x14ac:dyDescent="0.3">
      <c r="B6" s="4" t="s">
        <v>2507</v>
      </c>
    </row>
    <row r="7" spans="2:2" x14ac:dyDescent="0.3">
      <c r="B7" s="4" t="s">
        <v>2508</v>
      </c>
    </row>
    <row r="10" spans="2:2" x14ac:dyDescent="0.3">
      <c r="B10" s="3" t="s">
        <v>2509</v>
      </c>
    </row>
    <row r="11" spans="2:2" x14ac:dyDescent="0.3">
      <c r="B11" t="s">
        <v>2510</v>
      </c>
    </row>
    <row r="12" spans="2:2" x14ac:dyDescent="0.3">
      <c r="B12" t="s">
        <v>2511</v>
      </c>
    </row>
    <row r="13" spans="2:2" x14ac:dyDescent="0.3">
      <c r="B13" t="s">
        <v>2512</v>
      </c>
    </row>
    <row r="14" spans="2:2" x14ac:dyDescent="0.3">
      <c r="B14" t="s">
        <v>2513</v>
      </c>
    </row>
    <row r="15" spans="2:2" x14ac:dyDescent="0.3">
      <c r="B15" t="s">
        <v>2514</v>
      </c>
    </row>
    <row r="16" spans="2:2" x14ac:dyDescent="0.3">
      <c r="B16" t="s">
        <v>2515</v>
      </c>
    </row>
    <row r="17" spans="2:2" x14ac:dyDescent="0.3">
      <c r="B17" t="s">
        <v>2516</v>
      </c>
    </row>
    <row r="18" spans="2:2" x14ac:dyDescent="0.3">
      <c r="B18" t="s">
        <v>2517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6D6AB-328F-4D73-A2D8-2433264DDCC6}">
  <dimension ref="A3:K21"/>
  <sheetViews>
    <sheetView workbookViewId="0">
      <selection activeCell="D22" sqref="D22"/>
    </sheetView>
  </sheetViews>
  <sheetFormatPr defaultRowHeight="14.4" x14ac:dyDescent="0.3"/>
  <cols>
    <col min="1" max="1" width="12.21875" bestFit="1" customWidth="1"/>
    <col min="2" max="2" width="14.21875" bestFit="1" customWidth="1"/>
    <col min="3" max="3" width="13.5546875" bestFit="1" customWidth="1"/>
    <col min="4" max="4" width="16.6640625" bestFit="1" customWidth="1"/>
    <col min="5" max="5" width="22.33203125" bestFit="1" customWidth="1"/>
    <col min="11" max="11" width="14.21875" bestFit="1" customWidth="1"/>
  </cols>
  <sheetData>
    <row r="3" spans="1:11" x14ac:dyDescent="0.3">
      <c r="A3" t="s">
        <v>2552</v>
      </c>
      <c r="B3" t="s">
        <v>2553</v>
      </c>
      <c r="C3" t="s">
        <v>2554</v>
      </c>
      <c r="D3" t="s">
        <v>2555</v>
      </c>
      <c r="E3" t="s">
        <v>2556</v>
      </c>
      <c r="G3" t="s">
        <v>2557</v>
      </c>
    </row>
    <row r="4" spans="1:11" x14ac:dyDescent="0.3">
      <c r="A4" s="12">
        <v>2400</v>
      </c>
      <c r="B4" s="12">
        <v>11997</v>
      </c>
      <c r="C4" s="12">
        <v>649019.80000000144</v>
      </c>
      <c r="D4" s="12">
        <v>3.9620833333333332</v>
      </c>
      <c r="E4" s="12">
        <v>2.3424999999999998</v>
      </c>
      <c r="G4" t="s">
        <v>2558</v>
      </c>
      <c r="H4" t="s">
        <v>2559</v>
      </c>
      <c r="I4" t="s">
        <v>2560</v>
      </c>
      <c r="J4" t="s">
        <v>2561</v>
      </c>
      <c r="K4" t="s">
        <v>2562</v>
      </c>
    </row>
    <row r="5" spans="1:11" x14ac:dyDescent="0.3">
      <c r="G5" t="str">
        <f>TEXT(GETPIVOTDATA("Count of TX ID",$A$3),"#,##")</f>
        <v>2,400</v>
      </c>
      <c r="H5" t="str">
        <f>TEXT(GETPIVOTDATA("Sum of Quantity",$A$3),"#,##")</f>
        <v>11,997</v>
      </c>
      <c r="I5" t="str">
        <f>TEXT(GETPIVOTDATA("Sum of Amount",$A$3),"$#,##,.0k")</f>
        <v>$649.0k</v>
      </c>
      <c r="J5" t="str">
        <f>TEXT(GETPIVOTDATA("Average of Rating C",$A$3),"0.0")</f>
        <v>4.0</v>
      </c>
      <c r="K5" t="str">
        <f>TEXT(GETPIVOTDATA("Average of Days to Deliver",$A$3),"0.0")</f>
        <v>2.3</v>
      </c>
    </row>
    <row r="7" spans="1:11" x14ac:dyDescent="0.3">
      <c r="A7" s="13" t="s">
        <v>2563</v>
      </c>
      <c r="B7" t="s">
        <v>2553</v>
      </c>
      <c r="C7" s="15" t="s">
        <v>2554</v>
      </c>
    </row>
    <row r="8" spans="1:11" x14ac:dyDescent="0.3">
      <c r="A8" s="14">
        <v>1</v>
      </c>
      <c r="B8" s="12">
        <v>546</v>
      </c>
      <c r="C8" s="15">
        <v>32413.300000000003</v>
      </c>
    </row>
    <row r="9" spans="1:11" x14ac:dyDescent="0.3">
      <c r="A9" s="14">
        <v>2</v>
      </c>
      <c r="B9" s="12">
        <v>905</v>
      </c>
      <c r="C9" s="15">
        <v>49562.999999999993</v>
      </c>
    </row>
    <row r="10" spans="1:11" x14ac:dyDescent="0.3">
      <c r="A10" s="14">
        <v>3</v>
      </c>
      <c r="B10" s="12">
        <v>796</v>
      </c>
      <c r="C10" s="15">
        <v>41700.400000000016</v>
      </c>
    </row>
    <row r="11" spans="1:11" x14ac:dyDescent="0.3">
      <c r="A11" s="14">
        <v>4</v>
      </c>
      <c r="B11" s="12">
        <v>913</v>
      </c>
      <c r="C11" s="15">
        <v>46782.599999999984</v>
      </c>
    </row>
    <row r="12" spans="1:11" x14ac:dyDescent="0.3">
      <c r="A12" s="14">
        <v>5</v>
      </c>
      <c r="B12" s="12">
        <v>844</v>
      </c>
      <c r="C12" s="15">
        <v>42676.100000000006</v>
      </c>
    </row>
    <row r="13" spans="1:11" x14ac:dyDescent="0.3">
      <c r="A13" s="14">
        <v>6</v>
      </c>
      <c r="B13" s="12">
        <v>1202</v>
      </c>
      <c r="C13" s="15">
        <v>62910.7</v>
      </c>
    </row>
    <row r="14" spans="1:11" x14ac:dyDescent="0.3">
      <c r="A14" s="14">
        <v>7</v>
      </c>
      <c r="B14" s="12">
        <v>935</v>
      </c>
      <c r="C14" s="15">
        <v>50332.200000000004</v>
      </c>
    </row>
    <row r="15" spans="1:11" x14ac:dyDescent="0.3">
      <c r="A15" s="14">
        <v>8</v>
      </c>
      <c r="B15" s="12">
        <v>1128</v>
      </c>
      <c r="C15" s="15">
        <v>58760.599999999977</v>
      </c>
    </row>
    <row r="16" spans="1:11" x14ac:dyDescent="0.3">
      <c r="A16" s="14">
        <v>9</v>
      </c>
      <c r="B16" s="12">
        <v>1007</v>
      </c>
      <c r="C16" s="15">
        <v>52017.299999999996</v>
      </c>
    </row>
    <row r="17" spans="1:3" x14ac:dyDescent="0.3">
      <c r="A17" s="14">
        <v>10</v>
      </c>
      <c r="B17" s="12">
        <v>1128</v>
      </c>
      <c r="C17" s="15">
        <v>64915.700000000033</v>
      </c>
    </row>
    <row r="18" spans="1:3" x14ac:dyDescent="0.3">
      <c r="A18" s="14">
        <v>11</v>
      </c>
      <c r="B18" s="12">
        <v>861</v>
      </c>
      <c r="C18" s="15">
        <v>45943.80000000001</v>
      </c>
    </row>
    <row r="19" spans="1:3" x14ac:dyDescent="0.3">
      <c r="A19" s="14">
        <v>12</v>
      </c>
      <c r="B19" s="12">
        <v>944</v>
      </c>
      <c r="C19" s="15">
        <v>55077.900000000031</v>
      </c>
    </row>
    <row r="20" spans="1:3" x14ac:dyDescent="0.3">
      <c r="A20" s="14">
        <v>13</v>
      </c>
      <c r="B20" s="12">
        <v>788</v>
      </c>
      <c r="C20" s="15">
        <v>45926.19999999999</v>
      </c>
    </row>
    <row r="21" spans="1:3" x14ac:dyDescent="0.3">
      <c r="A21" s="14" t="s">
        <v>2564</v>
      </c>
      <c r="B21" s="12">
        <v>11997</v>
      </c>
      <c r="C21" s="15">
        <v>649019.79999999993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8FF67-6F2A-40D1-BD8F-FC8AD44723FB}">
  <dimension ref="A1"/>
  <sheetViews>
    <sheetView tabSelected="1" zoomScale="66" workbookViewId="0">
      <selection activeCell="AG48" sqref="AG48"/>
    </sheetView>
  </sheetViews>
  <sheetFormatPr defaultRowHeight="14.4" x14ac:dyDescent="0.3"/>
  <cols>
    <col min="1" max="1" width="3.33203125" customWidth="1"/>
    <col min="2" max="2" width="22.21875" customWidth="1"/>
    <col min="3" max="4" width="3.33203125" customWidth="1"/>
    <col min="26" max="26" width="3.33203125" customWidth="1"/>
  </cols>
  <sheetData/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D30B-60E4-4685-B421-10EFD7769A97}">
  <dimension ref="B2:H24"/>
  <sheetViews>
    <sheetView workbookViewId="0">
      <selection activeCell="N7" sqref="N7"/>
    </sheetView>
  </sheetViews>
  <sheetFormatPr defaultRowHeight="14.4" x14ac:dyDescent="0.3"/>
  <cols>
    <col min="1" max="1" width="3.33203125" customWidth="1"/>
    <col min="8" max="8" width="37.33203125" customWidth="1"/>
  </cols>
  <sheetData>
    <row r="2" spans="2:8" x14ac:dyDescent="0.3">
      <c r="H2" t="s">
        <v>2548</v>
      </c>
    </row>
    <row r="3" spans="2:8" x14ac:dyDescent="0.3">
      <c r="B3" t="s">
        <v>2518</v>
      </c>
    </row>
    <row r="4" spans="2:8" x14ac:dyDescent="0.3">
      <c r="H4" s="11" t="s">
        <v>2549</v>
      </c>
    </row>
    <row r="5" spans="2:8" x14ac:dyDescent="0.3">
      <c r="B5" t="s">
        <v>2519</v>
      </c>
      <c r="H5" s="11" t="s">
        <v>2550</v>
      </c>
    </row>
    <row r="6" spans="2:8" x14ac:dyDescent="0.3">
      <c r="B6" s="5"/>
      <c r="C6" t="s">
        <v>2520</v>
      </c>
      <c r="D6" t="s">
        <v>2526</v>
      </c>
      <c r="H6" t="s">
        <v>2551</v>
      </c>
    </row>
    <row r="7" spans="2:8" x14ac:dyDescent="0.3">
      <c r="B7" s="6"/>
      <c r="C7" t="s">
        <v>2521</v>
      </c>
      <c r="D7" t="s">
        <v>2527</v>
      </c>
    </row>
    <row r="8" spans="2:8" x14ac:dyDescent="0.3">
      <c r="B8" s="7"/>
      <c r="C8" t="s">
        <v>2522</v>
      </c>
      <c r="D8" t="s">
        <v>2528</v>
      </c>
    </row>
    <row r="9" spans="2:8" x14ac:dyDescent="0.3">
      <c r="B9" s="8"/>
      <c r="C9" t="s">
        <v>2523</v>
      </c>
      <c r="D9" t="s">
        <v>2529</v>
      </c>
    </row>
    <row r="10" spans="2:8" x14ac:dyDescent="0.3">
      <c r="B10" s="9"/>
      <c r="C10" t="s">
        <v>2524</v>
      </c>
      <c r="D10" t="s">
        <v>2530</v>
      </c>
    </row>
    <row r="11" spans="2:8" x14ac:dyDescent="0.3">
      <c r="B11" s="2"/>
      <c r="C11" t="s">
        <v>2525</v>
      </c>
      <c r="D11" t="s">
        <v>2531</v>
      </c>
    </row>
    <row r="13" spans="2:8" x14ac:dyDescent="0.3">
      <c r="B13" t="s">
        <v>2532</v>
      </c>
    </row>
    <row r="14" spans="2:8" x14ac:dyDescent="0.3">
      <c r="B14" t="s">
        <v>2533</v>
      </c>
      <c r="C14" t="s">
        <v>2538</v>
      </c>
    </row>
    <row r="15" spans="2:8" x14ac:dyDescent="0.3">
      <c r="B15" t="s">
        <v>2534</v>
      </c>
      <c r="C15" t="s">
        <v>2</v>
      </c>
    </row>
    <row r="16" spans="2:8" x14ac:dyDescent="0.3">
      <c r="B16" t="s">
        <v>2535</v>
      </c>
      <c r="C16" t="s">
        <v>4</v>
      </c>
    </row>
    <row r="17" spans="2:3" x14ac:dyDescent="0.3">
      <c r="B17" t="s">
        <v>2536</v>
      </c>
      <c r="C17" t="s">
        <v>2539</v>
      </c>
    </row>
    <row r="18" spans="2:3" x14ac:dyDescent="0.3">
      <c r="B18" t="s">
        <v>2537</v>
      </c>
      <c r="C18" t="s">
        <v>2540</v>
      </c>
    </row>
    <row r="21" spans="2:3" x14ac:dyDescent="0.3">
      <c r="B21" t="s">
        <v>2541</v>
      </c>
    </row>
    <row r="22" spans="2:3" x14ac:dyDescent="0.3">
      <c r="B22" t="s">
        <v>2542</v>
      </c>
      <c r="C22" t="s">
        <v>2543</v>
      </c>
    </row>
    <row r="23" spans="2:3" x14ac:dyDescent="0.3">
      <c r="B23" t="s">
        <v>2544</v>
      </c>
      <c r="C23" t="s">
        <v>2545</v>
      </c>
    </row>
    <row r="24" spans="2:3" x14ac:dyDescent="0.3">
      <c r="B24" s="10" t="s">
        <v>2546</v>
      </c>
      <c r="C24" t="s">
        <v>2547</v>
      </c>
    </row>
  </sheetData>
  <phoneticPr fontId="2" type="noConversion"/>
  <hyperlinks>
    <hyperlink ref="H4" r:id="rId1" xr:uid="{A77862B0-B580-43DF-9272-7B32B5A35427}"/>
    <hyperlink ref="H5" r:id="rId2" xr:uid="{602AE8E3-2587-4F74-A241-C4690768D1EC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Sheet3</vt:lpstr>
      <vt:lpstr>Sheet4</vt:lpstr>
      <vt:lpstr>Sheet5</vt:lpstr>
      <vt:lpstr>Sheet6</vt:lpstr>
      <vt:lpstr>Data</vt:lpstr>
      <vt:lpstr>Questions &amp; KPIs</vt:lpstr>
      <vt:lpstr>Sheet1</vt:lpstr>
      <vt:lpstr>Dashboard</vt:lpstr>
      <vt:lpstr>Logo &amp; Colors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Abhinav Tank</cp:lastModifiedBy>
  <dcterms:created xsi:type="dcterms:W3CDTF">2025-06-13T02:42:26Z</dcterms:created>
  <dcterms:modified xsi:type="dcterms:W3CDTF">2026-06-16T17:08:07Z</dcterms:modified>
</cp:coreProperties>
</file>